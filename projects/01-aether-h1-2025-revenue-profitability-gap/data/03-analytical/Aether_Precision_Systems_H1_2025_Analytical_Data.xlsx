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8F4ECD-D7A4-4703-9311-3601D7338B74}" xr6:coauthVersionLast="47" xr6:coauthVersionMax="47" xr10:uidLastSave="{00000000-0000-0000-0000-000000000000}"/>
  <bookViews>
    <workbookView xWindow="-120" yWindow="-120" windowWidth="29040" windowHeight="15720" firstSheet="11" activeTab="13" xr2:uid="{E8866D70-81FB-4E5D-B920-D173CF1FEA1B}"/>
  </bookViews>
  <sheets>
    <sheet name="Transaction" sheetId="1" r:id="rId1"/>
    <sheet name="Custumer" sheetId="2" r:id="rId2"/>
    <sheet name="Product" sheetId="3" r:id="rId3"/>
    <sheet name="Cost" sheetId="4" r:id="rId4"/>
    <sheet name="Budget" sheetId="5" r:id="rId5"/>
    <sheet name="Sheet2" sheetId="14" r:id="rId6"/>
    <sheet name="Org_Reference" sheetId="6" r:id="rId7"/>
    <sheet name="FX" sheetId="7" r:id="rId8"/>
    <sheet name="Region_Profitability" sheetId="8" r:id="rId9"/>
    <sheet name="Business_Profitability" sheetId="12" r:id="rId10"/>
    <sheet name="Category_Profitability" sheetId="9" r:id="rId11"/>
    <sheet name="Product_Profitability" sheetId="10" r:id="rId12"/>
    <sheet name="Custumer_Profitability" sheetId="11" r:id="rId13"/>
    <sheet name="Q18" sheetId="13" r:id="rId14"/>
    <sheet name="Sheet3" sheetId="15" r:id="rId15"/>
  </sheets>
  <definedNames>
    <definedName name="_xlnm._FilterDatabase" localSheetId="11" hidden="1">Product_Profitability!$D$3:$K$22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5" l="1"/>
  <c r="F5" i="15"/>
  <c r="F6" i="15"/>
  <c r="E6" i="15"/>
  <c r="E4" i="15"/>
  <c r="E5" i="15"/>
  <c r="K6" i="15"/>
  <c r="J6" i="15"/>
  <c r="L6" i="15" s="1"/>
  <c r="M6" i="15" s="1"/>
  <c r="K5" i="15"/>
  <c r="J5" i="15"/>
  <c r="L5" i="15" s="1"/>
  <c r="M5" i="15" s="1"/>
  <c r="K4" i="15"/>
  <c r="K7" i="15" s="1"/>
  <c r="J4" i="15"/>
  <c r="J7" i="15" s="1"/>
  <c r="K85" i="15"/>
  <c r="J85" i="15"/>
  <c r="I85" i="15"/>
  <c r="H85" i="15"/>
  <c r="G85" i="15"/>
  <c r="F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G8" i="13"/>
  <c r="G9" i="13"/>
  <c r="G11" i="13"/>
  <c r="BD2" i="8"/>
  <c r="F7" i="13"/>
  <c r="G7" i="13" s="1"/>
  <c r="F8" i="13"/>
  <c r="F9" i="13"/>
  <c r="F10" i="13"/>
  <c r="G10" i="13" s="1"/>
  <c r="F11" i="13"/>
  <c r="J74" i="5"/>
  <c r="I74" i="5"/>
  <c r="H74" i="5"/>
  <c r="G74" i="5"/>
  <c r="F74" i="5"/>
  <c r="K74" i="5"/>
  <c r="X103" i="11"/>
  <c r="X107" i="11"/>
  <c r="X105" i="11"/>
  <c r="X104" i="11"/>
  <c r="X106" i="11"/>
  <c r="K1292" i="1"/>
  <c r="K1287" i="1"/>
  <c r="K1288" i="1"/>
  <c r="K1289" i="1"/>
  <c r="K1290" i="1"/>
  <c r="K1291" i="1"/>
  <c r="I1287" i="1"/>
  <c r="I1288" i="1"/>
  <c r="I1289" i="1"/>
  <c r="I1290" i="1"/>
  <c r="I1291" i="1"/>
  <c r="H1292" i="1"/>
  <c r="G1292" i="1"/>
  <c r="L1292" i="1"/>
  <c r="J1287" i="1"/>
  <c r="J1288" i="1"/>
  <c r="J1289" i="1"/>
  <c r="J1290" i="1"/>
  <c r="J1291" i="1"/>
  <c r="R1250" i="1"/>
  <c r="R1251" i="1"/>
  <c r="R1252" i="1"/>
  <c r="R1253" i="1"/>
  <c r="R1254" i="1"/>
  <c r="S1251" i="1"/>
  <c r="D5" i="9" s="1"/>
  <c r="S1252" i="1"/>
  <c r="D6" i="9" s="1"/>
  <c r="S1253" i="1"/>
  <c r="D7" i="9" s="1"/>
  <c r="S1254" i="1"/>
  <c r="P1255" i="1"/>
  <c r="Q1255" i="1"/>
  <c r="U1255" i="1"/>
  <c r="S1250" i="1"/>
  <c r="D4" i="9" s="1"/>
  <c r="G1239" i="1"/>
  <c r="H1239" i="1"/>
  <c r="I1239" i="1"/>
  <c r="K1239" i="1"/>
  <c r="G1240" i="1"/>
  <c r="H1240" i="1"/>
  <c r="I1240" i="1"/>
  <c r="K1240" i="1"/>
  <c r="G1241" i="1"/>
  <c r="H1241" i="1"/>
  <c r="I1241" i="1"/>
  <c r="K1241" i="1"/>
  <c r="G1242" i="1"/>
  <c r="H1242" i="1"/>
  <c r="I1242" i="1"/>
  <c r="K1242" i="1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63" i="12" s="1"/>
  <c r="F18" i="12"/>
  <c r="F19" i="12"/>
  <c r="F20" i="12"/>
  <c r="F21" i="12"/>
  <c r="F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3" i="12"/>
  <c r="C3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C4" i="12"/>
  <c r="C5" i="12"/>
  <c r="C6" i="12"/>
  <c r="C7" i="12"/>
  <c r="C8" i="12"/>
  <c r="C54" i="12" s="1"/>
  <c r="C9" i="12"/>
  <c r="C10" i="12"/>
  <c r="C11" i="12"/>
  <c r="C12" i="12"/>
  <c r="C13" i="12"/>
  <c r="C59" i="12" s="1"/>
  <c r="C14" i="12"/>
  <c r="C15" i="12"/>
  <c r="C61" i="12" s="1"/>
  <c r="C16" i="12"/>
  <c r="C17" i="12"/>
  <c r="C18" i="12"/>
  <c r="C19" i="12"/>
  <c r="C20" i="12"/>
  <c r="C21" i="12"/>
  <c r="T1232" i="1"/>
  <c r="R1229" i="1"/>
  <c r="R1230" i="1"/>
  <c r="D73" i="12" s="1"/>
  <c r="C151" i="12" s="1"/>
  <c r="R1231" i="1"/>
  <c r="D74" i="12" s="1"/>
  <c r="C152" i="12" s="1"/>
  <c r="P1232" i="1"/>
  <c r="R1247" i="1"/>
  <c r="S1243" i="1"/>
  <c r="AC83" i="8" s="1"/>
  <c r="S1244" i="1"/>
  <c r="AC84" i="8" s="1"/>
  <c r="S1245" i="1"/>
  <c r="S1246" i="1"/>
  <c r="AC86" i="8" s="1"/>
  <c r="Q1247" i="1"/>
  <c r="U1247" i="1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K139" i="12"/>
  <c r="J139" i="12"/>
  <c r="K138" i="12"/>
  <c r="J138" i="12"/>
  <c r="K137" i="12"/>
  <c r="J137" i="12"/>
  <c r="K136" i="12"/>
  <c r="J136" i="12"/>
  <c r="K135" i="12"/>
  <c r="J135" i="12"/>
  <c r="K134" i="12"/>
  <c r="J134" i="12"/>
  <c r="K133" i="12"/>
  <c r="J133" i="12"/>
  <c r="K132" i="12"/>
  <c r="J132" i="12"/>
  <c r="K131" i="12"/>
  <c r="J131" i="12"/>
  <c r="K130" i="12"/>
  <c r="J130" i="12"/>
  <c r="K129" i="12"/>
  <c r="J129" i="12"/>
  <c r="K128" i="12"/>
  <c r="J128" i="12"/>
  <c r="H104" i="12"/>
  <c r="G104" i="12"/>
  <c r="F104" i="12"/>
  <c r="E104" i="12"/>
  <c r="D104" i="12"/>
  <c r="C104" i="12"/>
  <c r="H103" i="12"/>
  <c r="G103" i="12"/>
  <c r="F103" i="12"/>
  <c r="E103" i="12"/>
  <c r="D103" i="12"/>
  <c r="C103" i="12"/>
  <c r="H102" i="12"/>
  <c r="G102" i="12"/>
  <c r="F102" i="12"/>
  <c r="E102" i="12"/>
  <c r="D102" i="12"/>
  <c r="C102" i="12"/>
  <c r="H101" i="12"/>
  <c r="G101" i="12"/>
  <c r="F101" i="12"/>
  <c r="E101" i="12"/>
  <c r="D101" i="12"/>
  <c r="C101" i="12"/>
  <c r="H100" i="12"/>
  <c r="G100" i="12"/>
  <c r="F100" i="12"/>
  <c r="E100" i="12"/>
  <c r="D100" i="12"/>
  <c r="C100" i="12"/>
  <c r="H99" i="12"/>
  <c r="G99" i="12"/>
  <c r="F99" i="12"/>
  <c r="E99" i="12"/>
  <c r="D99" i="12"/>
  <c r="C99" i="12"/>
  <c r="H98" i="12"/>
  <c r="G98" i="12"/>
  <c r="F98" i="12"/>
  <c r="E98" i="12"/>
  <c r="D98" i="12"/>
  <c r="C98" i="12"/>
  <c r="H97" i="12"/>
  <c r="G97" i="12"/>
  <c r="F97" i="12"/>
  <c r="E97" i="12"/>
  <c r="D97" i="12"/>
  <c r="C97" i="12"/>
  <c r="H96" i="12"/>
  <c r="G96" i="12"/>
  <c r="F96" i="12"/>
  <c r="E96" i="12"/>
  <c r="D96" i="12"/>
  <c r="C96" i="12"/>
  <c r="H95" i="12"/>
  <c r="G95" i="12"/>
  <c r="F95" i="12"/>
  <c r="E95" i="12"/>
  <c r="D95" i="12"/>
  <c r="C95" i="12"/>
  <c r="H94" i="12"/>
  <c r="G94" i="12"/>
  <c r="F94" i="12"/>
  <c r="E94" i="12"/>
  <c r="D94" i="12"/>
  <c r="C94" i="12"/>
  <c r="H93" i="12"/>
  <c r="G93" i="12"/>
  <c r="F93" i="12"/>
  <c r="E93" i="12"/>
  <c r="D93" i="12"/>
  <c r="C93" i="12"/>
  <c r="H92" i="12"/>
  <c r="G92" i="12"/>
  <c r="F92" i="12"/>
  <c r="E92" i="12"/>
  <c r="D92" i="12"/>
  <c r="C92" i="12"/>
  <c r="H91" i="12"/>
  <c r="G91" i="12"/>
  <c r="F91" i="12"/>
  <c r="E91" i="12"/>
  <c r="D91" i="12"/>
  <c r="C91" i="12"/>
  <c r="H90" i="12"/>
  <c r="G90" i="12"/>
  <c r="F90" i="12"/>
  <c r="E90" i="12"/>
  <c r="D90" i="12"/>
  <c r="C90" i="12"/>
  <c r="H89" i="12"/>
  <c r="G89" i="12"/>
  <c r="F89" i="12"/>
  <c r="E89" i="12"/>
  <c r="D89" i="12"/>
  <c r="C89" i="12"/>
  <c r="H88" i="12"/>
  <c r="G88" i="12"/>
  <c r="F88" i="12"/>
  <c r="E88" i="12"/>
  <c r="D88" i="12"/>
  <c r="C88" i="12"/>
  <c r="H87" i="12"/>
  <c r="G87" i="12"/>
  <c r="F87" i="12"/>
  <c r="E87" i="12"/>
  <c r="D87" i="12"/>
  <c r="C87" i="12"/>
  <c r="H86" i="12"/>
  <c r="G86" i="12"/>
  <c r="F86" i="12"/>
  <c r="E86" i="12"/>
  <c r="D86" i="12"/>
  <c r="C86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J52" i="12"/>
  <c r="K51" i="12"/>
  <c r="J51" i="12"/>
  <c r="K50" i="12"/>
  <c r="J50" i="12"/>
  <c r="K49" i="12"/>
  <c r="J49" i="12"/>
  <c r="H44" i="12"/>
  <c r="G44" i="12"/>
  <c r="F44" i="12"/>
  <c r="E44" i="12"/>
  <c r="D44" i="12"/>
  <c r="C44" i="12"/>
  <c r="H43" i="12"/>
  <c r="G43" i="12"/>
  <c r="F43" i="12"/>
  <c r="E43" i="12"/>
  <c r="D43" i="12"/>
  <c r="C43" i="12"/>
  <c r="H42" i="12"/>
  <c r="G42" i="12"/>
  <c r="F42" i="12"/>
  <c r="E42" i="12"/>
  <c r="D42" i="12"/>
  <c r="C42" i="12"/>
  <c r="H41" i="12"/>
  <c r="G41" i="12"/>
  <c r="F41" i="12"/>
  <c r="E41" i="12"/>
  <c r="D41" i="12"/>
  <c r="C41" i="12"/>
  <c r="H40" i="12"/>
  <c r="G40" i="12"/>
  <c r="E40" i="12"/>
  <c r="D40" i="12"/>
  <c r="C40" i="12"/>
  <c r="H39" i="12"/>
  <c r="G39" i="12"/>
  <c r="F39" i="12"/>
  <c r="E39" i="12"/>
  <c r="D39" i="12"/>
  <c r="C39" i="12"/>
  <c r="H38" i="12"/>
  <c r="G38" i="12"/>
  <c r="F38" i="12"/>
  <c r="E38" i="12"/>
  <c r="D38" i="12"/>
  <c r="C38" i="12"/>
  <c r="H37" i="12"/>
  <c r="H60" i="12" s="1"/>
  <c r="G37" i="12"/>
  <c r="F37" i="12"/>
  <c r="E37" i="12"/>
  <c r="C37" i="12"/>
  <c r="H36" i="12"/>
  <c r="G36" i="12"/>
  <c r="F36" i="12"/>
  <c r="E36" i="12"/>
  <c r="D36" i="12"/>
  <c r="H35" i="12"/>
  <c r="G35" i="12"/>
  <c r="F35" i="12"/>
  <c r="E35" i="12"/>
  <c r="D35" i="12"/>
  <c r="C35" i="12"/>
  <c r="H34" i="12"/>
  <c r="G34" i="12"/>
  <c r="F34" i="12"/>
  <c r="E34" i="12"/>
  <c r="D34" i="12"/>
  <c r="C34" i="12"/>
  <c r="H33" i="12"/>
  <c r="G33" i="12"/>
  <c r="F33" i="12"/>
  <c r="E33" i="12"/>
  <c r="D33" i="12"/>
  <c r="C33" i="12"/>
  <c r="H32" i="12"/>
  <c r="G32" i="12"/>
  <c r="F32" i="12"/>
  <c r="E32" i="12"/>
  <c r="D32" i="12"/>
  <c r="C32" i="12"/>
  <c r="H31" i="12"/>
  <c r="G31" i="12"/>
  <c r="F31" i="12"/>
  <c r="E31" i="12"/>
  <c r="D31" i="12"/>
  <c r="C31" i="12"/>
  <c r="H30" i="12"/>
  <c r="G30" i="12"/>
  <c r="F30" i="12"/>
  <c r="E30" i="12"/>
  <c r="D30" i="12"/>
  <c r="C30" i="12"/>
  <c r="H29" i="12"/>
  <c r="G29" i="12"/>
  <c r="F29" i="12"/>
  <c r="E29" i="12"/>
  <c r="D29" i="12"/>
  <c r="C29" i="12"/>
  <c r="H28" i="12"/>
  <c r="G28" i="12"/>
  <c r="F28" i="12"/>
  <c r="E28" i="12"/>
  <c r="D28" i="12"/>
  <c r="C28" i="12"/>
  <c r="H27" i="12"/>
  <c r="G27" i="12"/>
  <c r="F27" i="12"/>
  <c r="E27" i="12"/>
  <c r="D27" i="12"/>
  <c r="C27" i="12"/>
  <c r="H26" i="12"/>
  <c r="G26" i="12"/>
  <c r="F26" i="12"/>
  <c r="E26" i="12"/>
  <c r="D26" i="12"/>
  <c r="C26" i="12"/>
  <c r="Q72" i="11"/>
  <c r="Q73" i="11"/>
  <c r="Q74" i="11"/>
  <c r="Q75" i="11"/>
  <c r="Q76" i="11"/>
  <c r="O57" i="11"/>
  <c r="O58" i="11"/>
  <c r="O59" i="11"/>
  <c r="O60" i="11"/>
  <c r="O61" i="11"/>
  <c r="N52" i="11"/>
  <c r="N53" i="11"/>
  <c r="N54" i="11"/>
  <c r="N55" i="11"/>
  <c r="N56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2" i="11"/>
  <c r="AN3" i="8"/>
  <c r="AN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2" i="8"/>
  <c r="AM3" i="8"/>
  <c r="AM4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2" i="8"/>
  <c r="AL3" i="8"/>
  <c r="AL4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2" i="8"/>
  <c r="AK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2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L4" i="15" l="1"/>
  <c r="C67" i="12"/>
  <c r="E66" i="12"/>
  <c r="C66" i="12"/>
  <c r="C62" i="12"/>
  <c r="C49" i="12"/>
  <c r="E61" i="12"/>
  <c r="E53" i="12"/>
  <c r="H62" i="12"/>
  <c r="H54" i="12"/>
  <c r="C53" i="12"/>
  <c r="E49" i="12"/>
  <c r="E60" i="12"/>
  <c r="E52" i="12"/>
  <c r="H61" i="12"/>
  <c r="C60" i="12"/>
  <c r="C52" i="12"/>
  <c r="E67" i="12"/>
  <c r="E59" i="12"/>
  <c r="E51" i="12"/>
  <c r="F62" i="12"/>
  <c r="H49" i="12"/>
  <c r="C51" i="12"/>
  <c r="E58" i="12"/>
  <c r="E50" i="12"/>
  <c r="F61" i="12"/>
  <c r="F53" i="12"/>
  <c r="G56" i="12"/>
  <c r="C58" i="12"/>
  <c r="C50" i="12"/>
  <c r="E65" i="12"/>
  <c r="E57" i="12"/>
  <c r="F49" i="12"/>
  <c r="F60" i="12"/>
  <c r="H58" i="12"/>
  <c r="H50" i="12"/>
  <c r="C65" i="12"/>
  <c r="C57" i="12"/>
  <c r="E64" i="12"/>
  <c r="E56" i="12"/>
  <c r="F59" i="12"/>
  <c r="G62" i="12"/>
  <c r="G54" i="12"/>
  <c r="C64" i="12"/>
  <c r="C56" i="12"/>
  <c r="E63" i="12"/>
  <c r="E55" i="12"/>
  <c r="G61" i="12"/>
  <c r="C63" i="12"/>
  <c r="C55" i="12"/>
  <c r="D49" i="12"/>
  <c r="E62" i="12"/>
  <c r="E54" i="12"/>
  <c r="F57" i="12"/>
  <c r="G49" i="12"/>
  <c r="G60" i="12"/>
  <c r="G52" i="12"/>
  <c r="J1292" i="1"/>
  <c r="D8" i="9"/>
  <c r="S1255" i="1"/>
  <c r="T1252" i="1" s="1"/>
  <c r="J1240" i="1"/>
  <c r="R1232" i="1"/>
  <c r="S1230" i="1" s="1"/>
  <c r="C80" i="12"/>
  <c r="C79" i="12"/>
  <c r="C81" i="12"/>
  <c r="D72" i="12"/>
  <c r="C150" i="12" s="1"/>
  <c r="J1241" i="1"/>
  <c r="J1242" i="1"/>
  <c r="G64" i="12"/>
  <c r="E125" i="12"/>
  <c r="F123" i="12"/>
  <c r="G123" i="12"/>
  <c r="F64" i="12"/>
  <c r="H124" i="12"/>
  <c r="E122" i="12"/>
  <c r="F51" i="12"/>
  <c r="F113" i="12"/>
  <c r="H64" i="12"/>
  <c r="F125" i="12"/>
  <c r="G63" i="12"/>
  <c r="H63" i="12"/>
  <c r="H67" i="12"/>
  <c r="H110" i="12"/>
  <c r="F66" i="12"/>
  <c r="H114" i="12"/>
  <c r="G67" i="12"/>
  <c r="F52" i="12"/>
  <c r="H53" i="12"/>
  <c r="F56" i="12"/>
  <c r="H57" i="12"/>
  <c r="S1247" i="1"/>
  <c r="T1245" i="1" s="1"/>
  <c r="AC85" i="8"/>
  <c r="AC87" i="8" s="1"/>
  <c r="E116" i="12"/>
  <c r="G117" i="12"/>
  <c r="E124" i="12"/>
  <c r="F108" i="12"/>
  <c r="F112" i="12"/>
  <c r="F116" i="12"/>
  <c r="H121" i="12"/>
  <c r="E107" i="12"/>
  <c r="G112" i="12"/>
  <c r="E123" i="12"/>
  <c r="E112" i="12"/>
  <c r="G121" i="12"/>
  <c r="H113" i="12"/>
  <c r="F124" i="12"/>
  <c r="E111" i="12"/>
  <c r="E115" i="12"/>
  <c r="E136" i="12" s="1"/>
  <c r="G120" i="12"/>
  <c r="H107" i="12"/>
  <c r="F110" i="12"/>
  <c r="H111" i="12"/>
  <c r="F114" i="12"/>
  <c r="H115" i="12"/>
  <c r="F118" i="12"/>
  <c r="H119" i="12"/>
  <c r="H140" i="12" s="1"/>
  <c r="F122" i="12"/>
  <c r="H123" i="12"/>
  <c r="E108" i="12"/>
  <c r="G113" i="12"/>
  <c r="E120" i="12"/>
  <c r="E141" i="12" s="1"/>
  <c r="H109" i="12"/>
  <c r="F120" i="12"/>
  <c r="F141" i="12" s="1"/>
  <c r="H125" i="12"/>
  <c r="G116" i="12"/>
  <c r="G109" i="12"/>
  <c r="G125" i="12"/>
  <c r="H117" i="12"/>
  <c r="G108" i="12"/>
  <c r="E119" i="12"/>
  <c r="E140" i="12" s="1"/>
  <c r="G124" i="12"/>
  <c r="E109" i="12"/>
  <c r="G110" i="12"/>
  <c r="E121" i="12"/>
  <c r="G118" i="12"/>
  <c r="G122" i="12"/>
  <c r="E113" i="12"/>
  <c r="E117" i="12"/>
  <c r="E138" i="12" s="1"/>
  <c r="G114" i="12"/>
  <c r="G66" i="12"/>
  <c r="G55" i="12"/>
  <c r="F109" i="12"/>
  <c r="F117" i="12"/>
  <c r="H118" i="12"/>
  <c r="H139" i="12" s="1"/>
  <c r="F121" i="12"/>
  <c r="F142" i="12" s="1"/>
  <c r="H122" i="12"/>
  <c r="H55" i="12"/>
  <c r="G53" i="12"/>
  <c r="G57" i="12"/>
  <c r="H65" i="12"/>
  <c r="F107" i="12"/>
  <c r="H108" i="12"/>
  <c r="H129" i="12" s="1"/>
  <c r="F111" i="12"/>
  <c r="F132" i="12" s="1"/>
  <c r="H112" i="12"/>
  <c r="H133" i="12" s="1"/>
  <c r="F115" i="12"/>
  <c r="H116" i="12"/>
  <c r="H137" i="12" s="1"/>
  <c r="F119" i="12"/>
  <c r="H120" i="12"/>
  <c r="H52" i="12"/>
  <c r="F55" i="12"/>
  <c r="H56" i="12"/>
  <c r="G107" i="12"/>
  <c r="E110" i="12"/>
  <c r="G111" i="12"/>
  <c r="E114" i="12"/>
  <c r="G115" i="12"/>
  <c r="E118" i="12"/>
  <c r="E139" i="12" s="1"/>
  <c r="G119" i="12"/>
  <c r="G140" i="12" s="1"/>
  <c r="G59" i="12"/>
  <c r="F65" i="12"/>
  <c r="G58" i="12"/>
  <c r="F67" i="12"/>
  <c r="G65" i="12"/>
  <c r="G50" i="12"/>
  <c r="G51" i="12"/>
  <c r="H66" i="12"/>
  <c r="F50" i="12"/>
  <c r="H51" i="12"/>
  <c r="F54" i="12"/>
  <c r="F58" i="12"/>
  <c r="H59" i="12"/>
  <c r="X55" i="11"/>
  <c r="X54" i="11"/>
  <c r="X56" i="11"/>
  <c r="X53" i="11"/>
  <c r="Y57" i="11"/>
  <c r="AA76" i="11"/>
  <c r="AA75" i="11"/>
  <c r="AA72" i="11"/>
  <c r="AA74" i="11"/>
  <c r="AA73" i="11"/>
  <c r="X52" i="11"/>
  <c r="Y61" i="11"/>
  <c r="Y60" i="11"/>
  <c r="Y59" i="11"/>
  <c r="Y58" i="11"/>
  <c r="L7" i="15" l="1"/>
  <c r="M4" i="15"/>
  <c r="G135" i="12"/>
  <c r="C153" i="12"/>
  <c r="F128" i="12"/>
  <c r="F138" i="12"/>
  <c r="G139" i="12"/>
  <c r="F140" i="12"/>
  <c r="G131" i="12"/>
  <c r="G141" i="12"/>
  <c r="G133" i="12"/>
  <c r="H141" i="12"/>
  <c r="E142" i="12"/>
  <c r="E130" i="12"/>
  <c r="E128" i="12"/>
  <c r="F136" i="12"/>
  <c r="F139" i="12"/>
  <c r="E132" i="12"/>
  <c r="D75" i="12"/>
  <c r="E134" i="12"/>
  <c r="T1250" i="1"/>
  <c r="T1253" i="1"/>
  <c r="T1254" i="1"/>
  <c r="T1251" i="1"/>
  <c r="F131" i="12"/>
  <c r="F135" i="12"/>
  <c r="S1231" i="1"/>
  <c r="S1229" i="1"/>
  <c r="H143" i="12"/>
  <c r="G143" i="12"/>
  <c r="F145" i="12"/>
  <c r="E129" i="12"/>
  <c r="H128" i="12"/>
  <c r="E137" i="12"/>
  <c r="H132" i="12"/>
  <c r="G142" i="12"/>
  <c r="F146" i="12"/>
  <c r="F143" i="12"/>
  <c r="E146" i="12"/>
  <c r="H145" i="12"/>
  <c r="F134" i="12"/>
  <c r="F130" i="12"/>
  <c r="E145" i="12"/>
  <c r="G144" i="12"/>
  <c r="E143" i="12"/>
  <c r="G146" i="12"/>
  <c r="H146" i="12"/>
  <c r="H142" i="12"/>
  <c r="H131" i="12"/>
  <c r="H136" i="12"/>
  <c r="H135" i="12"/>
  <c r="T1244" i="1"/>
  <c r="T1246" i="1"/>
  <c r="T1243" i="1"/>
  <c r="H134" i="12"/>
  <c r="G128" i="12"/>
  <c r="E131" i="12"/>
  <c r="E144" i="12"/>
  <c r="H144" i="12"/>
  <c r="F133" i="12"/>
  <c r="G145" i="12"/>
  <c r="F137" i="12"/>
  <c r="G136" i="12"/>
  <c r="G134" i="12"/>
  <c r="E68" i="12"/>
  <c r="G137" i="12"/>
  <c r="G129" i="12"/>
  <c r="F129" i="12"/>
  <c r="H138" i="12"/>
  <c r="E135" i="12"/>
  <c r="G68" i="12"/>
  <c r="F68" i="12"/>
  <c r="G138" i="12"/>
  <c r="G132" i="12"/>
  <c r="E133" i="12"/>
  <c r="H68" i="12"/>
  <c r="F144" i="12"/>
  <c r="G130" i="12"/>
  <c r="H130" i="12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30" i="4"/>
  <c r="N31" i="4"/>
  <c r="N32" i="4"/>
  <c r="N33" i="4"/>
  <c r="N34" i="4"/>
  <c r="N35" i="4"/>
  <c r="N40" i="4"/>
  <c r="N41" i="4"/>
  <c r="N42" i="4"/>
  <c r="N43" i="4"/>
  <c r="T1255" i="1" l="1"/>
  <c r="S1232" i="1"/>
  <c r="T1247" i="1"/>
  <c r="P57" i="11"/>
  <c r="Z57" i="11" s="1"/>
  <c r="P58" i="11"/>
  <c r="Z58" i="11" s="1"/>
  <c r="P59" i="11"/>
  <c r="Z59" i="11" s="1"/>
  <c r="P60" i="11"/>
  <c r="Z60" i="11" s="1"/>
  <c r="P61" i="11"/>
  <c r="Z61" i="11" s="1"/>
  <c r="S59" i="11"/>
  <c r="AC59" i="11" s="1"/>
  <c r="S57" i="11"/>
  <c r="AC57" i="11" s="1"/>
  <c r="S58" i="11"/>
  <c r="AC58" i="11" s="1"/>
  <c r="S60" i="11"/>
  <c r="AC60" i="11" s="1"/>
  <c r="S61" i="11"/>
  <c r="AC61" i="11" s="1"/>
  <c r="AK67" i="11"/>
  <c r="AV67" i="11" s="1"/>
  <c r="AK68" i="11"/>
  <c r="AV68" i="11" s="1"/>
  <c r="AK69" i="11"/>
  <c r="AV69" i="11" s="1"/>
  <c r="AK70" i="11"/>
  <c r="AV70" i="11" s="1"/>
  <c r="AK71" i="11"/>
  <c r="AV71" i="11" s="1"/>
  <c r="AL38" i="11"/>
  <c r="AW38" i="11" s="1"/>
  <c r="AL39" i="11"/>
  <c r="AW39" i="11" s="1"/>
  <c r="AL40" i="11"/>
  <c r="AW40" i="11" s="1"/>
  <c r="AL37" i="11"/>
  <c r="AW37" i="11" s="1"/>
  <c r="AL41" i="11"/>
  <c r="AW41" i="11" s="1"/>
  <c r="AM11" i="11"/>
  <c r="AX11" i="11" s="1"/>
  <c r="AM7" i="11"/>
  <c r="AX7" i="11" s="1"/>
  <c r="AM8" i="11"/>
  <c r="AX8" i="11" s="1"/>
  <c r="AM9" i="11"/>
  <c r="AX9" i="11" s="1"/>
  <c r="AM10" i="11"/>
  <c r="AX10" i="11" s="1"/>
  <c r="N19" i="11"/>
  <c r="X19" i="11" s="1"/>
  <c r="N20" i="11"/>
  <c r="X20" i="11" s="1"/>
  <c r="N21" i="11"/>
  <c r="X21" i="11" s="1"/>
  <c r="N17" i="11"/>
  <c r="X17" i="11" s="1"/>
  <c r="N18" i="11"/>
  <c r="X18" i="11" s="1"/>
  <c r="N59" i="11"/>
  <c r="X59" i="11" s="1"/>
  <c r="N60" i="11"/>
  <c r="X60" i="11" s="1"/>
  <c r="N61" i="11"/>
  <c r="X61" i="11" s="1"/>
  <c r="N57" i="11"/>
  <c r="X57" i="11" s="1"/>
  <c r="N58" i="11"/>
  <c r="X58" i="11" s="1"/>
  <c r="P92" i="11"/>
  <c r="Z92" i="11" s="1"/>
  <c r="P93" i="11"/>
  <c r="Z93" i="11" s="1"/>
  <c r="P94" i="11"/>
  <c r="Z94" i="11" s="1"/>
  <c r="P95" i="11"/>
  <c r="Z95" i="11" s="1"/>
  <c r="P96" i="11"/>
  <c r="Z96" i="11" s="1"/>
  <c r="P52" i="11"/>
  <c r="Z52" i="11" s="1"/>
  <c r="P53" i="11"/>
  <c r="Z53" i="11" s="1"/>
  <c r="P54" i="11"/>
  <c r="Z54" i="11" s="1"/>
  <c r="P55" i="11"/>
  <c r="Z55" i="11" s="1"/>
  <c r="P56" i="11"/>
  <c r="Z56" i="11" s="1"/>
  <c r="P12" i="11"/>
  <c r="Z12" i="11" s="1"/>
  <c r="P13" i="11"/>
  <c r="Z13" i="11" s="1"/>
  <c r="P14" i="11"/>
  <c r="Z14" i="11" s="1"/>
  <c r="P15" i="11"/>
  <c r="Z15" i="11" s="1"/>
  <c r="P16" i="11"/>
  <c r="Z16" i="11" s="1"/>
  <c r="Q63" i="11"/>
  <c r="AA63" i="11" s="1"/>
  <c r="Q66" i="11"/>
  <c r="AA66" i="11" s="1"/>
  <c r="Q62" i="11"/>
  <c r="AA62" i="11" s="1"/>
  <c r="Q64" i="11"/>
  <c r="AA64" i="11" s="1"/>
  <c r="Q65" i="11"/>
  <c r="AA65" i="11" s="1"/>
  <c r="Q23" i="11"/>
  <c r="AA23" i="11" s="1"/>
  <c r="Q24" i="11"/>
  <c r="AA24" i="11" s="1"/>
  <c r="Q25" i="11"/>
  <c r="AA25" i="11" s="1"/>
  <c r="Q26" i="11"/>
  <c r="AA26" i="11" s="1"/>
  <c r="Q22" i="11"/>
  <c r="AA22" i="11" s="1"/>
  <c r="R78" i="11"/>
  <c r="AB78" i="11" s="1"/>
  <c r="R77" i="11"/>
  <c r="AB77" i="11" s="1"/>
  <c r="R79" i="11"/>
  <c r="AB79" i="11" s="1"/>
  <c r="R80" i="11"/>
  <c r="AB80" i="11" s="1"/>
  <c r="R81" i="11"/>
  <c r="AB81" i="11" s="1"/>
  <c r="R38" i="11"/>
  <c r="AB38" i="11" s="1"/>
  <c r="R37" i="11"/>
  <c r="AB37" i="11" s="1"/>
  <c r="R39" i="11"/>
  <c r="AB39" i="11" s="1"/>
  <c r="R40" i="11"/>
  <c r="AB40" i="11" s="1"/>
  <c r="R41" i="11"/>
  <c r="AB41" i="11" s="1"/>
  <c r="S93" i="11"/>
  <c r="AC93" i="11" s="1"/>
  <c r="S94" i="11"/>
  <c r="AC94" i="11" s="1"/>
  <c r="S95" i="11"/>
  <c r="AC95" i="11" s="1"/>
  <c r="S96" i="11"/>
  <c r="AC96" i="11" s="1"/>
  <c r="S92" i="11"/>
  <c r="AC92" i="11" s="1"/>
  <c r="S56" i="11"/>
  <c r="AC56" i="11" s="1"/>
  <c r="S52" i="11"/>
  <c r="AC52" i="11" s="1"/>
  <c r="S55" i="11"/>
  <c r="AC55" i="11" s="1"/>
  <c r="S53" i="11"/>
  <c r="AC53" i="11" s="1"/>
  <c r="S54" i="11"/>
  <c r="AC54" i="11" s="1"/>
  <c r="S12" i="11"/>
  <c r="AC12" i="11" s="1"/>
  <c r="S13" i="11"/>
  <c r="AC13" i="11" s="1"/>
  <c r="S14" i="11"/>
  <c r="AC14" i="11" s="1"/>
  <c r="S15" i="11"/>
  <c r="AC15" i="11" s="1"/>
  <c r="S16" i="11"/>
  <c r="AC16" i="11" s="1"/>
  <c r="O67" i="11"/>
  <c r="Y67" i="11" s="1"/>
  <c r="O68" i="11"/>
  <c r="Y68" i="11" s="1"/>
  <c r="O69" i="11"/>
  <c r="Y69" i="11" s="1"/>
  <c r="O70" i="11"/>
  <c r="Y70" i="11" s="1"/>
  <c r="O71" i="11"/>
  <c r="Y71" i="11" s="1"/>
  <c r="O26" i="11"/>
  <c r="Y26" i="11" s="1"/>
  <c r="O22" i="11"/>
  <c r="Y22" i="11" s="1"/>
  <c r="O23" i="11"/>
  <c r="Y23" i="11" s="1"/>
  <c r="O24" i="11"/>
  <c r="Y24" i="11" s="1"/>
  <c r="O25" i="11"/>
  <c r="Y25" i="11" s="1"/>
  <c r="AI2" i="11"/>
  <c r="AI5" i="11"/>
  <c r="AI6" i="11"/>
  <c r="AI4" i="11"/>
  <c r="AI3" i="11"/>
  <c r="AI58" i="11"/>
  <c r="AI60" i="11"/>
  <c r="AI61" i="11"/>
  <c r="AI57" i="11"/>
  <c r="AI59" i="11"/>
  <c r="AI18" i="11"/>
  <c r="AI17" i="11"/>
  <c r="AI19" i="11"/>
  <c r="AI20" i="11"/>
  <c r="AI21" i="11"/>
  <c r="AJ92" i="11"/>
  <c r="AU92" i="11" s="1"/>
  <c r="AJ93" i="11"/>
  <c r="AU93" i="11" s="1"/>
  <c r="AJ94" i="11"/>
  <c r="AU94" i="11" s="1"/>
  <c r="AJ95" i="11"/>
  <c r="AU95" i="11" s="1"/>
  <c r="AJ96" i="11"/>
  <c r="AU96" i="11" s="1"/>
  <c r="AJ53" i="11"/>
  <c r="AU53" i="11" s="1"/>
  <c r="AJ54" i="11"/>
  <c r="AU54" i="11" s="1"/>
  <c r="AJ55" i="11"/>
  <c r="AU55" i="11" s="1"/>
  <c r="AJ56" i="11"/>
  <c r="AU56" i="11" s="1"/>
  <c r="AJ52" i="11"/>
  <c r="AU52" i="11" s="1"/>
  <c r="AJ16" i="11"/>
  <c r="AU16" i="11" s="1"/>
  <c r="AJ12" i="11"/>
  <c r="AU12" i="11" s="1"/>
  <c r="AJ13" i="11"/>
  <c r="AU13" i="11" s="1"/>
  <c r="AJ14" i="11"/>
  <c r="AU14" i="11" s="1"/>
  <c r="AJ15" i="11"/>
  <c r="AU15" i="11" s="1"/>
  <c r="AK64" i="11"/>
  <c r="AV64" i="11" s="1"/>
  <c r="AK66" i="11"/>
  <c r="AV66" i="11" s="1"/>
  <c r="AK62" i="11"/>
  <c r="AV62" i="11" s="1"/>
  <c r="AK63" i="11"/>
  <c r="AV63" i="11" s="1"/>
  <c r="AK65" i="11"/>
  <c r="AV65" i="11" s="1"/>
  <c r="AK24" i="11"/>
  <c r="AV24" i="11" s="1"/>
  <c r="AK22" i="11"/>
  <c r="AV22" i="11" s="1"/>
  <c r="AK23" i="11"/>
  <c r="AV23" i="11" s="1"/>
  <c r="AK25" i="11"/>
  <c r="AV25" i="11" s="1"/>
  <c r="AK26" i="11"/>
  <c r="AV26" i="11" s="1"/>
  <c r="AL76" i="11"/>
  <c r="AW76" i="11" s="1"/>
  <c r="BH76" i="11" s="1"/>
  <c r="AL72" i="11"/>
  <c r="AW72" i="11" s="1"/>
  <c r="BH72" i="11" s="1"/>
  <c r="AL73" i="11"/>
  <c r="AW73" i="11" s="1"/>
  <c r="BH73" i="11" s="1"/>
  <c r="AL74" i="11"/>
  <c r="AW74" i="11" s="1"/>
  <c r="BH74" i="11" s="1"/>
  <c r="AL75" i="11"/>
  <c r="AW75" i="11" s="1"/>
  <c r="BH75" i="11" s="1"/>
  <c r="AL36" i="11"/>
  <c r="AW36" i="11" s="1"/>
  <c r="AL32" i="11"/>
  <c r="AW32" i="11" s="1"/>
  <c r="AL35" i="11"/>
  <c r="AW35" i="11" s="1"/>
  <c r="AL33" i="11"/>
  <c r="AW33" i="11" s="1"/>
  <c r="AL34" i="11"/>
  <c r="AW34" i="11" s="1"/>
  <c r="AM83" i="11"/>
  <c r="AX83" i="11" s="1"/>
  <c r="AM85" i="11"/>
  <c r="AX85" i="11" s="1"/>
  <c r="AM86" i="11"/>
  <c r="AX86" i="11" s="1"/>
  <c r="AM82" i="11"/>
  <c r="AX82" i="11" s="1"/>
  <c r="AM84" i="11"/>
  <c r="AX84" i="11" s="1"/>
  <c r="AM43" i="11"/>
  <c r="AX43" i="11" s="1"/>
  <c r="AM45" i="11"/>
  <c r="AX45" i="11" s="1"/>
  <c r="AM46" i="11"/>
  <c r="AX46" i="11" s="1"/>
  <c r="AM42" i="11"/>
  <c r="AX42" i="11" s="1"/>
  <c r="AM44" i="11"/>
  <c r="AX44" i="11" s="1"/>
  <c r="AN92" i="11"/>
  <c r="AY92" i="11" s="1"/>
  <c r="AN93" i="11"/>
  <c r="AY93" i="11" s="1"/>
  <c r="AN94" i="11"/>
  <c r="AY94" i="11" s="1"/>
  <c r="AN95" i="11"/>
  <c r="AY95" i="11" s="1"/>
  <c r="AN96" i="11"/>
  <c r="AY96" i="11" s="1"/>
  <c r="AN52" i="11"/>
  <c r="AY52" i="11" s="1"/>
  <c r="AN53" i="11"/>
  <c r="AY53" i="11" s="1"/>
  <c r="AN54" i="11"/>
  <c r="AY54" i="11" s="1"/>
  <c r="AN55" i="11"/>
  <c r="AY55" i="11" s="1"/>
  <c r="AN56" i="11"/>
  <c r="AY56" i="11" s="1"/>
  <c r="AN12" i="11"/>
  <c r="AY12" i="11" s="1"/>
  <c r="AN13" i="11"/>
  <c r="AY13" i="11" s="1"/>
  <c r="AN14" i="11"/>
  <c r="AY14" i="11" s="1"/>
  <c r="AN15" i="11"/>
  <c r="AY15" i="11" s="1"/>
  <c r="AN16" i="11"/>
  <c r="AY16" i="11" s="1"/>
  <c r="P17" i="11"/>
  <c r="Z17" i="11" s="1"/>
  <c r="P18" i="11"/>
  <c r="Z18" i="11" s="1"/>
  <c r="P19" i="11"/>
  <c r="Z19" i="11" s="1"/>
  <c r="P20" i="11"/>
  <c r="Z20" i="11" s="1"/>
  <c r="P21" i="11"/>
  <c r="Z21" i="11" s="1"/>
  <c r="O74" i="11"/>
  <c r="Y74" i="11" s="1"/>
  <c r="O75" i="11"/>
  <c r="Y75" i="11" s="1"/>
  <c r="O76" i="11"/>
  <c r="Y76" i="11" s="1"/>
  <c r="O72" i="11"/>
  <c r="Y72" i="11" s="1"/>
  <c r="O73" i="11"/>
  <c r="Y73" i="11" s="1"/>
  <c r="AN2" i="11"/>
  <c r="AY2" i="11" s="1"/>
  <c r="AN4" i="11"/>
  <c r="AY4" i="11" s="1"/>
  <c r="AN5" i="11"/>
  <c r="AY5" i="11" s="1"/>
  <c r="AN6" i="11"/>
  <c r="AY6" i="11" s="1"/>
  <c r="AN3" i="11"/>
  <c r="AY3" i="11" s="1"/>
  <c r="AK29" i="11"/>
  <c r="AV29" i="11" s="1"/>
  <c r="AK30" i="11"/>
  <c r="AV30" i="11" s="1"/>
  <c r="AK31" i="11"/>
  <c r="AV31" i="11" s="1"/>
  <c r="AK27" i="11"/>
  <c r="AV27" i="11" s="1"/>
  <c r="AK28" i="11"/>
  <c r="AV28" i="11" s="1"/>
  <c r="AN58" i="11"/>
  <c r="AY58" i="11" s="1"/>
  <c r="AN60" i="11"/>
  <c r="AY60" i="11" s="1"/>
  <c r="AN61" i="11"/>
  <c r="AY61" i="11" s="1"/>
  <c r="AN57" i="11"/>
  <c r="AY57" i="11" s="1"/>
  <c r="AN59" i="11"/>
  <c r="AY59" i="11" s="1"/>
  <c r="N92" i="11"/>
  <c r="X92" i="11" s="1"/>
  <c r="N93" i="11"/>
  <c r="X93" i="11" s="1"/>
  <c r="N94" i="11"/>
  <c r="X94" i="11" s="1"/>
  <c r="N95" i="11"/>
  <c r="X95" i="11" s="1"/>
  <c r="N96" i="11"/>
  <c r="X96" i="11" s="1"/>
  <c r="N51" i="11"/>
  <c r="X51" i="11" s="1"/>
  <c r="N47" i="11"/>
  <c r="X47" i="11" s="1"/>
  <c r="N48" i="11"/>
  <c r="X48" i="11" s="1"/>
  <c r="N49" i="11"/>
  <c r="X49" i="11" s="1"/>
  <c r="N50" i="11"/>
  <c r="X50" i="11" s="1"/>
  <c r="P89" i="11"/>
  <c r="Z89" i="11" s="1"/>
  <c r="P90" i="11"/>
  <c r="Z90" i="11" s="1"/>
  <c r="P91" i="11"/>
  <c r="Z91" i="11" s="1"/>
  <c r="P87" i="11"/>
  <c r="Z87" i="11" s="1"/>
  <c r="P88" i="11"/>
  <c r="Z88" i="11" s="1"/>
  <c r="P49" i="11"/>
  <c r="Z49" i="11" s="1"/>
  <c r="P50" i="11"/>
  <c r="Z50" i="11" s="1"/>
  <c r="P51" i="11"/>
  <c r="Z51" i="11" s="1"/>
  <c r="P47" i="11"/>
  <c r="Z47" i="11" s="1"/>
  <c r="P48" i="11"/>
  <c r="Z48" i="11" s="1"/>
  <c r="P8" i="11"/>
  <c r="Z8" i="11" s="1"/>
  <c r="P9" i="11"/>
  <c r="Z9" i="11" s="1"/>
  <c r="P10" i="11"/>
  <c r="Z10" i="11" s="1"/>
  <c r="P11" i="11"/>
  <c r="Z11" i="11" s="1"/>
  <c r="P7" i="11"/>
  <c r="Z7" i="11" s="1"/>
  <c r="Q61" i="11"/>
  <c r="AA61" i="11" s="1"/>
  <c r="Q57" i="11"/>
  <c r="AA57" i="11" s="1"/>
  <c r="Q58" i="11"/>
  <c r="AA58" i="11" s="1"/>
  <c r="Q59" i="11"/>
  <c r="AA59" i="11" s="1"/>
  <c r="Q60" i="11"/>
  <c r="AA60" i="11" s="1"/>
  <c r="Q21" i="11"/>
  <c r="AA21" i="11" s="1"/>
  <c r="Q17" i="11"/>
  <c r="AA17" i="11" s="1"/>
  <c r="Q18" i="11"/>
  <c r="AA18" i="11" s="1"/>
  <c r="Q19" i="11"/>
  <c r="AA19" i="11" s="1"/>
  <c r="Q20" i="11"/>
  <c r="AA20" i="11" s="1"/>
  <c r="R76" i="11"/>
  <c r="AB76" i="11" s="1"/>
  <c r="R75" i="11"/>
  <c r="AB75" i="11" s="1"/>
  <c r="R72" i="11"/>
  <c r="AB72" i="11" s="1"/>
  <c r="R73" i="11"/>
  <c r="AB73" i="11" s="1"/>
  <c r="R74" i="11"/>
  <c r="AB74" i="11" s="1"/>
  <c r="R36" i="11"/>
  <c r="AB36" i="11" s="1"/>
  <c r="R33" i="11"/>
  <c r="AB33" i="11" s="1"/>
  <c r="R34" i="11"/>
  <c r="AB34" i="11" s="1"/>
  <c r="R35" i="11"/>
  <c r="AB35" i="11" s="1"/>
  <c r="R32" i="11"/>
  <c r="AB32" i="11" s="1"/>
  <c r="S89" i="11"/>
  <c r="AC89" i="11" s="1"/>
  <c r="S90" i="11"/>
  <c r="AC90" i="11" s="1"/>
  <c r="S91" i="11"/>
  <c r="AC91" i="11" s="1"/>
  <c r="S87" i="11"/>
  <c r="AC87" i="11" s="1"/>
  <c r="S88" i="11"/>
  <c r="AC88" i="11" s="1"/>
  <c r="S51" i="11"/>
  <c r="AC51" i="11" s="1"/>
  <c r="S47" i="11"/>
  <c r="AC47" i="11" s="1"/>
  <c r="S48" i="11"/>
  <c r="AC48" i="11" s="1"/>
  <c r="S49" i="11"/>
  <c r="AC49" i="11" s="1"/>
  <c r="S50" i="11"/>
  <c r="AC50" i="11" s="1"/>
  <c r="S11" i="11"/>
  <c r="AC11" i="11" s="1"/>
  <c r="S10" i="11"/>
  <c r="AC10" i="11" s="1"/>
  <c r="S8" i="11"/>
  <c r="AC8" i="11" s="1"/>
  <c r="S9" i="11"/>
  <c r="AC9" i="11" s="1"/>
  <c r="S7" i="11"/>
  <c r="AC7" i="11" s="1"/>
  <c r="O66" i="11"/>
  <c r="Y66" i="11" s="1"/>
  <c r="O62" i="11"/>
  <c r="Y62" i="11" s="1"/>
  <c r="O63" i="11"/>
  <c r="Y63" i="11" s="1"/>
  <c r="O64" i="11"/>
  <c r="Y64" i="11" s="1"/>
  <c r="O65" i="11"/>
  <c r="Y65" i="11" s="1"/>
  <c r="O18" i="11"/>
  <c r="Y18" i="11" s="1"/>
  <c r="O19" i="11"/>
  <c r="Y19" i="11" s="1"/>
  <c r="O20" i="11"/>
  <c r="Y20" i="11" s="1"/>
  <c r="O21" i="11"/>
  <c r="Y21" i="11" s="1"/>
  <c r="O17" i="11"/>
  <c r="Y17" i="11" s="1"/>
  <c r="AI96" i="11"/>
  <c r="AI92" i="11"/>
  <c r="AI93" i="11"/>
  <c r="AI94" i="11"/>
  <c r="AI95" i="11"/>
  <c r="AI52" i="11"/>
  <c r="AI53" i="11"/>
  <c r="AI54" i="11"/>
  <c r="AI55" i="11"/>
  <c r="AI56" i="11"/>
  <c r="AI14" i="11"/>
  <c r="AI15" i="11"/>
  <c r="AI16" i="11"/>
  <c r="AI12" i="11"/>
  <c r="AI13" i="11"/>
  <c r="AJ89" i="11"/>
  <c r="AU89" i="11" s="1"/>
  <c r="AJ91" i="11"/>
  <c r="AU91" i="11" s="1"/>
  <c r="AJ87" i="11"/>
  <c r="AU87" i="11" s="1"/>
  <c r="AJ88" i="11"/>
  <c r="AU88" i="11" s="1"/>
  <c r="AJ90" i="11"/>
  <c r="AU90" i="11" s="1"/>
  <c r="AJ49" i="11"/>
  <c r="AU49" i="11" s="1"/>
  <c r="AJ47" i="11"/>
  <c r="AU47" i="11" s="1"/>
  <c r="AJ48" i="11"/>
  <c r="AU48" i="11" s="1"/>
  <c r="AJ50" i="11"/>
  <c r="AU50" i="11" s="1"/>
  <c r="AJ51" i="11"/>
  <c r="AU51" i="11" s="1"/>
  <c r="AJ9" i="11"/>
  <c r="AU9" i="11" s="1"/>
  <c r="AJ7" i="11"/>
  <c r="AU7" i="11" s="1"/>
  <c r="AJ8" i="11"/>
  <c r="AU8" i="11" s="1"/>
  <c r="AJ10" i="11"/>
  <c r="AU10" i="11" s="1"/>
  <c r="AJ11" i="11"/>
  <c r="AU11" i="11" s="1"/>
  <c r="AK57" i="11"/>
  <c r="AV57" i="11" s="1"/>
  <c r="AK58" i="11"/>
  <c r="AV58" i="11" s="1"/>
  <c r="AK59" i="11"/>
  <c r="AV59" i="11" s="1"/>
  <c r="AK60" i="11"/>
  <c r="AV60" i="11" s="1"/>
  <c r="AK61" i="11"/>
  <c r="AV61" i="11" s="1"/>
  <c r="AK21" i="11"/>
  <c r="AV21" i="11" s="1"/>
  <c r="AK19" i="11"/>
  <c r="AV19" i="11" s="1"/>
  <c r="AK20" i="11"/>
  <c r="AV20" i="11" s="1"/>
  <c r="AK17" i="11"/>
  <c r="AV17" i="11" s="1"/>
  <c r="AK18" i="11"/>
  <c r="AV18" i="11" s="1"/>
  <c r="AL68" i="11"/>
  <c r="AW68" i="11" s="1"/>
  <c r="AL71" i="11"/>
  <c r="AW71" i="11" s="1"/>
  <c r="AL67" i="11"/>
  <c r="AW67" i="11" s="1"/>
  <c r="AL69" i="11"/>
  <c r="AW69" i="11" s="1"/>
  <c r="AL70" i="11"/>
  <c r="AW70" i="11" s="1"/>
  <c r="AL28" i="11"/>
  <c r="AW28" i="11" s="1"/>
  <c r="AL30" i="11"/>
  <c r="AW30" i="11" s="1"/>
  <c r="AL31" i="11"/>
  <c r="AW31" i="11" s="1"/>
  <c r="AL27" i="11"/>
  <c r="AW27" i="11" s="1"/>
  <c r="AL29" i="11"/>
  <c r="AW29" i="11" s="1"/>
  <c r="AM77" i="11"/>
  <c r="AX77" i="11" s="1"/>
  <c r="AM78" i="11"/>
  <c r="AX78" i="11" s="1"/>
  <c r="BI78" i="11" s="1"/>
  <c r="AM79" i="11"/>
  <c r="AX79" i="11" s="1"/>
  <c r="AM80" i="11"/>
  <c r="AX80" i="11" s="1"/>
  <c r="AM81" i="11"/>
  <c r="AX81" i="11" s="1"/>
  <c r="AM37" i="11"/>
  <c r="AX37" i="11" s="1"/>
  <c r="AM38" i="11"/>
  <c r="AX38" i="11" s="1"/>
  <c r="AM39" i="11"/>
  <c r="AX39" i="11" s="1"/>
  <c r="AM40" i="11"/>
  <c r="AX40" i="11" s="1"/>
  <c r="AM41" i="11"/>
  <c r="AX41" i="11" s="1"/>
  <c r="AN90" i="11"/>
  <c r="AY90" i="11" s="1"/>
  <c r="AN87" i="11"/>
  <c r="AY87" i="11" s="1"/>
  <c r="AN88" i="11"/>
  <c r="AY88" i="11" s="1"/>
  <c r="AN89" i="11"/>
  <c r="AY89" i="11" s="1"/>
  <c r="AN91" i="11"/>
  <c r="AY91" i="11" s="1"/>
  <c r="AN50" i="11"/>
  <c r="AY50" i="11" s="1"/>
  <c r="AN49" i="11"/>
  <c r="AY49" i="11" s="1"/>
  <c r="AN51" i="11"/>
  <c r="AY51" i="11" s="1"/>
  <c r="AN47" i="11"/>
  <c r="AY47" i="11" s="1"/>
  <c r="AN48" i="11"/>
  <c r="AY48" i="11" s="1"/>
  <c r="AN10" i="11"/>
  <c r="AY10" i="11" s="1"/>
  <c r="AN7" i="11"/>
  <c r="AY7" i="11" s="1"/>
  <c r="AN8" i="11"/>
  <c r="AY8" i="11" s="1"/>
  <c r="AN9" i="11"/>
  <c r="AY9" i="11" s="1"/>
  <c r="AN11" i="11"/>
  <c r="AY11" i="11" s="1"/>
  <c r="N3" i="11"/>
  <c r="X3" i="11" s="1"/>
  <c r="N4" i="11"/>
  <c r="X4" i="11" s="1"/>
  <c r="N5" i="11"/>
  <c r="X5" i="11" s="1"/>
  <c r="N6" i="11"/>
  <c r="X6" i="11" s="1"/>
  <c r="N2" i="11"/>
  <c r="X2" i="11" s="1"/>
  <c r="R44" i="11"/>
  <c r="AB44" i="11" s="1"/>
  <c r="R46" i="11"/>
  <c r="AB46" i="11" s="1"/>
  <c r="R43" i="11"/>
  <c r="AB43" i="11" s="1"/>
  <c r="R45" i="11"/>
  <c r="AB45" i="11" s="1"/>
  <c r="R42" i="11"/>
  <c r="AB42" i="11" s="1"/>
  <c r="N91" i="11"/>
  <c r="X91" i="11" s="1"/>
  <c r="N87" i="11"/>
  <c r="X87" i="11" s="1"/>
  <c r="N88" i="11"/>
  <c r="X88" i="11" s="1"/>
  <c r="N89" i="11"/>
  <c r="X89" i="11" s="1"/>
  <c r="N90" i="11"/>
  <c r="X90" i="11" s="1"/>
  <c r="N43" i="11"/>
  <c r="X43" i="11" s="1"/>
  <c r="N44" i="11"/>
  <c r="X44" i="11" s="1"/>
  <c r="N45" i="11"/>
  <c r="X45" i="11" s="1"/>
  <c r="N46" i="11"/>
  <c r="X46" i="11" s="1"/>
  <c r="N42" i="11"/>
  <c r="X42" i="11" s="1"/>
  <c r="P82" i="11"/>
  <c r="Z82" i="11" s="1"/>
  <c r="P83" i="11"/>
  <c r="Z83" i="11" s="1"/>
  <c r="P84" i="11"/>
  <c r="Z84" i="11" s="1"/>
  <c r="P85" i="11"/>
  <c r="Z85" i="11" s="1"/>
  <c r="P86" i="11"/>
  <c r="Z86" i="11" s="1"/>
  <c r="P42" i="11"/>
  <c r="Z42" i="11" s="1"/>
  <c r="P43" i="11"/>
  <c r="Z43" i="11" s="1"/>
  <c r="P44" i="11"/>
  <c r="Z44" i="11" s="1"/>
  <c r="P45" i="11"/>
  <c r="Z45" i="11" s="1"/>
  <c r="P46" i="11"/>
  <c r="Z46" i="11" s="1"/>
  <c r="P2" i="11"/>
  <c r="Z2" i="11" s="1"/>
  <c r="P3" i="11"/>
  <c r="Z3" i="11" s="1"/>
  <c r="P4" i="11"/>
  <c r="Z4" i="11" s="1"/>
  <c r="P5" i="11"/>
  <c r="Z5" i="11" s="1"/>
  <c r="P6" i="11"/>
  <c r="Z6" i="11" s="1"/>
  <c r="Q53" i="11"/>
  <c r="AA53" i="11" s="1"/>
  <c r="Q55" i="11"/>
  <c r="AA55" i="11" s="1"/>
  <c r="Q56" i="11"/>
  <c r="AA56" i="11" s="1"/>
  <c r="Q52" i="11"/>
  <c r="AA52" i="11" s="1"/>
  <c r="Q54" i="11"/>
  <c r="AA54" i="11" s="1"/>
  <c r="Q13" i="11"/>
  <c r="AA13" i="11" s="1"/>
  <c r="Q15" i="11"/>
  <c r="AA15" i="11" s="1"/>
  <c r="Q12" i="11"/>
  <c r="AA12" i="11" s="1"/>
  <c r="Q14" i="11"/>
  <c r="AA14" i="11" s="1"/>
  <c r="Q16" i="11"/>
  <c r="AA16" i="11" s="1"/>
  <c r="R68" i="11"/>
  <c r="AB68" i="11" s="1"/>
  <c r="R70" i="11"/>
  <c r="AB70" i="11" s="1"/>
  <c r="R67" i="11"/>
  <c r="AB67" i="11" s="1"/>
  <c r="R69" i="11"/>
  <c r="AB69" i="11" s="1"/>
  <c r="R71" i="11"/>
  <c r="AB71" i="11" s="1"/>
  <c r="R28" i="11"/>
  <c r="AB28" i="11" s="1"/>
  <c r="R30" i="11"/>
  <c r="AB30" i="11" s="1"/>
  <c r="R27" i="11"/>
  <c r="AB27" i="11" s="1"/>
  <c r="R29" i="11"/>
  <c r="AB29" i="11" s="1"/>
  <c r="R31" i="11"/>
  <c r="AB31" i="11" s="1"/>
  <c r="S82" i="11"/>
  <c r="AC82" i="11" s="1"/>
  <c r="S83" i="11"/>
  <c r="AC83" i="11" s="1"/>
  <c r="S85" i="11"/>
  <c r="AC85" i="11" s="1"/>
  <c r="S84" i="11"/>
  <c r="AC84" i="11" s="1"/>
  <c r="S86" i="11"/>
  <c r="AC86" i="11" s="1"/>
  <c r="S43" i="11"/>
  <c r="AC43" i="11" s="1"/>
  <c r="S42" i="11"/>
  <c r="AC42" i="11" s="1"/>
  <c r="S44" i="11"/>
  <c r="AC44" i="11" s="1"/>
  <c r="S45" i="11"/>
  <c r="AC45" i="11" s="1"/>
  <c r="S46" i="11"/>
  <c r="AC46" i="11" s="1"/>
  <c r="S3" i="11"/>
  <c r="AC3" i="11" s="1"/>
  <c r="S2" i="11"/>
  <c r="AC2" i="11" s="1"/>
  <c r="S4" i="11"/>
  <c r="AC4" i="11" s="1"/>
  <c r="S5" i="11"/>
  <c r="AC5" i="11" s="1"/>
  <c r="S6" i="11"/>
  <c r="AC6" i="11" s="1"/>
  <c r="O52" i="11"/>
  <c r="Y52" i="11" s="1"/>
  <c r="O53" i="11"/>
  <c r="Y53" i="11" s="1"/>
  <c r="O54" i="11"/>
  <c r="Y54" i="11" s="1"/>
  <c r="O55" i="11"/>
  <c r="Y55" i="11" s="1"/>
  <c r="O56" i="11"/>
  <c r="Y56" i="11" s="1"/>
  <c r="O12" i="11"/>
  <c r="Y12" i="11" s="1"/>
  <c r="O13" i="11"/>
  <c r="Y13" i="11" s="1"/>
  <c r="O14" i="11"/>
  <c r="Y14" i="11" s="1"/>
  <c r="O15" i="11"/>
  <c r="Y15" i="11" s="1"/>
  <c r="O16" i="11"/>
  <c r="Y16" i="11" s="1"/>
  <c r="AI90" i="11"/>
  <c r="AI87" i="11"/>
  <c r="AI88" i="11"/>
  <c r="AI89" i="11"/>
  <c r="AI91" i="11"/>
  <c r="AI50" i="11"/>
  <c r="AI51" i="11"/>
  <c r="AI47" i="11"/>
  <c r="AI48" i="11"/>
  <c r="AI49" i="11"/>
  <c r="AI10" i="11"/>
  <c r="AI7" i="11"/>
  <c r="AI8" i="11"/>
  <c r="AI9" i="11"/>
  <c r="AI11" i="11"/>
  <c r="AJ82" i="11"/>
  <c r="AU82" i="11" s="1"/>
  <c r="AJ83" i="11"/>
  <c r="AU83" i="11" s="1"/>
  <c r="AJ84" i="11"/>
  <c r="AU84" i="11" s="1"/>
  <c r="AJ85" i="11"/>
  <c r="AU85" i="11" s="1"/>
  <c r="AJ86" i="11"/>
  <c r="AU86" i="11" s="1"/>
  <c r="AJ44" i="11"/>
  <c r="AU44" i="11" s="1"/>
  <c r="AJ45" i="11"/>
  <c r="AU45" i="11" s="1"/>
  <c r="AJ46" i="11"/>
  <c r="AU46" i="11" s="1"/>
  <c r="AJ42" i="11"/>
  <c r="AU42" i="11" s="1"/>
  <c r="AJ43" i="11"/>
  <c r="AU43" i="11" s="1"/>
  <c r="AK96" i="11"/>
  <c r="AV96" i="11" s="1"/>
  <c r="AK93" i="11"/>
  <c r="AV93" i="11" s="1"/>
  <c r="AK94" i="11"/>
  <c r="AV94" i="11" s="1"/>
  <c r="AK95" i="11"/>
  <c r="AV95" i="11" s="1"/>
  <c r="AK92" i="11"/>
  <c r="AV92" i="11" s="1"/>
  <c r="AK56" i="11"/>
  <c r="AV56" i="11" s="1"/>
  <c r="AK52" i="11"/>
  <c r="AV52" i="11" s="1"/>
  <c r="AK53" i="11"/>
  <c r="AV53" i="11" s="1"/>
  <c r="AK54" i="11"/>
  <c r="AV54" i="11" s="1"/>
  <c r="AK55" i="11"/>
  <c r="AV55" i="11" s="1"/>
  <c r="AK13" i="11"/>
  <c r="AV13" i="11" s="1"/>
  <c r="AK16" i="11"/>
  <c r="AV16" i="11" s="1"/>
  <c r="AK12" i="11"/>
  <c r="AV12" i="11" s="1"/>
  <c r="AK14" i="11"/>
  <c r="AV14" i="11" s="1"/>
  <c r="AK15" i="11"/>
  <c r="AV15" i="11" s="1"/>
  <c r="AL63" i="11"/>
  <c r="AW63" i="11" s="1"/>
  <c r="AL64" i="11"/>
  <c r="AW64" i="11" s="1"/>
  <c r="BH64" i="11" s="1"/>
  <c r="AL65" i="11"/>
  <c r="AW65" i="11" s="1"/>
  <c r="BH65" i="11" s="1"/>
  <c r="AL66" i="11"/>
  <c r="AW66" i="11" s="1"/>
  <c r="AL62" i="11"/>
  <c r="AW62" i="11" s="1"/>
  <c r="AL22" i="11"/>
  <c r="AW22" i="11" s="1"/>
  <c r="AL23" i="11"/>
  <c r="AW23" i="11" s="1"/>
  <c r="AL24" i="11"/>
  <c r="AW24" i="11" s="1"/>
  <c r="AL25" i="11"/>
  <c r="AW25" i="11" s="1"/>
  <c r="AL26" i="11"/>
  <c r="AW26" i="11" s="1"/>
  <c r="AM75" i="11"/>
  <c r="AX75" i="11" s="1"/>
  <c r="AM72" i="11"/>
  <c r="AX72" i="11" s="1"/>
  <c r="AM73" i="11"/>
  <c r="AX73" i="11" s="1"/>
  <c r="AM74" i="11"/>
  <c r="AX74" i="11" s="1"/>
  <c r="AM76" i="11"/>
  <c r="AX76" i="11" s="1"/>
  <c r="AM35" i="11"/>
  <c r="AX35" i="11" s="1"/>
  <c r="AM34" i="11"/>
  <c r="AX34" i="11" s="1"/>
  <c r="AM36" i="11"/>
  <c r="AX36" i="11" s="1"/>
  <c r="AM32" i="11"/>
  <c r="AX32" i="11" s="1"/>
  <c r="AM33" i="11"/>
  <c r="AX33" i="11" s="1"/>
  <c r="AN82" i="11"/>
  <c r="AY82" i="11" s="1"/>
  <c r="AN84" i="11"/>
  <c r="AY84" i="11" s="1"/>
  <c r="AN85" i="11"/>
  <c r="AY85" i="11" s="1"/>
  <c r="AN86" i="11"/>
  <c r="AY86" i="11" s="1"/>
  <c r="AN83" i="11"/>
  <c r="AY83" i="11" s="1"/>
  <c r="AN42" i="11"/>
  <c r="AY42" i="11" s="1"/>
  <c r="AN44" i="11"/>
  <c r="AY44" i="11" s="1"/>
  <c r="AN45" i="11"/>
  <c r="AY45" i="11" s="1"/>
  <c r="AN46" i="11"/>
  <c r="AY46" i="11" s="1"/>
  <c r="AN43" i="11"/>
  <c r="AY43" i="11" s="1"/>
  <c r="Q69" i="11"/>
  <c r="AA69" i="11" s="1"/>
  <c r="Q71" i="11"/>
  <c r="AA71" i="11" s="1"/>
  <c r="Q67" i="11"/>
  <c r="AA67" i="11" s="1"/>
  <c r="Q68" i="11"/>
  <c r="AA68" i="11" s="1"/>
  <c r="Q70" i="11"/>
  <c r="AA70" i="11" s="1"/>
  <c r="S19" i="11"/>
  <c r="AC19" i="11" s="1"/>
  <c r="S20" i="11"/>
  <c r="AC20" i="11" s="1"/>
  <c r="S21" i="11"/>
  <c r="AC21" i="11" s="1"/>
  <c r="S17" i="11"/>
  <c r="AC17" i="11" s="1"/>
  <c r="S18" i="11"/>
  <c r="AC18" i="11" s="1"/>
  <c r="AI66" i="11"/>
  <c r="AI62" i="11"/>
  <c r="AI63" i="11"/>
  <c r="AI64" i="11"/>
  <c r="AI65" i="11"/>
  <c r="AJ17" i="11"/>
  <c r="AU17" i="11" s="1"/>
  <c r="AJ18" i="11"/>
  <c r="AU18" i="11" s="1"/>
  <c r="AJ19" i="11"/>
  <c r="AU19" i="11" s="1"/>
  <c r="AJ20" i="11"/>
  <c r="AU20" i="11" s="1"/>
  <c r="AJ21" i="11"/>
  <c r="AU21" i="11" s="1"/>
  <c r="AM91" i="11"/>
  <c r="AX91" i="11" s="1"/>
  <c r="AM87" i="11"/>
  <c r="AX87" i="11" s="1"/>
  <c r="AM88" i="11"/>
  <c r="AX88" i="11" s="1"/>
  <c r="AM89" i="11"/>
  <c r="AX89" i="11" s="1"/>
  <c r="AM90" i="11"/>
  <c r="AX90" i="11" s="1"/>
  <c r="AN18" i="11"/>
  <c r="AY18" i="11" s="1"/>
  <c r="BJ18" i="11" s="1"/>
  <c r="AN20" i="11"/>
  <c r="AY20" i="11" s="1"/>
  <c r="AN21" i="11"/>
  <c r="AY21" i="11" s="1"/>
  <c r="AN17" i="11"/>
  <c r="AY17" i="11" s="1"/>
  <c r="AN19" i="11"/>
  <c r="AY19" i="11" s="1"/>
  <c r="N83" i="11"/>
  <c r="X83" i="11" s="1"/>
  <c r="N84" i="11"/>
  <c r="X84" i="11" s="1"/>
  <c r="N85" i="11"/>
  <c r="X85" i="11" s="1"/>
  <c r="N86" i="11"/>
  <c r="X86" i="11" s="1"/>
  <c r="N82" i="11"/>
  <c r="X82" i="11" s="1"/>
  <c r="N37" i="11"/>
  <c r="X37" i="11" s="1"/>
  <c r="N38" i="11"/>
  <c r="X38" i="11" s="1"/>
  <c r="N39" i="11"/>
  <c r="X39" i="11" s="1"/>
  <c r="N40" i="11"/>
  <c r="X40" i="11" s="1"/>
  <c r="N41" i="11"/>
  <c r="X41" i="11" s="1"/>
  <c r="P81" i="11"/>
  <c r="Z81" i="11" s="1"/>
  <c r="P77" i="11"/>
  <c r="Z77" i="11" s="1"/>
  <c r="P78" i="11"/>
  <c r="Z78" i="11" s="1"/>
  <c r="P79" i="11"/>
  <c r="Z79" i="11" s="1"/>
  <c r="P80" i="11"/>
  <c r="Z80" i="11" s="1"/>
  <c r="P41" i="11"/>
  <c r="Z41" i="11" s="1"/>
  <c r="P37" i="11"/>
  <c r="Z37" i="11" s="1"/>
  <c r="P38" i="11"/>
  <c r="Z38" i="11" s="1"/>
  <c r="P39" i="11"/>
  <c r="Z39" i="11" s="1"/>
  <c r="P40" i="11"/>
  <c r="Z40" i="11" s="1"/>
  <c r="Q95" i="11"/>
  <c r="AA95" i="11" s="1"/>
  <c r="Q94" i="11"/>
  <c r="AA94" i="11" s="1"/>
  <c r="Q96" i="11"/>
  <c r="AA96" i="11" s="1"/>
  <c r="Q92" i="11"/>
  <c r="AA92" i="11" s="1"/>
  <c r="Q93" i="11"/>
  <c r="AA93" i="11" s="1"/>
  <c r="Q47" i="11"/>
  <c r="AA47" i="11" s="1"/>
  <c r="Q48" i="11"/>
  <c r="AA48" i="11" s="1"/>
  <c r="Q49" i="11"/>
  <c r="AA49" i="11" s="1"/>
  <c r="Q50" i="11"/>
  <c r="AA50" i="11" s="1"/>
  <c r="Q51" i="11"/>
  <c r="AA51" i="11" s="1"/>
  <c r="Q7" i="11"/>
  <c r="AA7" i="11" s="1"/>
  <c r="Q8" i="11"/>
  <c r="AA8" i="11" s="1"/>
  <c r="Q9" i="11"/>
  <c r="AA9" i="11" s="1"/>
  <c r="Q10" i="11"/>
  <c r="AA10" i="11" s="1"/>
  <c r="Q11" i="11"/>
  <c r="AA11" i="11" s="1"/>
  <c r="R62" i="11"/>
  <c r="AB62" i="11" s="1"/>
  <c r="R65" i="11"/>
  <c r="AB65" i="11" s="1"/>
  <c r="R66" i="11"/>
  <c r="AB66" i="11" s="1"/>
  <c r="R63" i="11"/>
  <c r="AB63" i="11" s="1"/>
  <c r="R64" i="11"/>
  <c r="AB64" i="11" s="1"/>
  <c r="R22" i="11"/>
  <c r="AB22" i="11" s="1"/>
  <c r="R23" i="11"/>
  <c r="AB23" i="11" s="1"/>
  <c r="R24" i="11"/>
  <c r="AB24" i="11" s="1"/>
  <c r="R25" i="11"/>
  <c r="AB25" i="11" s="1"/>
  <c r="R26" i="11"/>
  <c r="AB26" i="11" s="1"/>
  <c r="S81" i="11"/>
  <c r="AC81" i="11" s="1"/>
  <c r="S77" i="11"/>
  <c r="AC77" i="11" s="1"/>
  <c r="S78" i="11"/>
  <c r="AC78" i="11" s="1"/>
  <c r="S79" i="11"/>
  <c r="AC79" i="11" s="1"/>
  <c r="S80" i="11"/>
  <c r="AC80" i="11" s="1"/>
  <c r="S38" i="11"/>
  <c r="AC38" i="11" s="1"/>
  <c r="S39" i="11"/>
  <c r="AC39" i="11" s="1"/>
  <c r="S40" i="11"/>
  <c r="AC40" i="11" s="1"/>
  <c r="S41" i="11"/>
  <c r="AC41" i="11" s="1"/>
  <c r="S37" i="11"/>
  <c r="AC37" i="11" s="1"/>
  <c r="O92" i="11"/>
  <c r="Y92" i="11" s="1"/>
  <c r="O93" i="11"/>
  <c r="Y93" i="11" s="1"/>
  <c r="O94" i="11"/>
  <c r="Y94" i="11" s="1"/>
  <c r="O95" i="11"/>
  <c r="Y95" i="11" s="1"/>
  <c r="O96" i="11"/>
  <c r="Y96" i="11" s="1"/>
  <c r="O50" i="11"/>
  <c r="Y50" i="11" s="1"/>
  <c r="O51" i="11"/>
  <c r="Y51" i="11" s="1"/>
  <c r="O47" i="11"/>
  <c r="Y47" i="11" s="1"/>
  <c r="O48" i="11"/>
  <c r="Y48" i="11" s="1"/>
  <c r="O49" i="11"/>
  <c r="Y49" i="11" s="1"/>
  <c r="O10" i="11"/>
  <c r="Y10" i="11" s="1"/>
  <c r="O11" i="11"/>
  <c r="Y11" i="11" s="1"/>
  <c r="O7" i="11"/>
  <c r="Y7" i="11" s="1"/>
  <c r="O8" i="11"/>
  <c r="Y8" i="11" s="1"/>
  <c r="BF8" i="11" s="1"/>
  <c r="O9" i="11"/>
  <c r="Y9" i="11" s="1"/>
  <c r="AI82" i="11"/>
  <c r="AI83" i="11"/>
  <c r="AI84" i="11"/>
  <c r="AI85" i="11"/>
  <c r="AI86" i="11"/>
  <c r="AI42" i="11"/>
  <c r="AI43" i="11"/>
  <c r="AI44" i="11"/>
  <c r="AI45" i="11"/>
  <c r="AI46" i="11"/>
  <c r="AJ2" i="11"/>
  <c r="AU2" i="11" s="1"/>
  <c r="AJ3" i="11"/>
  <c r="AU3" i="11" s="1"/>
  <c r="AJ4" i="11"/>
  <c r="AU4" i="11" s="1"/>
  <c r="AJ5" i="11"/>
  <c r="AU5" i="11" s="1"/>
  <c r="AJ6" i="11"/>
  <c r="AU6" i="11" s="1"/>
  <c r="AJ81" i="11"/>
  <c r="AU81" i="11" s="1"/>
  <c r="AJ77" i="11"/>
  <c r="AU77" i="11" s="1"/>
  <c r="AJ78" i="11"/>
  <c r="AU78" i="11" s="1"/>
  <c r="AJ79" i="11"/>
  <c r="AU79" i="11" s="1"/>
  <c r="AJ80" i="11"/>
  <c r="AU80" i="11" s="1"/>
  <c r="AJ41" i="11"/>
  <c r="AU41" i="11" s="1"/>
  <c r="AJ37" i="11"/>
  <c r="AU37" i="11" s="1"/>
  <c r="AJ38" i="11"/>
  <c r="AU38" i="11" s="1"/>
  <c r="AJ39" i="11"/>
  <c r="AU39" i="11" s="1"/>
  <c r="AJ40" i="11"/>
  <c r="AU40" i="11" s="1"/>
  <c r="AK88" i="11"/>
  <c r="AV88" i="11" s="1"/>
  <c r="AK87" i="11"/>
  <c r="AV87" i="11" s="1"/>
  <c r="AK89" i="11"/>
  <c r="AV89" i="11" s="1"/>
  <c r="AK90" i="11"/>
  <c r="AV90" i="11" s="1"/>
  <c r="AK91" i="11"/>
  <c r="AV91" i="11" s="1"/>
  <c r="AK48" i="11"/>
  <c r="AV48" i="11" s="1"/>
  <c r="AK47" i="11"/>
  <c r="AV47" i="11" s="1"/>
  <c r="AK49" i="11"/>
  <c r="AV49" i="11" s="1"/>
  <c r="AK50" i="11"/>
  <c r="AV50" i="11" s="1"/>
  <c r="AK51" i="11"/>
  <c r="AV51" i="11" s="1"/>
  <c r="AK8" i="11"/>
  <c r="AV8" i="11" s="1"/>
  <c r="AK9" i="11"/>
  <c r="AV9" i="11" s="1"/>
  <c r="AK7" i="11"/>
  <c r="AV7" i="11" s="1"/>
  <c r="BG7" i="11" s="1"/>
  <c r="AK10" i="11"/>
  <c r="AV10" i="11" s="1"/>
  <c r="AK11" i="11"/>
  <c r="AV11" i="11" s="1"/>
  <c r="AL60" i="11"/>
  <c r="AW60" i="11" s="1"/>
  <c r="AL57" i="11"/>
  <c r="AW57" i="11" s="1"/>
  <c r="AL58" i="11"/>
  <c r="AW58" i="11" s="1"/>
  <c r="AL59" i="11"/>
  <c r="AW59" i="11" s="1"/>
  <c r="AL61" i="11"/>
  <c r="AW61" i="11" s="1"/>
  <c r="AL20" i="11"/>
  <c r="AW20" i="11" s="1"/>
  <c r="AL19" i="11"/>
  <c r="AW19" i="11" s="1"/>
  <c r="AL21" i="11"/>
  <c r="AW21" i="11" s="1"/>
  <c r="AL17" i="11"/>
  <c r="AW17" i="11" s="1"/>
  <c r="AL18" i="11"/>
  <c r="AW18" i="11" s="1"/>
  <c r="AM67" i="11"/>
  <c r="AX67" i="11" s="1"/>
  <c r="AM69" i="11"/>
  <c r="AX69" i="11" s="1"/>
  <c r="AM70" i="11"/>
  <c r="AX70" i="11" s="1"/>
  <c r="BI70" i="11" s="1"/>
  <c r="AM71" i="11"/>
  <c r="AX71" i="11" s="1"/>
  <c r="AM68" i="11"/>
  <c r="AX68" i="11" s="1"/>
  <c r="AM27" i="11"/>
  <c r="AX27" i="11" s="1"/>
  <c r="AM29" i="11"/>
  <c r="AX29" i="11" s="1"/>
  <c r="AM30" i="11"/>
  <c r="AX30" i="11" s="1"/>
  <c r="AM31" i="11"/>
  <c r="AX31" i="11" s="1"/>
  <c r="AM28" i="11"/>
  <c r="AX28" i="11" s="1"/>
  <c r="AN77" i="11"/>
  <c r="AY77" i="11" s="1"/>
  <c r="AN78" i="11"/>
  <c r="AY78" i="11" s="1"/>
  <c r="AN81" i="11"/>
  <c r="AY81" i="11" s="1"/>
  <c r="AN79" i="11"/>
  <c r="AY79" i="11" s="1"/>
  <c r="AN80" i="11"/>
  <c r="AY80" i="11" s="1"/>
  <c r="AN37" i="11"/>
  <c r="AY37" i="11" s="1"/>
  <c r="AN38" i="11"/>
  <c r="AY38" i="11" s="1"/>
  <c r="AN39" i="11"/>
  <c r="AY39" i="11" s="1"/>
  <c r="AN40" i="11"/>
  <c r="AY40" i="11" s="1"/>
  <c r="AN41" i="11"/>
  <c r="AY41" i="11" s="1"/>
  <c r="R3" i="11"/>
  <c r="AB3" i="11" s="1"/>
  <c r="R4" i="11"/>
  <c r="AB4" i="11" s="1"/>
  <c r="R6" i="11"/>
  <c r="AB6" i="11" s="1"/>
  <c r="R2" i="11"/>
  <c r="AB2" i="11" s="1"/>
  <c r="R5" i="11"/>
  <c r="AB5" i="11" s="1"/>
  <c r="AI26" i="11"/>
  <c r="AI23" i="11"/>
  <c r="AI24" i="11"/>
  <c r="AI25" i="11"/>
  <c r="AI22" i="11"/>
  <c r="AL79" i="11"/>
  <c r="AW79" i="11" s="1"/>
  <c r="AL80" i="11"/>
  <c r="AW80" i="11" s="1"/>
  <c r="AL77" i="11"/>
  <c r="AW77" i="11" s="1"/>
  <c r="AL78" i="11"/>
  <c r="AW78" i="11" s="1"/>
  <c r="AL81" i="11"/>
  <c r="AW81" i="11" s="1"/>
  <c r="N35" i="11"/>
  <c r="X35" i="11" s="1"/>
  <c r="N36" i="11"/>
  <c r="X36" i="11" s="1"/>
  <c r="N32" i="11"/>
  <c r="X32" i="11" s="1"/>
  <c r="N33" i="11"/>
  <c r="X33" i="11" s="1"/>
  <c r="N34" i="11"/>
  <c r="X34" i="11" s="1"/>
  <c r="P73" i="11"/>
  <c r="Z73" i="11" s="1"/>
  <c r="P74" i="11"/>
  <c r="Z74" i="11" s="1"/>
  <c r="P75" i="11"/>
  <c r="Z75" i="11" s="1"/>
  <c r="P76" i="11"/>
  <c r="Z76" i="11" s="1"/>
  <c r="P72" i="11"/>
  <c r="Z72" i="11" s="1"/>
  <c r="P33" i="11"/>
  <c r="Z33" i="11" s="1"/>
  <c r="P34" i="11"/>
  <c r="Z34" i="11" s="1"/>
  <c r="P35" i="11"/>
  <c r="Z35" i="11" s="1"/>
  <c r="P36" i="11"/>
  <c r="Z36" i="11" s="1"/>
  <c r="P32" i="11"/>
  <c r="Z32" i="11" s="1"/>
  <c r="Q87" i="11"/>
  <c r="AA87" i="11" s="1"/>
  <c r="Q88" i="11"/>
  <c r="AA88" i="11" s="1"/>
  <c r="Q89" i="11"/>
  <c r="AA89" i="11" s="1"/>
  <c r="Q90" i="11"/>
  <c r="AA90" i="11" s="1"/>
  <c r="Q91" i="11"/>
  <c r="AA91" i="11" s="1"/>
  <c r="Q45" i="11"/>
  <c r="AA45" i="11" s="1"/>
  <c r="Q44" i="11"/>
  <c r="AA44" i="11" s="1"/>
  <c r="Q46" i="11"/>
  <c r="AA46" i="11" s="1"/>
  <c r="Q42" i="11"/>
  <c r="AA42" i="11" s="1"/>
  <c r="Q43" i="11"/>
  <c r="AA43" i="11" s="1"/>
  <c r="Q5" i="11"/>
  <c r="AA5" i="11" s="1"/>
  <c r="Q2" i="11"/>
  <c r="AA2" i="11" s="1"/>
  <c r="Q3" i="11"/>
  <c r="AA3" i="11" s="1"/>
  <c r="Q4" i="11"/>
  <c r="AA4" i="11" s="1"/>
  <c r="Q6" i="11"/>
  <c r="AA6" i="11" s="1"/>
  <c r="R60" i="11"/>
  <c r="AB60" i="11" s="1"/>
  <c r="R57" i="11"/>
  <c r="AB57" i="11" s="1"/>
  <c r="R58" i="11"/>
  <c r="AB58" i="11" s="1"/>
  <c r="R59" i="11"/>
  <c r="AB59" i="11" s="1"/>
  <c r="R61" i="11"/>
  <c r="AB61" i="11" s="1"/>
  <c r="R20" i="11"/>
  <c r="AB20" i="11" s="1"/>
  <c r="R17" i="11"/>
  <c r="AB17" i="11" s="1"/>
  <c r="R18" i="11"/>
  <c r="AB18" i="11" s="1"/>
  <c r="R19" i="11"/>
  <c r="AB19" i="11" s="1"/>
  <c r="R21" i="11"/>
  <c r="AB21" i="11" s="1"/>
  <c r="S73" i="11"/>
  <c r="AC73" i="11" s="1"/>
  <c r="S74" i="11"/>
  <c r="AC74" i="11" s="1"/>
  <c r="S75" i="11"/>
  <c r="AC75" i="11" s="1"/>
  <c r="S72" i="11"/>
  <c r="AC72" i="11" s="1"/>
  <c r="S76" i="11"/>
  <c r="AC76" i="11" s="1"/>
  <c r="S35" i="11"/>
  <c r="AC35" i="11" s="1"/>
  <c r="S32" i="11"/>
  <c r="AC32" i="11" s="1"/>
  <c r="S33" i="11"/>
  <c r="AC33" i="11" s="1"/>
  <c r="S34" i="11"/>
  <c r="AC34" i="11" s="1"/>
  <c r="S36" i="11"/>
  <c r="AC36" i="11" s="1"/>
  <c r="O90" i="11"/>
  <c r="Y90" i="11" s="1"/>
  <c r="O91" i="11"/>
  <c r="Y91" i="11" s="1"/>
  <c r="O87" i="11"/>
  <c r="Y87" i="11" s="1"/>
  <c r="O88" i="11"/>
  <c r="Y88" i="11" s="1"/>
  <c r="O89" i="11"/>
  <c r="Y89" i="11" s="1"/>
  <c r="O42" i="11"/>
  <c r="Y42" i="11" s="1"/>
  <c r="O43" i="11"/>
  <c r="Y43" i="11" s="1"/>
  <c r="O44" i="11"/>
  <c r="Y44" i="11" s="1"/>
  <c r="O45" i="11"/>
  <c r="Y45" i="11" s="1"/>
  <c r="O46" i="11"/>
  <c r="Y46" i="11" s="1"/>
  <c r="O2" i="11"/>
  <c r="Y2" i="11" s="1"/>
  <c r="O3" i="11"/>
  <c r="Y3" i="11" s="1"/>
  <c r="O4" i="11"/>
  <c r="Y4" i="11" s="1"/>
  <c r="O5" i="11"/>
  <c r="Y5" i="11" s="1"/>
  <c r="O6" i="11"/>
  <c r="Y6" i="11" s="1"/>
  <c r="AI78" i="11"/>
  <c r="AI79" i="11"/>
  <c r="AI80" i="11"/>
  <c r="AI81" i="11"/>
  <c r="AI77" i="11"/>
  <c r="AI41" i="11"/>
  <c r="AI37" i="11"/>
  <c r="AI38" i="11"/>
  <c r="AI39" i="11"/>
  <c r="AI40" i="11"/>
  <c r="AK5" i="11"/>
  <c r="AV5" i="11" s="1"/>
  <c r="AK2" i="11"/>
  <c r="AV2" i="11" s="1"/>
  <c r="AK3" i="11"/>
  <c r="AV3" i="11" s="1"/>
  <c r="AK4" i="11"/>
  <c r="AV4" i="11" s="1"/>
  <c r="AK6" i="11"/>
  <c r="AV6" i="11" s="1"/>
  <c r="AJ73" i="11"/>
  <c r="AU73" i="11" s="1"/>
  <c r="BF73" i="11" s="1"/>
  <c r="AJ72" i="11"/>
  <c r="AU72" i="11" s="1"/>
  <c r="AJ74" i="11"/>
  <c r="AU74" i="11" s="1"/>
  <c r="AJ75" i="11"/>
  <c r="AU75" i="11" s="1"/>
  <c r="AJ76" i="11"/>
  <c r="AU76" i="11" s="1"/>
  <c r="AJ33" i="11"/>
  <c r="AU33" i="11" s="1"/>
  <c r="AJ35" i="11"/>
  <c r="AU35" i="11" s="1"/>
  <c r="AJ36" i="11"/>
  <c r="AU36" i="11" s="1"/>
  <c r="AJ32" i="11"/>
  <c r="AU32" i="11" s="1"/>
  <c r="AJ34" i="11"/>
  <c r="AU34" i="11" s="1"/>
  <c r="AK84" i="11"/>
  <c r="AV84" i="11" s="1"/>
  <c r="AK85" i="11"/>
  <c r="AV85" i="11" s="1"/>
  <c r="AK86" i="11"/>
  <c r="AV86" i="11" s="1"/>
  <c r="AK82" i="11"/>
  <c r="AV82" i="11" s="1"/>
  <c r="BG82" i="11" s="1"/>
  <c r="AK83" i="11"/>
  <c r="AV83" i="11" s="1"/>
  <c r="AK42" i="11"/>
  <c r="AV42" i="11" s="1"/>
  <c r="AK43" i="11"/>
  <c r="AV43" i="11" s="1"/>
  <c r="AK44" i="11"/>
  <c r="AV44" i="11" s="1"/>
  <c r="AK45" i="11"/>
  <c r="AV45" i="11" s="1"/>
  <c r="AK46" i="11"/>
  <c r="AV46" i="11" s="1"/>
  <c r="AL92" i="11"/>
  <c r="AW92" i="11" s="1"/>
  <c r="AL95" i="11"/>
  <c r="AW95" i="11" s="1"/>
  <c r="AL96" i="11"/>
  <c r="AW96" i="11" s="1"/>
  <c r="AL93" i="11"/>
  <c r="AW93" i="11" s="1"/>
  <c r="AL94" i="11"/>
  <c r="AW94" i="11" s="1"/>
  <c r="AL52" i="11"/>
  <c r="AW52" i="11" s="1"/>
  <c r="AL55" i="11"/>
  <c r="AW55" i="11" s="1"/>
  <c r="AL56" i="11"/>
  <c r="AW56" i="11" s="1"/>
  <c r="AL53" i="11"/>
  <c r="AW53" i="11" s="1"/>
  <c r="BH53" i="11" s="1"/>
  <c r="AL54" i="11"/>
  <c r="AW54" i="11" s="1"/>
  <c r="AL12" i="11"/>
  <c r="AW12" i="11" s="1"/>
  <c r="AL14" i="11"/>
  <c r="AW14" i="11" s="1"/>
  <c r="AL15" i="11"/>
  <c r="AW15" i="11" s="1"/>
  <c r="AL16" i="11"/>
  <c r="AW16" i="11" s="1"/>
  <c r="AL13" i="11"/>
  <c r="AW13" i="11" s="1"/>
  <c r="AM62" i="11"/>
  <c r="AX62" i="11" s="1"/>
  <c r="AM63" i="11"/>
  <c r="AX63" i="11" s="1"/>
  <c r="AM66" i="11"/>
  <c r="AX66" i="11" s="1"/>
  <c r="AM64" i="11"/>
  <c r="AX64" i="11" s="1"/>
  <c r="AM65" i="11"/>
  <c r="AX65" i="11" s="1"/>
  <c r="AM22" i="11"/>
  <c r="AX22" i="11" s="1"/>
  <c r="AM23" i="11"/>
  <c r="AX23" i="11" s="1"/>
  <c r="AM24" i="11"/>
  <c r="AX24" i="11" s="1"/>
  <c r="AM25" i="11"/>
  <c r="AX25" i="11" s="1"/>
  <c r="AM26" i="11"/>
  <c r="AX26" i="11" s="1"/>
  <c r="AN74" i="11"/>
  <c r="AY74" i="11" s="1"/>
  <c r="AN76" i="11"/>
  <c r="AY76" i="11" s="1"/>
  <c r="AN72" i="11"/>
  <c r="AY72" i="11" s="1"/>
  <c r="AN73" i="11"/>
  <c r="AY73" i="11" s="1"/>
  <c r="AN75" i="11"/>
  <c r="AY75" i="11" s="1"/>
  <c r="AN34" i="11"/>
  <c r="AY34" i="11" s="1"/>
  <c r="AN36" i="11"/>
  <c r="AY36" i="11" s="1"/>
  <c r="AN33" i="11"/>
  <c r="AY33" i="11" s="1"/>
  <c r="AN35" i="11"/>
  <c r="AY35" i="11" s="1"/>
  <c r="BJ35" i="11" s="1"/>
  <c r="AN32" i="11"/>
  <c r="AY32" i="11" s="1"/>
  <c r="N11" i="11"/>
  <c r="X11" i="11" s="1"/>
  <c r="N7" i="11"/>
  <c r="X7" i="11" s="1"/>
  <c r="N8" i="11"/>
  <c r="X8" i="11" s="1"/>
  <c r="N9" i="11"/>
  <c r="X9" i="11" s="1"/>
  <c r="N10" i="11"/>
  <c r="X10" i="11" s="1"/>
  <c r="Q29" i="11"/>
  <c r="AA29" i="11" s="1"/>
  <c r="Q31" i="11"/>
  <c r="AA31" i="11" s="1"/>
  <c r="Q27" i="11"/>
  <c r="AA27" i="11" s="1"/>
  <c r="Q28" i="11"/>
  <c r="AA28" i="11" s="1"/>
  <c r="Q30" i="11"/>
  <c r="AA30" i="11" s="1"/>
  <c r="O27" i="11"/>
  <c r="Y27" i="11" s="1"/>
  <c r="O28" i="11"/>
  <c r="Y28" i="11" s="1"/>
  <c r="O29" i="11"/>
  <c r="Y29" i="11" s="1"/>
  <c r="O30" i="11"/>
  <c r="Y30" i="11" s="1"/>
  <c r="O31" i="11"/>
  <c r="Y31" i="11" s="1"/>
  <c r="AJ57" i="11"/>
  <c r="AU57" i="11" s="1"/>
  <c r="BF57" i="11" s="1"/>
  <c r="AJ58" i="11"/>
  <c r="AU58" i="11" s="1"/>
  <c r="BF58" i="11" s="1"/>
  <c r="AJ59" i="11"/>
  <c r="AU59" i="11" s="1"/>
  <c r="BF59" i="11" s="1"/>
  <c r="AJ60" i="11"/>
  <c r="AU60" i="11" s="1"/>
  <c r="BF60" i="11" s="1"/>
  <c r="AJ61" i="11"/>
  <c r="AU61" i="11" s="1"/>
  <c r="BF61" i="11" s="1"/>
  <c r="AM51" i="11"/>
  <c r="AX51" i="11" s="1"/>
  <c r="AM47" i="11"/>
  <c r="AX47" i="11" s="1"/>
  <c r="AM50" i="11"/>
  <c r="AX50" i="11" s="1"/>
  <c r="AM48" i="11"/>
  <c r="AX48" i="11" s="1"/>
  <c r="AM49" i="11"/>
  <c r="AX49" i="11" s="1"/>
  <c r="N77" i="11"/>
  <c r="X77" i="11" s="1"/>
  <c r="N78" i="11"/>
  <c r="X78" i="11" s="1"/>
  <c r="N79" i="11"/>
  <c r="X79" i="11" s="1"/>
  <c r="N80" i="11"/>
  <c r="X80" i="11" s="1"/>
  <c r="N81" i="11"/>
  <c r="X81" i="11" s="1"/>
  <c r="N75" i="11"/>
  <c r="X75" i="11" s="1"/>
  <c r="N76" i="11"/>
  <c r="X76" i="11" s="1"/>
  <c r="N72" i="11"/>
  <c r="X72" i="11" s="1"/>
  <c r="N73" i="11"/>
  <c r="X73" i="11" s="1"/>
  <c r="N74" i="11"/>
  <c r="X74" i="11" s="1"/>
  <c r="N27" i="11"/>
  <c r="X27" i="11" s="1"/>
  <c r="N28" i="11"/>
  <c r="X28" i="11" s="1"/>
  <c r="N29" i="11"/>
  <c r="X29" i="11" s="1"/>
  <c r="N30" i="11"/>
  <c r="X30" i="11" s="1"/>
  <c r="N31" i="11"/>
  <c r="X31" i="11" s="1"/>
  <c r="P67" i="11"/>
  <c r="Z67" i="11" s="1"/>
  <c r="P68" i="11"/>
  <c r="Z68" i="11" s="1"/>
  <c r="P69" i="11"/>
  <c r="Z69" i="11" s="1"/>
  <c r="P70" i="11"/>
  <c r="Z70" i="11" s="1"/>
  <c r="P71" i="11"/>
  <c r="Z71" i="11" s="1"/>
  <c r="P27" i="11"/>
  <c r="Z27" i="11" s="1"/>
  <c r="P28" i="11"/>
  <c r="Z28" i="11" s="1"/>
  <c r="P29" i="11"/>
  <c r="Z29" i="11" s="1"/>
  <c r="P30" i="11"/>
  <c r="Z30" i="11" s="1"/>
  <c r="P31" i="11"/>
  <c r="Z31" i="11" s="1"/>
  <c r="Q85" i="11"/>
  <c r="AA85" i="11" s="1"/>
  <c r="Q86" i="11"/>
  <c r="AA86" i="11" s="1"/>
  <c r="Q82" i="11"/>
  <c r="AA82" i="11" s="1"/>
  <c r="Q83" i="11"/>
  <c r="AA83" i="11" s="1"/>
  <c r="Q84" i="11"/>
  <c r="AA84" i="11" s="1"/>
  <c r="Q37" i="11"/>
  <c r="AA37" i="11" s="1"/>
  <c r="Q39" i="11"/>
  <c r="AA39" i="11" s="1"/>
  <c r="Q38" i="11"/>
  <c r="AA38" i="11" s="1"/>
  <c r="Q40" i="11"/>
  <c r="AA40" i="11" s="1"/>
  <c r="Q41" i="11"/>
  <c r="AA41" i="11" s="1"/>
  <c r="R92" i="11"/>
  <c r="AB92" i="11" s="1"/>
  <c r="R94" i="11"/>
  <c r="AB94" i="11" s="1"/>
  <c r="R93" i="11"/>
  <c r="AB93" i="11" s="1"/>
  <c r="R95" i="11"/>
  <c r="AB95" i="11" s="1"/>
  <c r="R96" i="11"/>
  <c r="AB96" i="11" s="1"/>
  <c r="R52" i="11"/>
  <c r="AB52" i="11" s="1"/>
  <c r="R54" i="11"/>
  <c r="AB54" i="11" s="1"/>
  <c r="R55" i="11"/>
  <c r="AB55" i="11" s="1"/>
  <c r="R56" i="11"/>
  <c r="AB56" i="11" s="1"/>
  <c r="R53" i="11"/>
  <c r="AB53" i="11" s="1"/>
  <c r="R12" i="11"/>
  <c r="AB12" i="11" s="1"/>
  <c r="R14" i="11"/>
  <c r="AB14" i="11" s="1"/>
  <c r="R13" i="11"/>
  <c r="AB13" i="11" s="1"/>
  <c r="R15" i="11"/>
  <c r="AB15" i="11" s="1"/>
  <c r="R16" i="11"/>
  <c r="AB16" i="11" s="1"/>
  <c r="S67" i="11"/>
  <c r="AC67" i="11" s="1"/>
  <c r="S68" i="11"/>
  <c r="AC68" i="11" s="1"/>
  <c r="S69" i="11"/>
  <c r="AC69" i="11" s="1"/>
  <c r="S70" i="11"/>
  <c r="AC70" i="11" s="1"/>
  <c r="S71" i="11"/>
  <c r="AC71" i="11" s="1"/>
  <c r="S27" i="11"/>
  <c r="AC27" i="11" s="1"/>
  <c r="S29" i="11"/>
  <c r="AC29" i="11" s="1"/>
  <c r="S30" i="11"/>
  <c r="AC30" i="11" s="1"/>
  <c r="S31" i="11"/>
  <c r="AC31" i="11" s="1"/>
  <c r="S28" i="11"/>
  <c r="AC28" i="11" s="1"/>
  <c r="O82" i="11"/>
  <c r="Y82" i="11" s="1"/>
  <c r="O83" i="11"/>
  <c r="Y83" i="11" s="1"/>
  <c r="O84" i="11"/>
  <c r="Y84" i="11" s="1"/>
  <c r="O85" i="11"/>
  <c r="Y85" i="11" s="1"/>
  <c r="O86" i="11"/>
  <c r="Y86" i="11" s="1"/>
  <c r="O37" i="11"/>
  <c r="Y37" i="11" s="1"/>
  <c r="O38" i="11"/>
  <c r="Y38" i="11" s="1"/>
  <c r="O39" i="11"/>
  <c r="Y39" i="11" s="1"/>
  <c r="O40" i="11"/>
  <c r="Y40" i="11" s="1"/>
  <c r="O41" i="11"/>
  <c r="Y41" i="11" s="1"/>
  <c r="AI74" i="11"/>
  <c r="AI72" i="11"/>
  <c r="AI73" i="11"/>
  <c r="AI75" i="11"/>
  <c r="AI76" i="11"/>
  <c r="AI34" i="11"/>
  <c r="AI32" i="11"/>
  <c r="AI33" i="11"/>
  <c r="AI35" i="11"/>
  <c r="AI36" i="11"/>
  <c r="AL4" i="11"/>
  <c r="AW4" i="11" s="1"/>
  <c r="AL6" i="11"/>
  <c r="AW6" i="11" s="1"/>
  <c r="AL3" i="11"/>
  <c r="AW3" i="11" s="1"/>
  <c r="AL5" i="11"/>
  <c r="AW5" i="11" s="1"/>
  <c r="AL2" i="11"/>
  <c r="AW2" i="11" s="1"/>
  <c r="AJ67" i="11"/>
  <c r="AU67" i="11" s="1"/>
  <c r="AJ68" i="11"/>
  <c r="AU68" i="11" s="1"/>
  <c r="AJ69" i="11"/>
  <c r="AU69" i="11" s="1"/>
  <c r="AJ70" i="11"/>
  <c r="AU70" i="11" s="1"/>
  <c r="AJ71" i="11"/>
  <c r="AU71" i="11" s="1"/>
  <c r="AJ27" i="11"/>
  <c r="AU27" i="11" s="1"/>
  <c r="AJ28" i="11"/>
  <c r="AU28" i="11" s="1"/>
  <c r="AJ29" i="11"/>
  <c r="AU29" i="11" s="1"/>
  <c r="AJ30" i="11"/>
  <c r="AU30" i="11" s="1"/>
  <c r="AJ31" i="11"/>
  <c r="AU31" i="11" s="1"/>
  <c r="AK80" i="11"/>
  <c r="AV80" i="11" s="1"/>
  <c r="AK77" i="11"/>
  <c r="AV77" i="11" s="1"/>
  <c r="AK78" i="11"/>
  <c r="AV78" i="11" s="1"/>
  <c r="BG78" i="11" s="1"/>
  <c r="AK79" i="11"/>
  <c r="AV79" i="11" s="1"/>
  <c r="BG79" i="11" s="1"/>
  <c r="AK81" i="11"/>
  <c r="AV81" i="11" s="1"/>
  <c r="AK40" i="11"/>
  <c r="AV40" i="11" s="1"/>
  <c r="AK38" i="11"/>
  <c r="AV38" i="11" s="1"/>
  <c r="AK39" i="11"/>
  <c r="AV39" i="11" s="1"/>
  <c r="AK41" i="11"/>
  <c r="AV41" i="11" s="1"/>
  <c r="AK37" i="11"/>
  <c r="AV37" i="11" s="1"/>
  <c r="AL87" i="11"/>
  <c r="AW87" i="11" s="1"/>
  <c r="AL88" i="11"/>
  <c r="AW88" i="11" s="1"/>
  <c r="AL90" i="11"/>
  <c r="AW90" i="11" s="1"/>
  <c r="AL91" i="11"/>
  <c r="AW91" i="11" s="1"/>
  <c r="AL89" i="11"/>
  <c r="AW89" i="11" s="1"/>
  <c r="AL47" i="11"/>
  <c r="AW47" i="11" s="1"/>
  <c r="AL48" i="11"/>
  <c r="AW48" i="11" s="1"/>
  <c r="BH48" i="11" s="1"/>
  <c r="AL51" i="11"/>
  <c r="AW51" i="11" s="1"/>
  <c r="AL49" i="11"/>
  <c r="AW49" i="11" s="1"/>
  <c r="AL50" i="11"/>
  <c r="AW50" i="11" s="1"/>
  <c r="AL7" i="11"/>
  <c r="AW7" i="11" s="1"/>
  <c r="BH7" i="11" s="1"/>
  <c r="AL8" i="11"/>
  <c r="AW8" i="11" s="1"/>
  <c r="AL9" i="11"/>
  <c r="AW9" i="11" s="1"/>
  <c r="AL10" i="11"/>
  <c r="AW10" i="11" s="1"/>
  <c r="BH10" i="11" s="1"/>
  <c r="AL11" i="11"/>
  <c r="AW11" i="11" s="1"/>
  <c r="BH11" i="11" s="1"/>
  <c r="AM59" i="11"/>
  <c r="AX59" i="11" s="1"/>
  <c r="AM61" i="11"/>
  <c r="AX61" i="11" s="1"/>
  <c r="AM57" i="11"/>
  <c r="AX57" i="11" s="1"/>
  <c r="AM58" i="11"/>
  <c r="AX58" i="11" s="1"/>
  <c r="AM60" i="11"/>
  <c r="AX60" i="11" s="1"/>
  <c r="AM19" i="11"/>
  <c r="AX19" i="11" s="1"/>
  <c r="AM21" i="11"/>
  <c r="AX21" i="11" s="1"/>
  <c r="AM18" i="11"/>
  <c r="AX18" i="11" s="1"/>
  <c r="AM20" i="11"/>
  <c r="AX20" i="11" s="1"/>
  <c r="AM17" i="11"/>
  <c r="AX17" i="11" s="1"/>
  <c r="AN68" i="11"/>
  <c r="AY68" i="11" s="1"/>
  <c r="AN69" i="11"/>
  <c r="AY69" i="11" s="1"/>
  <c r="AN70" i="11"/>
  <c r="AY70" i="11" s="1"/>
  <c r="AN67" i="11"/>
  <c r="AY67" i="11" s="1"/>
  <c r="AN71" i="11"/>
  <c r="AY71" i="11" s="1"/>
  <c r="AN28" i="11"/>
  <c r="AY28" i="11" s="1"/>
  <c r="AN29" i="11"/>
  <c r="AY29" i="11" s="1"/>
  <c r="BJ29" i="11" s="1"/>
  <c r="AN30" i="11"/>
  <c r="AY30" i="11" s="1"/>
  <c r="AN27" i="11"/>
  <c r="AY27" i="11" s="1"/>
  <c r="AN31" i="11"/>
  <c r="AY31" i="11" s="1"/>
  <c r="N62" i="11"/>
  <c r="X62" i="11" s="1"/>
  <c r="N63" i="11"/>
  <c r="X63" i="11" s="1"/>
  <c r="N64" i="11"/>
  <c r="X64" i="11" s="1"/>
  <c r="N65" i="11"/>
  <c r="X65" i="11" s="1"/>
  <c r="N66" i="11"/>
  <c r="X66" i="11" s="1"/>
  <c r="R84" i="11"/>
  <c r="AB84" i="11" s="1"/>
  <c r="R86" i="11"/>
  <c r="AB86" i="11" s="1"/>
  <c r="R82" i="11"/>
  <c r="AB82" i="11" s="1"/>
  <c r="R83" i="11"/>
  <c r="AB83" i="11" s="1"/>
  <c r="R85" i="11"/>
  <c r="AB85" i="11" s="1"/>
  <c r="N12" i="11"/>
  <c r="X12" i="11" s="1"/>
  <c r="N13" i="11"/>
  <c r="X13" i="11" s="1"/>
  <c r="N14" i="11"/>
  <c r="X14" i="11" s="1"/>
  <c r="N15" i="11"/>
  <c r="X15" i="11" s="1"/>
  <c r="N16" i="11"/>
  <c r="X16" i="11" s="1"/>
  <c r="N67" i="11"/>
  <c r="X67" i="11" s="1"/>
  <c r="N68" i="11"/>
  <c r="X68" i="11" s="1"/>
  <c r="N69" i="11"/>
  <c r="X69" i="11" s="1"/>
  <c r="N70" i="11"/>
  <c r="X70" i="11" s="1"/>
  <c r="N71" i="11"/>
  <c r="X71" i="11" s="1"/>
  <c r="N22" i="11"/>
  <c r="X22" i="11" s="1"/>
  <c r="N23" i="11"/>
  <c r="X23" i="11" s="1"/>
  <c r="N24" i="11"/>
  <c r="X24" i="11" s="1"/>
  <c r="N25" i="11"/>
  <c r="X25" i="11" s="1"/>
  <c r="N26" i="11"/>
  <c r="X26" i="11" s="1"/>
  <c r="P65" i="11"/>
  <c r="Z65" i="11" s="1"/>
  <c r="P66" i="11"/>
  <c r="Z66" i="11" s="1"/>
  <c r="P62" i="11"/>
  <c r="Z62" i="11" s="1"/>
  <c r="P63" i="11"/>
  <c r="Z63" i="11" s="1"/>
  <c r="P64" i="11"/>
  <c r="Z64" i="11" s="1"/>
  <c r="P25" i="11"/>
  <c r="Z25" i="11" s="1"/>
  <c r="P26" i="11"/>
  <c r="Z26" i="11" s="1"/>
  <c r="P22" i="11"/>
  <c r="Z22" i="11" s="1"/>
  <c r="P23" i="11"/>
  <c r="Z23" i="11" s="1"/>
  <c r="P24" i="11"/>
  <c r="Z24" i="11" s="1"/>
  <c r="Q79" i="11"/>
  <c r="AA79" i="11" s="1"/>
  <c r="Q77" i="11"/>
  <c r="AA77" i="11" s="1"/>
  <c r="Q78" i="11"/>
  <c r="AA78" i="11" s="1"/>
  <c r="Q80" i="11"/>
  <c r="AA80" i="11" s="1"/>
  <c r="Q81" i="11"/>
  <c r="AA81" i="11" s="1"/>
  <c r="Q34" i="11"/>
  <c r="AA34" i="11" s="1"/>
  <c r="Q35" i="11"/>
  <c r="AA35" i="11" s="1"/>
  <c r="Q36" i="11"/>
  <c r="AA36" i="11" s="1"/>
  <c r="Q32" i="11"/>
  <c r="AA32" i="11" s="1"/>
  <c r="Q33" i="11"/>
  <c r="AA33" i="11" s="1"/>
  <c r="R87" i="11"/>
  <c r="AB87" i="11" s="1"/>
  <c r="R88" i="11"/>
  <c r="AB88" i="11" s="1"/>
  <c r="R89" i="11"/>
  <c r="AB89" i="11" s="1"/>
  <c r="R90" i="11"/>
  <c r="AB90" i="11" s="1"/>
  <c r="R91" i="11"/>
  <c r="AB91" i="11" s="1"/>
  <c r="R47" i="11"/>
  <c r="AB47" i="11" s="1"/>
  <c r="R48" i="11"/>
  <c r="AB48" i="11" s="1"/>
  <c r="R49" i="11"/>
  <c r="AB49" i="11" s="1"/>
  <c r="R50" i="11"/>
  <c r="AB50" i="11" s="1"/>
  <c r="R51" i="11"/>
  <c r="AB51" i="11" s="1"/>
  <c r="R11" i="11"/>
  <c r="AB11" i="11" s="1"/>
  <c r="R10" i="11"/>
  <c r="AB10" i="11" s="1"/>
  <c r="R7" i="11"/>
  <c r="AB7" i="11" s="1"/>
  <c r="R8" i="11"/>
  <c r="AB8" i="11" s="1"/>
  <c r="R9" i="11"/>
  <c r="AB9" i="11" s="1"/>
  <c r="S65" i="11"/>
  <c r="AC65" i="11" s="1"/>
  <c r="S66" i="11"/>
  <c r="AC66" i="11" s="1"/>
  <c r="S62" i="11"/>
  <c r="AC62" i="11" s="1"/>
  <c r="S63" i="11"/>
  <c r="AC63" i="11" s="1"/>
  <c r="S64" i="11"/>
  <c r="AC64" i="11" s="1"/>
  <c r="S22" i="11"/>
  <c r="AC22" i="11" s="1"/>
  <c r="S23" i="11"/>
  <c r="AC23" i="11" s="1"/>
  <c r="S24" i="11"/>
  <c r="AC24" i="11" s="1"/>
  <c r="S25" i="11"/>
  <c r="AC25" i="11" s="1"/>
  <c r="S26" i="11"/>
  <c r="AC26" i="11" s="1"/>
  <c r="O77" i="11"/>
  <c r="Y77" i="11" s="1"/>
  <c r="O78" i="11"/>
  <c r="Y78" i="11" s="1"/>
  <c r="O79" i="11"/>
  <c r="Y79" i="11" s="1"/>
  <c r="O80" i="11"/>
  <c r="Y80" i="11" s="1"/>
  <c r="O81" i="11"/>
  <c r="Y81" i="11" s="1"/>
  <c r="O34" i="11"/>
  <c r="Y34" i="11" s="1"/>
  <c r="O35" i="11"/>
  <c r="Y35" i="11" s="1"/>
  <c r="O36" i="11"/>
  <c r="Y36" i="11" s="1"/>
  <c r="O32" i="11"/>
  <c r="Y32" i="11" s="1"/>
  <c r="O33" i="11"/>
  <c r="Y33" i="11" s="1"/>
  <c r="AI69" i="11"/>
  <c r="AI70" i="11"/>
  <c r="AI71" i="11"/>
  <c r="AI67" i="11"/>
  <c r="AI68" i="11"/>
  <c r="AI27" i="11"/>
  <c r="AI28" i="11"/>
  <c r="AI30" i="11"/>
  <c r="AI31" i="11"/>
  <c r="AI29" i="11"/>
  <c r="AM3" i="11"/>
  <c r="AX3" i="11" s="1"/>
  <c r="AM5" i="11"/>
  <c r="AX5" i="11" s="1"/>
  <c r="AM6" i="11"/>
  <c r="AX6" i="11" s="1"/>
  <c r="AM2" i="11"/>
  <c r="AX2" i="11" s="1"/>
  <c r="AM4" i="11"/>
  <c r="AX4" i="11" s="1"/>
  <c r="AJ65" i="11"/>
  <c r="AU65" i="11" s="1"/>
  <c r="AJ63" i="11"/>
  <c r="AU63" i="11" s="1"/>
  <c r="AJ64" i="11"/>
  <c r="AU64" i="11" s="1"/>
  <c r="AJ66" i="11"/>
  <c r="AU66" i="11" s="1"/>
  <c r="AJ62" i="11"/>
  <c r="AU62" i="11" s="1"/>
  <c r="AJ25" i="11"/>
  <c r="AU25" i="11" s="1"/>
  <c r="AJ26" i="11"/>
  <c r="AU26" i="11" s="1"/>
  <c r="AJ22" i="11"/>
  <c r="AU22" i="11" s="1"/>
  <c r="AJ23" i="11"/>
  <c r="AU23" i="11" s="1"/>
  <c r="AJ24" i="11"/>
  <c r="AU24" i="11" s="1"/>
  <c r="AK72" i="11"/>
  <c r="AV72" i="11" s="1"/>
  <c r="AK75" i="11"/>
  <c r="AV75" i="11" s="1"/>
  <c r="AK76" i="11"/>
  <c r="AV76" i="11" s="1"/>
  <c r="AK73" i="11"/>
  <c r="AV73" i="11" s="1"/>
  <c r="AK74" i="11"/>
  <c r="AV74" i="11" s="1"/>
  <c r="AK32" i="11"/>
  <c r="AV32" i="11" s="1"/>
  <c r="AK33" i="11"/>
  <c r="AV33" i="11" s="1"/>
  <c r="AK34" i="11"/>
  <c r="AV34" i="11" s="1"/>
  <c r="AK35" i="11"/>
  <c r="AV35" i="11" s="1"/>
  <c r="AK36" i="11"/>
  <c r="AV36" i="11" s="1"/>
  <c r="AL84" i="11"/>
  <c r="AW84" i="11" s="1"/>
  <c r="AL82" i="11"/>
  <c r="AW82" i="11" s="1"/>
  <c r="AL83" i="11"/>
  <c r="AW83" i="11" s="1"/>
  <c r="AL85" i="11"/>
  <c r="AW85" i="11" s="1"/>
  <c r="AL86" i="11"/>
  <c r="AW86" i="11" s="1"/>
  <c r="AL44" i="11"/>
  <c r="AW44" i="11" s="1"/>
  <c r="AL46" i="11"/>
  <c r="AW46" i="11" s="1"/>
  <c r="AL42" i="11"/>
  <c r="AW42" i="11" s="1"/>
  <c r="AL43" i="11"/>
  <c r="AW43" i="11" s="1"/>
  <c r="AL45" i="11"/>
  <c r="AW45" i="11" s="1"/>
  <c r="AM93" i="11"/>
  <c r="AX93" i="11" s="1"/>
  <c r="AM94" i="11"/>
  <c r="AX94" i="11" s="1"/>
  <c r="AM95" i="11"/>
  <c r="AX95" i="11" s="1"/>
  <c r="AM92" i="11"/>
  <c r="AX92" i="11" s="1"/>
  <c r="AM96" i="11"/>
  <c r="AX96" i="11" s="1"/>
  <c r="AM53" i="11"/>
  <c r="AX53" i="11" s="1"/>
  <c r="AM54" i="11"/>
  <c r="AX54" i="11" s="1"/>
  <c r="AM55" i="11"/>
  <c r="AX55" i="11" s="1"/>
  <c r="AM52" i="11"/>
  <c r="AX52" i="11" s="1"/>
  <c r="AM56" i="11"/>
  <c r="AX56" i="11" s="1"/>
  <c r="AM13" i="11"/>
  <c r="AX13" i="11" s="1"/>
  <c r="AM14" i="11"/>
  <c r="AX14" i="11" s="1"/>
  <c r="AM15" i="11"/>
  <c r="AX15" i="11" s="1"/>
  <c r="AM12" i="11"/>
  <c r="AX12" i="11" s="1"/>
  <c r="AM16" i="11"/>
  <c r="AX16" i="11" s="1"/>
  <c r="AN66" i="11"/>
  <c r="AY66" i="11" s="1"/>
  <c r="AN62" i="11"/>
  <c r="AY62" i="11" s="1"/>
  <c r="AN65" i="11"/>
  <c r="AY65" i="11" s="1"/>
  <c r="AN63" i="11"/>
  <c r="AY63" i="11" s="1"/>
  <c r="BJ63" i="11" s="1"/>
  <c r="AN64" i="11"/>
  <c r="AY64" i="11" s="1"/>
  <c r="AN26" i="11"/>
  <c r="AY26" i="11" s="1"/>
  <c r="AN22" i="11"/>
  <c r="AY22" i="11" s="1"/>
  <c r="AN23" i="11"/>
  <c r="AY23" i="11" s="1"/>
  <c r="AN24" i="11"/>
  <c r="AY24" i="11" s="1"/>
  <c r="AN25" i="11"/>
  <c r="AY25" i="11" s="1"/>
  <c r="P14" i="4"/>
  <c r="Q14" i="4" s="1"/>
  <c r="P15" i="4"/>
  <c r="Q15" i="4" s="1"/>
  <c r="N44" i="4"/>
  <c r="O42" i="4" s="1"/>
  <c r="P8" i="4"/>
  <c r="Q8" i="4" s="1"/>
  <c r="P6" i="4"/>
  <c r="Q6" i="4" s="1"/>
  <c r="P5" i="4"/>
  <c r="Q5" i="4" s="1"/>
  <c r="P4" i="4"/>
  <c r="Q4" i="4" s="1"/>
  <c r="P11" i="4"/>
  <c r="Q11" i="4" s="1"/>
  <c r="N36" i="4"/>
  <c r="O34" i="4" s="1"/>
  <c r="P3" i="4"/>
  <c r="Q3" i="4" s="1"/>
  <c r="P21" i="4"/>
  <c r="Q21" i="4" s="1"/>
  <c r="P20" i="4"/>
  <c r="Q20" i="4" s="1"/>
  <c r="P19" i="4"/>
  <c r="Q19" i="4" s="1"/>
  <c r="P18" i="4"/>
  <c r="Q18" i="4" s="1"/>
  <c r="P16" i="4"/>
  <c r="Q16" i="4" s="1"/>
  <c r="P13" i="4"/>
  <c r="Q13" i="4" s="1"/>
  <c r="P12" i="4"/>
  <c r="Q12" i="4" s="1"/>
  <c r="P7" i="4"/>
  <c r="Q7" i="4" s="1"/>
  <c r="P17" i="4"/>
  <c r="Q17" i="4" s="1"/>
  <c r="P9" i="4"/>
  <c r="Q9" i="4" s="1"/>
  <c r="P10" i="4"/>
  <c r="Q10" i="4" s="1"/>
  <c r="P1223" i="1"/>
  <c r="Q1223" i="1"/>
  <c r="S1223" i="1"/>
  <c r="U1223" i="1"/>
  <c r="P1224" i="1"/>
  <c r="Q1224" i="1"/>
  <c r="S1224" i="1"/>
  <c r="U1224" i="1"/>
  <c r="P1225" i="1"/>
  <c r="Q1225" i="1"/>
  <c r="S1225" i="1"/>
  <c r="U1225" i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H326" i="4"/>
  <c r="G326" i="4"/>
  <c r="P1261" i="1"/>
  <c r="P1262" i="1"/>
  <c r="P1263" i="1"/>
  <c r="P1264" i="1"/>
  <c r="P1265" i="1"/>
  <c r="L1268" i="1"/>
  <c r="L1274" i="1"/>
  <c r="L1278" i="1"/>
  <c r="J1271" i="1"/>
  <c r="E22" i="10" s="1"/>
  <c r="L1271" i="1"/>
  <c r="J1278" i="1"/>
  <c r="E21" i="10" s="1"/>
  <c r="J1270" i="1"/>
  <c r="E20" i="10" s="1"/>
  <c r="L1270" i="1"/>
  <c r="J1277" i="1"/>
  <c r="E19" i="10" s="1"/>
  <c r="L1277" i="1"/>
  <c r="J1281" i="1"/>
  <c r="E18" i="10" s="1"/>
  <c r="L1281" i="1"/>
  <c r="J1275" i="1"/>
  <c r="E17" i="10" s="1"/>
  <c r="L1275" i="1"/>
  <c r="J1279" i="1"/>
  <c r="E16" i="10" s="1"/>
  <c r="L1279" i="1"/>
  <c r="J1276" i="1"/>
  <c r="E15" i="10" s="1"/>
  <c r="L1276" i="1"/>
  <c r="J1282" i="1"/>
  <c r="E14" i="10" s="1"/>
  <c r="L1282" i="1"/>
  <c r="J1274" i="1"/>
  <c r="E13" i="10" s="1"/>
  <c r="J1272" i="1"/>
  <c r="E12" i="10" s="1"/>
  <c r="L1272" i="1"/>
  <c r="J1265" i="1"/>
  <c r="E11" i="10" s="1"/>
  <c r="L1265" i="1"/>
  <c r="J1273" i="1"/>
  <c r="E10" i="10" s="1"/>
  <c r="L1273" i="1"/>
  <c r="J1266" i="1"/>
  <c r="E9" i="10" s="1"/>
  <c r="L1266" i="1"/>
  <c r="J1280" i="1"/>
  <c r="E8" i="10" s="1"/>
  <c r="L1280" i="1"/>
  <c r="U1286" i="1"/>
  <c r="U1287" i="1"/>
  <c r="U1288" i="1"/>
  <c r="S1286" i="1"/>
  <c r="S1287" i="1"/>
  <c r="S1288" i="1"/>
  <c r="Q1286" i="1"/>
  <c r="Q1287" i="1"/>
  <c r="Q1288" i="1"/>
  <c r="P1286" i="1"/>
  <c r="P1287" i="1"/>
  <c r="P128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L1264" i="1"/>
  <c r="L1267" i="1"/>
  <c r="L1269" i="1"/>
  <c r="J1264" i="1"/>
  <c r="E7" i="10" s="1"/>
  <c r="J1267" i="1"/>
  <c r="E6" i="10" s="1"/>
  <c r="J1268" i="1"/>
  <c r="E4" i="10" s="1"/>
  <c r="J1269" i="1"/>
  <c r="E5" i="10" s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K1243" i="1"/>
  <c r="K1244" i="1"/>
  <c r="I1243" i="1"/>
  <c r="I1244" i="1"/>
  <c r="H1243" i="1"/>
  <c r="H1244" i="1"/>
  <c r="G1243" i="1"/>
  <c r="G1244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J1219" i="1"/>
  <c r="O1219" i="1"/>
  <c r="N1219" i="1"/>
  <c r="M1219" i="1"/>
  <c r="E23" i="10" l="1"/>
  <c r="BJ19" i="11"/>
  <c r="BH90" i="11"/>
  <c r="BF28" i="11"/>
  <c r="BG20" i="11"/>
  <c r="BJ23" i="11"/>
  <c r="BJ50" i="11"/>
  <c r="BI59" i="11"/>
  <c r="BI40" i="11"/>
  <c r="BH5" i="11"/>
  <c r="BJ36" i="11"/>
  <c r="BH85" i="11"/>
  <c r="BH50" i="11"/>
  <c r="BH13" i="11"/>
  <c r="BI74" i="11"/>
  <c r="BJ91" i="11"/>
  <c r="BG59" i="11"/>
  <c r="BG38" i="11"/>
  <c r="BI31" i="11"/>
  <c r="BI73" i="11"/>
  <c r="BG16" i="11"/>
  <c r="BG58" i="11"/>
  <c r="BJ61" i="11"/>
  <c r="BI14" i="11"/>
  <c r="BF63" i="11"/>
  <c r="BF76" i="11"/>
  <c r="BG17" i="11"/>
  <c r="BJ96" i="11"/>
  <c r="BG81" i="11"/>
  <c r="BI29" i="11"/>
  <c r="BH17" i="11"/>
  <c r="BG49" i="11"/>
  <c r="BI24" i="11"/>
  <c r="BH21" i="11"/>
  <c r="BG11" i="11"/>
  <c r="BG54" i="11"/>
  <c r="BJ90" i="11"/>
  <c r="BF26" i="11"/>
  <c r="BF36" i="11"/>
  <c r="BI23" i="11"/>
  <c r="BH52" i="11"/>
  <c r="BF72" i="11"/>
  <c r="BG53" i="11"/>
  <c r="BJ11" i="11"/>
  <c r="BI61" i="11"/>
  <c r="BJ75" i="11"/>
  <c r="BI34" i="11"/>
  <c r="BJ51" i="11"/>
  <c r="BH51" i="11"/>
  <c r="BH94" i="11"/>
  <c r="BH20" i="11"/>
  <c r="BI77" i="11"/>
  <c r="BJ55" i="11"/>
  <c r="BI16" i="11"/>
  <c r="BI54" i="11"/>
  <c r="BG42" i="11"/>
  <c r="BJ40" i="11"/>
  <c r="BH61" i="11"/>
  <c r="BG56" i="11"/>
  <c r="BJ9" i="11"/>
  <c r="BG4" i="11"/>
  <c r="BJ16" i="11"/>
  <c r="BF67" i="11"/>
  <c r="BH95" i="11"/>
  <c r="BG51" i="11"/>
  <c r="BI92" i="11"/>
  <c r="BF24" i="11"/>
  <c r="BH91" i="11"/>
  <c r="BF29" i="11"/>
  <c r="BH2" i="11"/>
  <c r="BI63" i="11"/>
  <c r="BG86" i="11"/>
  <c r="BJ37" i="11"/>
  <c r="BF92" i="11"/>
  <c r="BG13" i="11"/>
  <c r="D166" i="12"/>
  <c r="C166" i="12"/>
  <c r="F166" i="12"/>
  <c r="E166" i="12"/>
  <c r="D168" i="12"/>
  <c r="F168" i="12"/>
  <c r="C168" i="12"/>
  <c r="E168" i="12"/>
  <c r="D169" i="12"/>
  <c r="F169" i="12"/>
  <c r="C169" i="12"/>
  <c r="E169" i="12"/>
  <c r="BF62" i="11"/>
  <c r="BI5" i="11"/>
  <c r="BI18" i="11"/>
  <c r="BH93" i="11"/>
  <c r="F160" i="12"/>
  <c r="E160" i="12"/>
  <c r="D160" i="12"/>
  <c r="C160" i="12"/>
  <c r="F174" i="12"/>
  <c r="C174" i="12"/>
  <c r="E174" i="12"/>
  <c r="D174" i="12"/>
  <c r="BF31" i="11"/>
  <c r="BF17" i="11"/>
  <c r="BH44" i="11"/>
  <c r="BF79" i="11"/>
  <c r="BI72" i="11"/>
  <c r="BG57" i="11"/>
  <c r="BJ60" i="11"/>
  <c r="BJ95" i="11"/>
  <c r="F175" i="12"/>
  <c r="E175" i="12"/>
  <c r="D175" i="12"/>
  <c r="C175" i="12"/>
  <c r="D170" i="12"/>
  <c r="F170" i="12"/>
  <c r="C170" i="12"/>
  <c r="E170" i="12"/>
  <c r="C172" i="12"/>
  <c r="F172" i="12"/>
  <c r="E172" i="12"/>
  <c r="D172" i="12"/>
  <c r="BG45" i="11"/>
  <c r="BJ79" i="11"/>
  <c r="C167" i="12"/>
  <c r="F167" i="12"/>
  <c r="D167" i="12"/>
  <c r="E167" i="12"/>
  <c r="E163" i="12"/>
  <c r="F163" i="12"/>
  <c r="D163" i="12"/>
  <c r="C163" i="12"/>
  <c r="BH6" i="11"/>
  <c r="BF50" i="11"/>
  <c r="BJ20" i="11"/>
  <c r="D13" i="8"/>
  <c r="D11" i="8"/>
  <c r="D12" i="8"/>
  <c r="D10" i="8"/>
  <c r="E161" i="12"/>
  <c r="C161" i="12"/>
  <c r="D161" i="12"/>
  <c r="F161" i="12"/>
  <c r="F177" i="12"/>
  <c r="E177" i="12"/>
  <c r="D177" i="12"/>
  <c r="C177" i="12"/>
  <c r="C176" i="12"/>
  <c r="E176" i="12"/>
  <c r="F176" i="12"/>
  <c r="D176" i="12"/>
  <c r="F162" i="12"/>
  <c r="E162" i="12"/>
  <c r="D162" i="12"/>
  <c r="C162" i="12"/>
  <c r="F165" i="12"/>
  <c r="E165" i="12"/>
  <c r="D165" i="12"/>
  <c r="C165" i="12"/>
  <c r="F171" i="12"/>
  <c r="E171" i="12"/>
  <c r="D171" i="12"/>
  <c r="C171" i="12"/>
  <c r="F159" i="12"/>
  <c r="D159" i="12"/>
  <c r="E159" i="12"/>
  <c r="C159" i="12"/>
  <c r="E164" i="12"/>
  <c r="F164" i="12"/>
  <c r="D164" i="12"/>
  <c r="C164" i="12"/>
  <c r="F173" i="12"/>
  <c r="E173" i="12"/>
  <c r="D173" i="12"/>
  <c r="C173" i="12"/>
  <c r="BG73" i="11"/>
  <c r="BG37" i="11"/>
  <c r="BG52" i="11"/>
  <c r="BH43" i="11"/>
  <c r="BI39" i="11"/>
  <c r="BG60" i="11"/>
  <c r="BJ39" i="11"/>
  <c r="BG3" i="11"/>
  <c r="BI67" i="11"/>
  <c r="BG18" i="11"/>
  <c r="BG50" i="11"/>
  <c r="BJ45" i="11"/>
  <c r="BI25" i="11"/>
  <c r="BI62" i="11"/>
  <c r="BG85" i="11"/>
  <c r="BJ44" i="11"/>
  <c r="BG55" i="11"/>
  <c r="BJ25" i="11"/>
  <c r="BI52" i="11"/>
  <c r="BH49" i="11"/>
  <c r="BJ65" i="11"/>
  <c r="BI56" i="11"/>
  <c r="BI94" i="11"/>
  <c r="BJ27" i="11"/>
  <c r="BJ68" i="11"/>
  <c r="BF27" i="11"/>
  <c r="BJ34" i="11"/>
  <c r="BF74" i="11"/>
  <c r="BF21" i="11"/>
  <c r="BG96" i="11"/>
  <c r="BJ47" i="11"/>
  <c r="BI79" i="11"/>
  <c r="BF78" i="11"/>
  <c r="BI75" i="11"/>
  <c r="BI80" i="11"/>
  <c r="BH83" i="11"/>
  <c r="BI2" i="11"/>
  <c r="BG21" i="11"/>
  <c r="BJ93" i="11"/>
  <c r="BH45" i="11"/>
  <c r="BI6" i="11"/>
  <c r="BI20" i="11"/>
  <c r="BH4" i="11"/>
  <c r="BH30" i="11"/>
  <c r="BG91" i="11"/>
  <c r="BJ10" i="11"/>
  <c r="BJ69" i="11"/>
  <c r="BG62" i="11"/>
  <c r="AD65" i="11"/>
  <c r="BJ28" i="11"/>
  <c r="BG41" i="11"/>
  <c r="BG80" i="11"/>
  <c r="BJ77" i="11"/>
  <c r="BH23" i="11"/>
  <c r="BG14" i="11"/>
  <c r="BI32" i="11"/>
  <c r="BF68" i="11"/>
  <c r="BI48" i="11"/>
  <c r="BH12" i="11"/>
  <c r="BI28" i="11"/>
  <c r="BG8" i="11"/>
  <c r="BJ84" i="11"/>
  <c r="BJ53" i="11"/>
  <c r="BF66" i="11"/>
  <c r="BI15" i="11"/>
  <c r="BI96" i="11"/>
  <c r="BG35" i="11"/>
  <c r="BF30" i="11"/>
  <c r="BJ74" i="11"/>
  <c r="BJ82" i="11"/>
  <c r="BG95" i="11"/>
  <c r="BJ66" i="11"/>
  <c r="BG36" i="11"/>
  <c r="BJ71" i="11"/>
  <c r="BJ73" i="11"/>
  <c r="BH15" i="11"/>
  <c r="BH22" i="11"/>
  <c r="BG12" i="11"/>
  <c r="BJ89" i="11"/>
  <c r="BI37" i="11"/>
  <c r="BJ58" i="11"/>
  <c r="BJ14" i="11"/>
  <c r="BH33" i="11"/>
  <c r="BF52" i="11"/>
  <c r="BF93" i="11"/>
  <c r="AD17" i="11"/>
  <c r="BG70" i="11"/>
  <c r="BJ85" i="11"/>
  <c r="BJ8" i="11"/>
  <c r="BJ15" i="11"/>
  <c r="BI83" i="11"/>
  <c r="BH89" i="11"/>
  <c r="BI65" i="11"/>
  <c r="BH18" i="11"/>
  <c r="BH57" i="11"/>
  <c r="BH62" i="11"/>
  <c r="BJ88" i="11"/>
  <c r="BG26" i="11"/>
  <c r="AD58" i="11"/>
  <c r="BI11" i="11"/>
  <c r="BG69" i="11"/>
  <c r="BH96" i="11"/>
  <c r="BJ17" i="11"/>
  <c r="BI33" i="11"/>
  <c r="BH66" i="11"/>
  <c r="BG94" i="11"/>
  <c r="BI95" i="11"/>
  <c r="BF65" i="11"/>
  <c r="AD15" i="11"/>
  <c r="BJ31" i="11"/>
  <c r="BI58" i="11"/>
  <c r="AD73" i="11"/>
  <c r="AD78" i="11"/>
  <c r="BI66" i="11"/>
  <c r="AD36" i="11"/>
  <c r="BF81" i="11"/>
  <c r="BJ21" i="11"/>
  <c r="BG93" i="11"/>
  <c r="BF85" i="11"/>
  <c r="BH70" i="11"/>
  <c r="BF10" i="11"/>
  <c r="BF49" i="11"/>
  <c r="BG31" i="11"/>
  <c r="BJ56" i="11"/>
  <c r="BG32" i="11"/>
  <c r="AD71" i="11"/>
  <c r="AD14" i="11"/>
  <c r="BH3" i="11"/>
  <c r="AD31" i="11"/>
  <c r="BI26" i="11"/>
  <c r="BH92" i="11"/>
  <c r="BJ81" i="11"/>
  <c r="BI68" i="11"/>
  <c r="BH19" i="11"/>
  <c r="BG48" i="11"/>
  <c r="BF6" i="11"/>
  <c r="BF51" i="11"/>
  <c r="BF20" i="11"/>
  <c r="BJ42" i="11"/>
  <c r="BI36" i="11"/>
  <c r="BF84" i="11"/>
  <c r="BH69" i="11"/>
  <c r="BF90" i="11"/>
  <c r="BJ92" i="11"/>
  <c r="BG44" i="11"/>
  <c r="BG74" i="11"/>
  <c r="BI17" i="11"/>
  <c r="BF71" i="11"/>
  <c r="BF75" i="11"/>
  <c r="BJ41" i="11"/>
  <c r="BI71" i="11"/>
  <c r="BJ49" i="11"/>
  <c r="BJ57" i="11"/>
  <c r="BJ54" i="11"/>
  <c r="AT34" i="11"/>
  <c r="AO34" i="11"/>
  <c r="AT77" i="11"/>
  <c r="AO77" i="11"/>
  <c r="AO88" i="11"/>
  <c r="AT88" i="11"/>
  <c r="AD86" i="11"/>
  <c r="AT87" i="11"/>
  <c r="AO87" i="11"/>
  <c r="BJ26" i="11"/>
  <c r="BH46" i="11"/>
  <c r="BG72" i="11"/>
  <c r="AO29" i="11"/>
  <c r="AT29" i="11"/>
  <c r="AO70" i="11"/>
  <c r="AT70" i="11"/>
  <c r="BJ24" i="11"/>
  <c r="AD23" i="11"/>
  <c r="AD62" i="11"/>
  <c r="BJ67" i="11"/>
  <c r="BI19" i="11"/>
  <c r="BH9" i="11"/>
  <c r="AO33" i="11"/>
  <c r="AT33" i="11"/>
  <c r="BI13" i="11"/>
  <c r="AD80" i="11"/>
  <c r="BI47" i="11"/>
  <c r="BJ72" i="11"/>
  <c r="BH14" i="11"/>
  <c r="AT37" i="11"/>
  <c r="AO37" i="11"/>
  <c r="BG34" i="11"/>
  <c r="AD33" i="11"/>
  <c r="BH80" i="11"/>
  <c r="BI30" i="11"/>
  <c r="BG88" i="11"/>
  <c r="AT46" i="11"/>
  <c r="AO46" i="11"/>
  <c r="AT83" i="11"/>
  <c r="AO83" i="11"/>
  <c r="BJ38" i="11"/>
  <c r="AD37" i="11"/>
  <c r="BI87" i="11"/>
  <c r="AO64" i="11"/>
  <c r="AT64" i="11"/>
  <c r="BJ46" i="11"/>
  <c r="BF44" i="11"/>
  <c r="AT8" i="11"/>
  <c r="AO8" i="11"/>
  <c r="AT91" i="11"/>
  <c r="AO91" i="11"/>
  <c r="BH54" i="11"/>
  <c r="AD44" i="11"/>
  <c r="AD5" i="11"/>
  <c r="BI81" i="11"/>
  <c r="BF48" i="11"/>
  <c r="AT13" i="11"/>
  <c r="AO13" i="11"/>
  <c r="AO53" i="11"/>
  <c r="AT53" i="11"/>
  <c r="AD49" i="11"/>
  <c r="AD93" i="11"/>
  <c r="BG28" i="11"/>
  <c r="BJ4" i="11"/>
  <c r="BI42" i="11"/>
  <c r="BG65" i="11"/>
  <c r="BF12" i="11"/>
  <c r="BF95" i="11"/>
  <c r="AO18" i="11"/>
  <c r="AT18" i="11"/>
  <c r="AT6" i="11"/>
  <c r="AO6" i="11"/>
  <c r="BI9" i="11"/>
  <c r="BH38" i="11"/>
  <c r="BF33" i="11"/>
  <c r="AT44" i="11"/>
  <c r="AO44" i="11"/>
  <c r="AO57" i="11"/>
  <c r="AT57" i="11"/>
  <c r="AD56" i="11"/>
  <c r="BJ64" i="11"/>
  <c r="AO31" i="11"/>
  <c r="AT31" i="11"/>
  <c r="AO69" i="11"/>
  <c r="AT69" i="11"/>
  <c r="AD22" i="11"/>
  <c r="AD16" i="11"/>
  <c r="BJ70" i="11"/>
  <c r="BI60" i="11"/>
  <c r="BH8" i="11"/>
  <c r="BG40" i="11"/>
  <c r="AT32" i="11"/>
  <c r="AO32" i="11"/>
  <c r="AD74" i="11"/>
  <c r="AD79" i="11"/>
  <c r="BI51" i="11"/>
  <c r="BJ32" i="11"/>
  <c r="BJ76" i="11"/>
  <c r="BI64" i="11"/>
  <c r="BG83" i="11"/>
  <c r="BF35" i="11"/>
  <c r="AO41" i="11"/>
  <c r="AT41" i="11"/>
  <c r="BG33" i="11"/>
  <c r="AD32" i="11"/>
  <c r="BH79" i="11"/>
  <c r="BH60" i="11"/>
  <c r="BF40" i="11"/>
  <c r="BF77" i="11"/>
  <c r="AT45" i="11"/>
  <c r="AO45" i="11"/>
  <c r="AT82" i="11"/>
  <c r="AO82" i="11"/>
  <c r="BJ80" i="11"/>
  <c r="BI91" i="11"/>
  <c r="AT63" i="11"/>
  <c r="AO63" i="11"/>
  <c r="BF86" i="11"/>
  <c r="AO7" i="11"/>
  <c r="AT7" i="11"/>
  <c r="AO89" i="11"/>
  <c r="AT89" i="11"/>
  <c r="AD43" i="11"/>
  <c r="AD4" i="11"/>
  <c r="BJ48" i="11"/>
  <c r="BJ87" i="11"/>
  <c r="BH28" i="11"/>
  <c r="BF11" i="11"/>
  <c r="BF47" i="11"/>
  <c r="AT12" i="11"/>
  <c r="AO12" i="11"/>
  <c r="AO52" i="11"/>
  <c r="AT52" i="11"/>
  <c r="AD48" i="11"/>
  <c r="AD92" i="11"/>
  <c r="BG27" i="11"/>
  <c r="BJ2" i="11"/>
  <c r="BI46" i="11"/>
  <c r="BH34" i="11"/>
  <c r="BG63" i="11"/>
  <c r="BF16" i="11"/>
  <c r="BF94" i="11"/>
  <c r="AO59" i="11"/>
  <c r="AT59" i="11"/>
  <c r="AT5" i="11"/>
  <c r="AO5" i="11"/>
  <c r="BH26" i="11"/>
  <c r="AD18" i="11"/>
  <c r="BI8" i="11"/>
  <c r="BG71" i="11"/>
  <c r="AO62" i="11"/>
  <c r="AT62" i="11"/>
  <c r="BI4" i="11"/>
  <c r="BI57" i="11"/>
  <c r="AD77" i="11"/>
  <c r="BG10" i="11"/>
  <c r="AT15" i="11"/>
  <c r="AO15" i="11"/>
  <c r="AD51" i="11"/>
  <c r="BJ59" i="11"/>
  <c r="BG30" i="11"/>
  <c r="BJ13" i="11"/>
  <c r="BI43" i="11"/>
  <c r="BH35" i="11"/>
  <c r="BG66" i="11"/>
  <c r="BF56" i="11"/>
  <c r="AO61" i="11"/>
  <c r="AT61" i="11"/>
  <c r="AD21" i="11"/>
  <c r="BI27" i="11"/>
  <c r="AT16" i="11"/>
  <c r="AO16" i="11"/>
  <c r="BH88" i="11"/>
  <c r="AD10" i="11"/>
  <c r="BG2" i="11"/>
  <c r="AO43" i="11"/>
  <c r="AT43" i="11"/>
  <c r="AT94" i="11"/>
  <c r="AO94" i="11"/>
  <c r="BJ62" i="11"/>
  <c r="BI93" i="11"/>
  <c r="AO27" i="11"/>
  <c r="AT27" i="11"/>
  <c r="AD70" i="11"/>
  <c r="AD13" i="11"/>
  <c r="AD66" i="11"/>
  <c r="BJ30" i="11"/>
  <c r="BH87" i="11"/>
  <c r="AT75" i="11"/>
  <c r="AO75" i="11"/>
  <c r="AD30" i="11"/>
  <c r="AD76" i="11"/>
  <c r="AD9" i="11"/>
  <c r="BH56" i="11"/>
  <c r="BG46" i="11"/>
  <c r="AO80" i="11"/>
  <c r="AT80" i="11"/>
  <c r="BG75" i="11"/>
  <c r="AT24" i="11"/>
  <c r="AO24" i="11"/>
  <c r="BJ78" i="11"/>
  <c r="BF37" i="11"/>
  <c r="BF5" i="11"/>
  <c r="AO42" i="11"/>
  <c r="AT42" i="11"/>
  <c r="AD41" i="11"/>
  <c r="AD85" i="11"/>
  <c r="BF19" i="11"/>
  <c r="BJ83" i="11"/>
  <c r="BH25" i="11"/>
  <c r="BH63" i="11"/>
  <c r="BF43" i="11"/>
  <c r="BF83" i="11"/>
  <c r="AT48" i="11"/>
  <c r="AO48" i="11"/>
  <c r="AT90" i="11"/>
  <c r="AO90" i="11"/>
  <c r="AD55" i="11"/>
  <c r="AD89" i="11"/>
  <c r="BH67" i="11"/>
  <c r="BG61" i="11"/>
  <c r="BF7" i="11"/>
  <c r="BF88" i="11"/>
  <c r="AO14" i="11"/>
  <c r="AT14" i="11"/>
  <c r="AT93" i="11"/>
  <c r="AO93" i="11"/>
  <c r="BH58" i="11"/>
  <c r="BG29" i="11"/>
  <c r="BJ12" i="11"/>
  <c r="BI84" i="11"/>
  <c r="BH32" i="11"/>
  <c r="BG25" i="11"/>
  <c r="BG64" i="11"/>
  <c r="BF55" i="11"/>
  <c r="AT21" i="11"/>
  <c r="AO21" i="11"/>
  <c r="AT60" i="11"/>
  <c r="AO60" i="11"/>
  <c r="BJ94" i="11"/>
  <c r="AD57" i="11"/>
  <c r="AD20" i="11"/>
  <c r="BH41" i="11"/>
  <c r="BG68" i="11"/>
  <c r="BF39" i="11"/>
  <c r="AT95" i="11"/>
  <c r="AZ95" i="11" s="1"/>
  <c r="AO95" i="11"/>
  <c r="AD47" i="11"/>
  <c r="BJ33" i="11"/>
  <c r="AT25" i="11"/>
  <c r="AO25" i="11"/>
  <c r="AT66" i="11"/>
  <c r="AO66" i="11"/>
  <c r="BF25" i="11"/>
  <c r="AO68" i="11"/>
  <c r="AT68" i="11"/>
  <c r="AZ68" i="11" s="1"/>
  <c r="AD26" i="11"/>
  <c r="AD69" i="11"/>
  <c r="AD12" i="11"/>
  <c r="BG77" i="11"/>
  <c r="BF70" i="11"/>
  <c r="AT73" i="11"/>
  <c r="AO73" i="11"/>
  <c r="BI55" i="11"/>
  <c r="BH82" i="11"/>
  <c r="AD29" i="11"/>
  <c r="AD75" i="11"/>
  <c r="BI49" i="11"/>
  <c r="AD8" i="11"/>
  <c r="BH55" i="11"/>
  <c r="BG84" i="11"/>
  <c r="AT40" i="11"/>
  <c r="AZ40" i="11" s="1"/>
  <c r="AO40" i="11"/>
  <c r="AO79" i="11"/>
  <c r="AT79" i="11"/>
  <c r="BH81" i="11"/>
  <c r="AT23" i="11"/>
  <c r="AO23" i="11"/>
  <c r="BG9" i="11"/>
  <c r="BF41" i="11"/>
  <c r="BF4" i="11"/>
  <c r="AT86" i="11"/>
  <c r="AO86" i="11"/>
  <c r="AD40" i="11"/>
  <c r="AD84" i="11"/>
  <c r="BI90" i="11"/>
  <c r="BF18" i="11"/>
  <c r="BJ86" i="11"/>
  <c r="BI35" i="11"/>
  <c r="BH24" i="11"/>
  <c r="BF42" i="11"/>
  <c r="BF82" i="11"/>
  <c r="AT47" i="11"/>
  <c r="AO47" i="11"/>
  <c r="AD54" i="11"/>
  <c r="AD42" i="11"/>
  <c r="AD88" i="11"/>
  <c r="BH29" i="11"/>
  <c r="BH71" i="11"/>
  <c r="BF9" i="11"/>
  <c r="BF87" i="11"/>
  <c r="AO56" i="11"/>
  <c r="AT56" i="11"/>
  <c r="AO92" i="11"/>
  <c r="AT92" i="11"/>
  <c r="BG90" i="11"/>
  <c r="AD96" i="11"/>
  <c r="BJ3" i="11"/>
  <c r="BG19" i="11"/>
  <c r="BI82" i="11"/>
  <c r="BH36" i="11"/>
  <c r="BG23" i="11"/>
  <c r="BF15" i="11"/>
  <c r="BF54" i="11"/>
  <c r="AO20" i="11"/>
  <c r="AT20" i="11"/>
  <c r="AT58" i="11"/>
  <c r="AO58" i="11"/>
  <c r="BF23" i="11"/>
  <c r="BG15" i="11"/>
  <c r="AD61" i="11"/>
  <c r="AD19" i="11"/>
  <c r="BH37" i="11"/>
  <c r="BG67" i="11"/>
  <c r="AT22" i="11"/>
  <c r="AO22" i="11"/>
  <c r="AO10" i="11"/>
  <c r="AT10" i="11"/>
  <c r="AD3" i="11"/>
  <c r="AO81" i="11"/>
  <c r="AT81" i="11"/>
  <c r="BF38" i="11"/>
  <c r="AD90" i="11"/>
  <c r="BH84" i="11"/>
  <c r="BG76" i="11"/>
  <c r="AT67" i="11"/>
  <c r="AZ67" i="11" s="1"/>
  <c r="AO67" i="11"/>
  <c r="AD25" i="11"/>
  <c r="AD68" i="11"/>
  <c r="AD64" i="11"/>
  <c r="BF69" i="11"/>
  <c r="AT36" i="11"/>
  <c r="AO36" i="11"/>
  <c r="AT72" i="11"/>
  <c r="AO72" i="11"/>
  <c r="BH86" i="11"/>
  <c r="AD28" i="11"/>
  <c r="AD7" i="11"/>
  <c r="BH16" i="11"/>
  <c r="BF34" i="11"/>
  <c r="AO39" i="11"/>
  <c r="AT39" i="11"/>
  <c r="AZ39" i="11" s="1"/>
  <c r="AO78" i="11"/>
  <c r="AT78" i="11"/>
  <c r="BH78" i="11"/>
  <c r="AT26" i="11"/>
  <c r="AO26" i="11"/>
  <c r="BH59" i="11"/>
  <c r="BF80" i="11"/>
  <c r="BF3" i="11"/>
  <c r="AO85" i="11"/>
  <c r="AT85" i="11"/>
  <c r="AD39" i="11"/>
  <c r="AD83" i="11"/>
  <c r="BI89" i="11"/>
  <c r="BI76" i="11"/>
  <c r="BF46" i="11"/>
  <c r="AO11" i="11"/>
  <c r="AT11" i="11"/>
  <c r="AZ11" i="11" s="1"/>
  <c r="AT51" i="11"/>
  <c r="AO51" i="11"/>
  <c r="AD53" i="11"/>
  <c r="BI69" i="11"/>
  <c r="BG6" i="11"/>
  <c r="BG43" i="11"/>
  <c r="AD46" i="11"/>
  <c r="AD87" i="11"/>
  <c r="AD2" i="11"/>
  <c r="BI38" i="11"/>
  <c r="BH27" i="11"/>
  <c r="BH68" i="11"/>
  <c r="BF91" i="11"/>
  <c r="AO55" i="11"/>
  <c r="AT55" i="11"/>
  <c r="AT96" i="11"/>
  <c r="AO96" i="11"/>
  <c r="BF64" i="11"/>
  <c r="BG47" i="11"/>
  <c r="BG89" i="11"/>
  <c r="AD95" i="11"/>
  <c r="BJ6" i="11"/>
  <c r="BI86" i="11"/>
  <c r="BG22" i="11"/>
  <c r="BF14" i="11"/>
  <c r="BF53" i="11"/>
  <c r="AT19" i="11"/>
  <c r="AO19" i="11"/>
  <c r="AT3" i="11"/>
  <c r="AO3" i="11"/>
  <c r="BF22" i="11"/>
  <c r="BI41" i="11"/>
  <c r="AD60" i="11"/>
  <c r="BH40" i="11"/>
  <c r="AT30" i="11"/>
  <c r="AO30" i="11"/>
  <c r="AD82" i="11"/>
  <c r="BI45" i="11"/>
  <c r="AO2" i="11"/>
  <c r="AT2" i="11"/>
  <c r="BI7" i="11"/>
  <c r="AO28" i="11"/>
  <c r="AT28" i="11"/>
  <c r="AT76" i="11"/>
  <c r="AO76" i="11"/>
  <c r="AD72" i="11"/>
  <c r="AD35" i="11"/>
  <c r="AO49" i="11"/>
  <c r="AT49" i="11"/>
  <c r="BJ22" i="11"/>
  <c r="BI12" i="11"/>
  <c r="BI53" i="11"/>
  <c r="BH42" i="11"/>
  <c r="BI3" i="11"/>
  <c r="AT71" i="11"/>
  <c r="AO71" i="11"/>
  <c r="AD24" i="11"/>
  <c r="AD67" i="11"/>
  <c r="AD63" i="11"/>
  <c r="BI21" i="11"/>
  <c r="BH47" i="11"/>
  <c r="BG39" i="11"/>
  <c r="AT35" i="11"/>
  <c r="AO35" i="11"/>
  <c r="AT74" i="11"/>
  <c r="AO74" i="11"/>
  <c r="AD27" i="11"/>
  <c r="AD81" i="11"/>
  <c r="BI50" i="11"/>
  <c r="AD11" i="11"/>
  <c r="BI22" i="11"/>
  <c r="BF32" i="11"/>
  <c r="AO38" i="11"/>
  <c r="AT38" i="11"/>
  <c r="AD34" i="11"/>
  <c r="BH77" i="11"/>
  <c r="BG87" i="11"/>
  <c r="BF2" i="11"/>
  <c r="AO84" i="11"/>
  <c r="AT84" i="11"/>
  <c r="AD38" i="11"/>
  <c r="BI88" i="11"/>
  <c r="AT65" i="11"/>
  <c r="AO65" i="11"/>
  <c r="BJ43" i="11"/>
  <c r="BG92" i="11"/>
  <c r="BF45" i="11"/>
  <c r="AT9" i="11"/>
  <c r="AO9" i="11"/>
  <c r="AO50" i="11"/>
  <c r="AT50" i="11"/>
  <c r="AD52" i="11"/>
  <c r="BG5" i="11"/>
  <c r="AD45" i="11"/>
  <c r="AD91" i="11"/>
  <c r="AD6" i="11"/>
  <c r="BJ7" i="11"/>
  <c r="BH31" i="11"/>
  <c r="BF89" i="11"/>
  <c r="AT54" i="11"/>
  <c r="AO54" i="11"/>
  <c r="AD50" i="11"/>
  <c r="AD94" i="11"/>
  <c r="BJ5" i="11"/>
  <c r="BI44" i="11"/>
  <c r="BI85" i="11"/>
  <c r="BG24" i="11"/>
  <c r="BF13" i="11"/>
  <c r="BF96" i="11"/>
  <c r="AO17" i="11"/>
  <c r="AT17" i="11"/>
  <c r="AT4" i="11"/>
  <c r="AO4" i="11"/>
  <c r="BJ52" i="11"/>
  <c r="AD59" i="11"/>
  <c r="BI10" i="11"/>
  <c r="BH39" i="11"/>
  <c r="D39" i="8"/>
  <c r="D40" i="8"/>
  <c r="D38" i="8"/>
  <c r="D41" i="8"/>
  <c r="G67" i="8"/>
  <c r="G66" i="8"/>
  <c r="G69" i="8"/>
  <c r="G68" i="8"/>
  <c r="C21" i="8"/>
  <c r="C18" i="8"/>
  <c r="C20" i="8"/>
  <c r="C19" i="8"/>
  <c r="D42" i="8"/>
  <c r="D43" i="8"/>
  <c r="D44" i="8"/>
  <c r="D45" i="8"/>
  <c r="C15" i="8"/>
  <c r="C14" i="8"/>
  <c r="C17" i="8"/>
  <c r="C16" i="8"/>
  <c r="F44" i="8"/>
  <c r="F43" i="8"/>
  <c r="F42" i="8"/>
  <c r="F45" i="8"/>
  <c r="G15" i="8"/>
  <c r="F16" i="8"/>
  <c r="F15" i="8"/>
  <c r="D14" i="8"/>
  <c r="F17" i="8"/>
  <c r="F14" i="8"/>
  <c r="D16" i="8"/>
  <c r="G16" i="8"/>
  <c r="G17" i="8"/>
  <c r="G14" i="8"/>
  <c r="E14" i="8"/>
  <c r="D15" i="8"/>
  <c r="E17" i="8"/>
  <c r="E15" i="8"/>
  <c r="E16" i="8"/>
  <c r="D17" i="8"/>
  <c r="C43" i="8"/>
  <c r="C42" i="8"/>
  <c r="C45" i="8"/>
  <c r="C44" i="8"/>
  <c r="C67" i="8"/>
  <c r="C66" i="8"/>
  <c r="C68" i="8"/>
  <c r="C69" i="8"/>
  <c r="G44" i="8"/>
  <c r="G45" i="8"/>
  <c r="G42" i="8"/>
  <c r="H42" i="8"/>
  <c r="H44" i="8"/>
  <c r="H43" i="8"/>
  <c r="H45" i="8"/>
  <c r="H20" i="8"/>
  <c r="H18" i="8"/>
  <c r="H19" i="8"/>
  <c r="H21" i="8"/>
  <c r="C56" i="8"/>
  <c r="C54" i="8"/>
  <c r="C55" i="8"/>
  <c r="C57" i="8"/>
  <c r="D8" i="8"/>
  <c r="D7" i="8"/>
  <c r="D6" i="8"/>
  <c r="D9" i="8"/>
  <c r="E18" i="8"/>
  <c r="E19" i="8"/>
  <c r="E20" i="8"/>
  <c r="E21" i="8"/>
  <c r="G52" i="8"/>
  <c r="G50" i="8"/>
  <c r="G51" i="8"/>
  <c r="G53" i="8"/>
  <c r="E77" i="8"/>
  <c r="E75" i="8"/>
  <c r="E76" i="8"/>
  <c r="E74" i="8"/>
  <c r="F12" i="8"/>
  <c r="F10" i="8"/>
  <c r="F11" i="8"/>
  <c r="F13" i="8"/>
  <c r="C39" i="8"/>
  <c r="C38" i="8"/>
  <c r="C40" i="8"/>
  <c r="C41" i="8"/>
  <c r="G21" i="8"/>
  <c r="G19" i="8"/>
  <c r="G18" i="8"/>
  <c r="G20" i="8"/>
  <c r="H32" i="8"/>
  <c r="H33" i="8"/>
  <c r="H31" i="8"/>
  <c r="H30" i="8"/>
  <c r="G39" i="8"/>
  <c r="G38" i="8"/>
  <c r="G40" i="8"/>
  <c r="G41" i="8"/>
  <c r="H56" i="8"/>
  <c r="H55" i="8"/>
  <c r="H57" i="8"/>
  <c r="H54" i="8"/>
  <c r="E8" i="8"/>
  <c r="E6" i="8"/>
  <c r="E7" i="8"/>
  <c r="E9" i="8"/>
  <c r="G32" i="8"/>
  <c r="G30" i="8"/>
  <c r="G33" i="8"/>
  <c r="G31" i="8"/>
  <c r="H46" i="8"/>
  <c r="H47" i="8"/>
  <c r="H49" i="8"/>
  <c r="H48" i="8"/>
  <c r="E62" i="8"/>
  <c r="E63" i="8"/>
  <c r="E64" i="8"/>
  <c r="E65" i="8"/>
  <c r="C34" i="8"/>
  <c r="C36" i="8"/>
  <c r="C35" i="8"/>
  <c r="C37" i="8"/>
  <c r="F8" i="8"/>
  <c r="F9" i="8"/>
  <c r="F7" i="8"/>
  <c r="F6" i="8"/>
  <c r="H3" i="8"/>
  <c r="H2" i="8"/>
  <c r="H5" i="8"/>
  <c r="H4" i="8"/>
  <c r="E59" i="8"/>
  <c r="E61" i="8"/>
  <c r="E60" i="8"/>
  <c r="E58" i="8"/>
  <c r="C62" i="8"/>
  <c r="C63" i="8"/>
  <c r="C65" i="8"/>
  <c r="C64" i="8"/>
  <c r="C75" i="8"/>
  <c r="C74" i="8"/>
  <c r="C77" i="8"/>
  <c r="C76" i="8"/>
  <c r="C23" i="8"/>
  <c r="C22" i="8"/>
  <c r="C25" i="8"/>
  <c r="C24" i="8"/>
  <c r="F72" i="8"/>
  <c r="F73" i="8"/>
  <c r="F71" i="8"/>
  <c r="F70" i="8"/>
  <c r="E24" i="8"/>
  <c r="E25" i="8"/>
  <c r="E23" i="8"/>
  <c r="E22" i="8"/>
  <c r="E54" i="8"/>
  <c r="E56" i="8"/>
  <c r="E55" i="8"/>
  <c r="E57" i="8"/>
  <c r="D64" i="8"/>
  <c r="D63" i="8"/>
  <c r="D62" i="8"/>
  <c r="D65" i="8"/>
  <c r="C4" i="8"/>
  <c r="C2" i="8"/>
  <c r="C3" i="8"/>
  <c r="C5" i="8"/>
  <c r="H7" i="8"/>
  <c r="H6" i="8"/>
  <c r="H8" i="8"/>
  <c r="H9" i="8"/>
  <c r="G7" i="8"/>
  <c r="G8" i="8"/>
  <c r="G9" i="8"/>
  <c r="G6" i="8"/>
  <c r="E12" i="8"/>
  <c r="E11" i="8"/>
  <c r="E10" i="8"/>
  <c r="E13" i="8"/>
  <c r="G70" i="8"/>
  <c r="G71" i="8"/>
  <c r="G72" i="8"/>
  <c r="G73" i="8"/>
  <c r="G4" i="8"/>
  <c r="G2" i="8"/>
  <c r="G3" i="8"/>
  <c r="G5" i="8"/>
  <c r="F31" i="8"/>
  <c r="F30" i="8"/>
  <c r="F33" i="8"/>
  <c r="F32" i="8"/>
  <c r="H75" i="8"/>
  <c r="H77" i="8"/>
  <c r="H76" i="8"/>
  <c r="H74" i="8"/>
  <c r="F58" i="8"/>
  <c r="F59" i="8"/>
  <c r="F61" i="8"/>
  <c r="F60" i="8"/>
  <c r="G35" i="8"/>
  <c r="G37" i="8"/>
  <c r="G36" i="8"/>
  <c r="G34" i="8"/>
  <c r="H41" i="8"/>
  <c r="H40" i="8"/>
  <c r="H38" i="8"/>
  <c r="H39" i="8"/>
  <c r="D67" i="8"/>
  <c r="D66" i="8"/>
  <c r="D68" i="8"/>
  <c r="D69" i="8"/>
  <c r="D25" i="8"/>
  <c r="D22" i="8"/>
  <c r="D23" i="8"/>
  <c r="D24" i="8"/>
  <c r="D48" i="8"/>
  <c r="D49" i="8"/>
  <c r="D47" i="8"/>
  <c r="D46" i="8"/>
  <c r="E29" i="8"/>
  <c r="E26" i="8"/>
  <c r="E28" i="8"/>
  <c r="E27" i="8"/>
  <c r="G43" i="8"/>
  <c r="C58" i="8"/>
  <c r="C59" i="8"/>
  <c r="C60" i="8"/>
  <c r="C61" i="8"/>
  <c r="H35" i="8"/>
  <c r="H36" i="8"/>
  <c r="H37" i="8"/>
  <c r="H34" i="8"/>
  <c r="E34" i="8"/>
  <c r="E35" i="8"/>
  <c r="E36" i="8"/>
  <c r="E37" i="8"/>
  <c r="D50" i="8"/>
  <c r="D53" i="8"/>
  <c r="D51" i="8"/>
  <c r="D52" i="8"/>
  <c r="E32" i="8"/>
  <c r="E33" i="8"/>
  <c r="E31" i="8"/>
  <c r="E30" i="8"/>
  <c r="E39" i="8"/>
  <c r="E40" i="8"/>
  <c r="E38" i="8"/>
  <c r="E41" i="8"/>
  <c r="G22" i="8"/>
  <c r="G24" i="8"/>
  <c r="G23" i="8"/>
  <c r="G25" i="8"/>
  <c r="D76" i="8"/>
  <c r="D77" i="8"/>
  <c r="D75" i="8"/>
  <c r="D74" i="8"/>
  <c r="G77" i="8"/>
  <c r="G76" i="8"/>
  <c r="G74" i="8"/>
  <c r="G75" i="8"/>
  <c r="C6" i="8"/>
  <c r="C8" i="8"/>
  <c r="C7" i="8"/>
  <c r="C9" i="8"/>
  <c r="H14" i="8"/>
  <c r="H16" i="8"/>
  <c r="H15" i="8"/>
  <c r="H17" i="8"/>
  <c r="E45" i="8"/>
  <c r="E42" i="8"/>
  <c r="E43" i="8"/>
  <c r="E44" i="8"/>
  <c r="D71" i="8"/>
  <c r="D70" i="8"/>
  <c r="D72" i="8"/>
  <c r="D73" i="8"/>
  <c r="E51" i="8"/>
  <c r="E50" i="8"/>
  <c r="E52" i="8"/>
  <c r="E53" i="8"/>
  <c r="F65" i="8"/>
  <c r="F64" i="8"/>
  <c r="F63" i="8"/>
  <c r="F62" i="8"/>
  <c r="F56" i="8"/>
  <c r="F55" i="8"/>
  <c r="F54" i="8"/>
  <c r="F57" i="8"/>
  <c r="H70" i="8"/>
  <c r="H72" i="8"/>
  <c r="H71" i="8"/>
  <c r="H73" i="8"/>
  <c r="D36" i="8"/>
  <c r="D35" i="8"/>
  <c r="D34" i="8"/>
  <c r="D37" i="8"/>
  <c r="D55" i="8"/>
  <c r="D56" i="8"/>
  <c r="D57" i="8"/>
  <c r="D54" i="8"/>
  <c r="F48" i="8"/>
  <c r="F49" i="8"/>
  <c r="F47" i="8"/>
  <c r="F46" i="8"/>
  <c r="C12" i="8"/>
  <c r="C10" i="8"/>
  <c r="C13" i="8"/>
  <c r="C11" i="8"/>
  <c r="E3" i="8"/>
  <c r="E4" i="8"/>
  <c r="E5" i="8"/>
  <c r="E2" i="8"/>
  <c r="C50" i="8"/>
  <c r="C51" i="8"/>
  <c r="C53" i="8"/>
  <c r="C52" i="8"/>
  <c r="H59" i="8"/>
  <c r="H58" i="8"/>
  <c r="H60" i="8"/>
  <c r="H61" i="8"/>
  <c r="D19" i="8"/>
  <c r="D20" i="8"/>
  <c r="D18" i="8"/>
  <c r="D21" i="8"/>
  <c r="G27" i="8"/>
  <c r="G28" i="8"/>
  <c r="G29" i="8"/>
  <c r="G26" i="8"/>
  <c r="H62" i="8"/>
  <c r="H63" i="8"/>
  <c r="H64" i="8"/>
  <c r="H65" i="8"/>
  <c r="C32" i="8"/>
  <c r="C30" i="8"/>
  <c r="C31" i="8"/>
  <c r="C33" i="8"/>
  <c r="H52" i="8"/>
  <c r="H50" i="8"/>
  <c r="H53" i="8"/>
  <c r="H51" i="8"/>
  <c r="F36" i="8"/>
  <c r="F37" i="8"/>
  <c r="F34" i="8"/>
  <c r="F35" i="8"/>
  <c r="F3" i="8"/>
  <c r="F2" i="8"/>
  <c r="F5" i="8"/>
  <c r="F4" i="8"/>
  <c r="D5" i="8"/>
  <c r="D4" i="8"/>
  <c r="D3" i="8"/>
  <c r="D2" i="8"/>
  <c r="D59" i="8"/>
  <c r="D60" i="8"/>
  <c r="D61" i="8"/>
  <c r="D58" i="8"/>
  <c r="D33" i="8"/>
  <c r="D30" i="8"/>
  <c r="D31" i="8"/>
  <c r="D32" i="8"/>
  <c r="H11" i="8"/>
  <c r="H13" i="8"/>
  <c r="G11" i="8"/>
  <c r="G10" i="8"/>
  <c r="G13" i="8"/>
  <c r="H10" i="8"/>
  <c r="H12" i="8"/>
  <c r="G12" i="8"/>
  <c r="F75" i="8"/>
  <c r="F74" i="8"/>
  <c r="F77" i="8"/>
  <c r="F76" i="8"/>
  <c r="C73" i="8"/>
  <c r="C72" i="8"/>
  <c r="C71" i="8"/>
  <c r="C70" i="8"/>
  <c r="D27" i="8"/>
  <c r="D29" i="8"/>
  <c r="D28" i="8"/>
  <c r="D26" i="8"/>
  <c r="C47" i="8"/>
  <c r="C46" i="8"/>
  <c r="C49" i="8"/>
  <c r="C48" i="8"/>
  <c r="F68" i="8"/>
  <c r="F66" i="8"/>
  <c r="F67" i="8"/>
  <c r="F69" i="8"/>
  <c r="H66" i="8"/>
  <c r="H69" i="8"/>
  <c r="H68" i="8"/>
  <c r="H67" i="8"/>
  <c r="G56" i="8"/>
  <c r="G55" i="8"/>
  <c r="G57" i="8"/>
  <c r="G54" i="8"/>
  <c r="H24" i="8"/>
  <c r="H22" i="8"/>
  <c r="H25" i="8"/>
  <c r="H23" i="8"/>
  <c r="C28" i="8"/>
  <c r="C26" i="8"/>
  <c r="C27" i="8"/>
  <c r="C29" i="8"/>
  <c r="F40" i="8"/>
  <c r="F38" i="8"/>
  <c r="F39" i="8"/>
  <c r="F41" i="8"/>
  <c r="E68" i="8"/>
  <c r="E67" i="8"/>
  <c r="E66" i="8"/>
  <c r="E69" i="8"/>
  <c r="F50" i="8"/>
  <c r="F51" i="8"/>
  <c r="F52" i="8"/>
  <c r="F53" i="8"/>
  <c r="G49" i="8"/>
  <c r="G47" i="8"/>
  <c r="G46" i="8"/>
  <c r="G48" i="8"/>
  <c r="G60" i="8"/>
  <c r="G58" i="8"/>
  <c r="G59" i="8"/>
  <c r="G61" i="8"/>
  <c r="F29" i="8"/>
  <c r="F27" i="8"/>
  <c r="F28" i="8"/>
  <c r="F26" i="8"/>
  <c r="E49" i="8"/>
  <c r="E47" i="8"/>
  <c r="E48" i="8"/>
  <c r="E46" i="8"/>
  <c r="F23" i="8"/>
  <c r="F24" i="8"/>
  <c r="F25" i="8"/>
  <c r="F22" i="8"/>
  <c r="H26" i="8"/>
  <c r="H29" i="8"/>
  <c r="H27" i="8"/>
  <c r="H28" i="8"/>
  <c r="F19" i="8"/>
  <c r="F18" i="8"/>
  <c r="F21" i="8"/>
  <c r="F20" i="8"/>
  <c r="E73" i="8"/>
  <c r="E70" i="8"/>
  <c r="E71" i="8"/>
  <c r="E72" i="8"/>
  <c r="G63" i="8"/>
  <c r="G65" i="8"/>
  <c r="G64" i="8"/>
  <c r="G62" i="8"/>
  <c r="O41" i="4"/>
  <c r="O43" i="4"/>
  <c r="O40" i="4"/>
  <c r="O39" i="4"/>
  <c r="O33" i="4"/>
  <c r="O31" i="4"/>
  <c r="O35" i="4"/>
  <c r="O32" i="4"/>
  <c r="O30" i="4"/>
  <c r="R1225" i="1"/>
  <c r="R1223" i="1"/>
  <c r="R1224" i="1"/>
  <c r="P1266" i="1"/>
  <c r="P1269" i="1"/>
  <c r="L1283" i="1"/>
  <c r="P1281" i="1"/>
  <c r="P1279" i="1"/>
  <c r="U1289" i="1"/>
  <c r="P1278" i="1"/>
  <c r="P1273" i="1"/>
  <c r="P1272" i="1"/>
  <c r="Q1289" i="1"/>
  <c r="S1289" i="1"/>
  <c r="T1288" i="1" s="1"/>
  <c r="P1271" i="1"/>
  <c r="P1270" i="1"/>
  <c r="P1289" i="1"/>
  <c r="R1287" i="1"/>
  <c r="R1288" i="1"/>
  <c r="P1280" i="1"/>
  <c r="I1276" i="1"/>
  <c r="R1286" i="1"/>
  <c r="I1277" i="1"/>
  <c r="S1280" i="1"/>
  <c r="S1279" i="1"/>
  <c r="U1281" i="1"/>
  <c r="U1280" i="1"/>
  <c r="U1279" i="1"/>
  <c r="I1278" i="1"/>
  <c r="Q1281" i="1"/>
  <c r="Q1280" i="1"/>
  <c r="Q1279" i="1"/>
  <c r="S1281" i="1"/>
  <c r="I1274" i="1"/>
  <c r="I1272" i="1"/>
  <c r="I1271" i="1"/>
  <c r="I1275" i="1"/>
  <c r="I1273" i="1"/>
  <c r="I1270" i="1"/>
  <c r="I1269" i="1"/>
  <c r="I1268" i="1"/>
  <c r="I1267" i="1"/>
  <c r="I1266" i="1"/>
  <c r="I1265" i="1"/>
  <c r="I1264" i="1"/>
  <c r="I1282" i="1"/>
  <c r="I1281" i="1"/>
  <c r="I1280" i="1"/>
  <c r="I1279" i="1"/>
  <c r="H1283" i="1"/>
  <c r="G1283" i="1"/>
  <c r="J1283" i="1"/>
  <c r="J1244" i="1"/>
  <c r="U1236" i="1"/>
  <c r="P1239" i="1"/>
  <c r="P1238" i="1"/>
  <c r="P1237" i="1"/>
  <c r="P1236" i="1"/>
  <c r="Q1239" i="1"/>
  <c r="Q1238" i="1"/>
  <c r="U1226" i="1"/>
  <c r="S1239" i="1"/>
  <c r="S1238" i="1"/>
  <c r="S1237" i="1"/>
  <c r="S1236" i="1"/>
  <c r="U1239" i="1"/>
  <c r="Q1237" i="1"/>
  <c r="U1238" i="1"/>
  <c r="U1237" i="1"/>
  <c r="Q1236" i="1"/>
  <c r="P1226" i="1"/>
  <c r="Q1226" i="1"/>
  <c r="S1226" i="1"/>
  <c r="N1221" i="1"/>
  <c r="T1225" i="1" l="1"/>
  <c r="BE67" i="11"/>
  <c r="BK67" i="11" s="1"/>
  <c r="G164" i="12"/>
  <c r="G171" i="12"/>
  <c r="G162" i="12"/>
  <c r="G177" i="12"/>
  <c r="G169" i="12"/>
  <c r="Y10" i="8"/>
  <c r="AT10" i="8"/>
  <c r="AT12" i="8"/>
  <c r="Y12" i="8"/>
  <c r="G172" i="12"/>
  <c r="G174" i="12"/>
  <c r="G168" i="12"/>
  <c r="AT11" i="8"/>
  <c r="Y11" i="8"/>
  <c r="AT13" i="8"/>
  <c r="Y13" i="8"/>
  <c r="C82" i="12"/>
  <c r="G167" i="12"/>
  <c r="G170" i="12"/>
  <c r="G160" i="12"/>
  <c r="G173" i="12"/>
  <c r="G159" i="12"/>
  <c r="G165" i="12"/>
  <c r="G161" i="12"/>
  <c r="G163" i="12"/>
  <c r="G175" i="12"/>
  <c r="G166" i="12"/>
  <c r="G176" i="12"/>
  <c r="BE68" i="11"/>
  <c r="BK68" i="11" s="1"/>
  <c r="BE40" i="11"/>
  <c r="BK40" i="11" s="1"/>
  <c r="BE95" i="11"/>
  <c r="BK95" i="11" s="1"/>
  <c r="Y104" i="11"/>
  <c r="AZ29" i="11"/>
  <c r="BE29" i="11"/>
  <c r="BK29" i="11" s="1"/>
  <c r="BE35" i="11"/>
  <c r="BK35" i="11" s="1"/>
  <c r="AZ35" i="11"/>
  <c r="AZ2" i="11"/>
  <c r="BE2" i="11"/>
  <c r="BK2" i="11" s="1"/>
  <c r="BE26" i="11"/>
  <c r="BK26" i="11" s="1"/>
  <c r="AZ26" i="11"/>
  <c r="BE22" i="11"/>
  <c r="BK22" i="11" s="1"/>
  <c r="AZ22" i="11"/>
  <c r="BE58" i="11"/>
  <c r="BK58" i="11" s="1"/>
  <c r="AZ58" i="11"/>
  <c r="AZ47" i="11"/>
  <c r="BE47" i="11"/>
  <c r="BK47" i="11" s="1"/>
  <c r="BE73" i="11"/>
  <c r="BK73" i="11" s="1"/>
  <c r="AZ73" i="11"/>
  <c r="AZ60" i="11"/>
  <c r="BE60" i="11"/>
  <c r="BK60" i="11" s="1"/>
  <c r="AZ48" i="11"/>
  <c r="BE48" i="11"/>
  <c r="BK48" i="11" s="1"/>
  <c r="BE41" i="11"/>
  <c r="BK41" i="11" s="1"/>
  <c r="AZ41" i="11"/>
  <c r="BE8" i="11"/>
  <c r="BK8" i="11" s="1"/>
  <c r="AZ8" i="11"/>
  <c r="BE33" i="11"/>
  <c r="BK33" i="11" s="1"/>
  <c r="AZ33" i="11"/>
  <c r="AZ70" i="11"/>
  <c r="BE70" i="11"/>
  <c r="BK70" i="11" s="1"/>
  <c r="AZ87" i="11"/>
  <c r="BE87" i="11"/>
  <c r="BK87" i="11" s="1"/>
  <c r="AZ54" i="11"/>
  <c r="BE54" i="11"/>
  <c r="BK54" i="11" s="1"/>
  <c r="BE96" i="11"/>
  <c r="BK96" i="11" s="1"/>
  <c r="AZ96" i="11"/>
  <c r="BE78" i="11"/>
  <c r="BK78" i="11" s="1"/>
  <c r="AZ78" i="11"/>
  <c r="BE52" i="11"/>
  <c r="BK52" i="11" s="1"/>
  <c r="AZ52" i="11"/>
  <c r="AZ37" i="11"/>
  <c r="BE37" i="11"/>
  <c r="BK37" i="11" s="1"/>
  <c r="BE11" i="11"/>
  <c r="BK11" i="11" s="1"/>
  <c r="BE71" i="11"/>
  <c r="BK71" i="11" s="1"/>
  <c r="AZ71" i="11"/>
  <c r="AO97" i="11"/>
  <c r="Y103" i="11"/>
  <c r="AD97" i="11"/>
  <c r="AZ51" i="11"/>
  <c r="BE51" i="11"/>
  <c r="BK51" i="11" s="1"/>
  <c r="BE39" i="11"/>
  <c r="BK39" i="11" s="1"/>
  <c r="BE20" i="11"/>
  <c r="BK20" i="11" s="1"/>
  <c r="AZ20" i="11"/>
  <c r="BE23" i="11"/>
  <c r="BK23" i="11" s="1"/>
  <c r="AZ23" i="11"/>
  <c r="BE42" i="11"/>
  <c r="BK42" i="11" s="1"/>
  <c r="AZ42" i="11"/>
  <c r="BE80" i="11"/>
  <c r="BK80" i="11" s="1"/>
  <c r="AZ80" i="11"/>
  <c r="BE75" i="11"/>
  <c r="BK75" i="11" s="1"/>
  <c r="AZ75" i="11"/>
  <c r="BE15" i="11"/>
  <c r="BK15" i="11" s="1"/>
  <c r="AZ15" i="11"/>
  <c r="BE45" i="11"/>
  <c r="BK45" i="11" s="1"/>
  <c r="AZ45" i="11"/>
  <c r="BE57" i="11"/>
  <c r="BK57" i="11" s="1"/>
  <c r="AZ57" i="11"/>
  <c r="BE6" i="11"/>
  <c r="BK6" i="11" s="1"/>
  <c r="AZ6" i="11"/>
  <c r="BE83" i="11"/>
  <c r="BK83" i="11" s="1"/>
  <c r="AZ83" i="11"/>
  <c r="AZ85" i="11"/>
  <c r="BE85" i="11"/>
  <c r="BK85" i="11" s="1"/>
  <c r="BE21" i="11"/>
  <c r="BK21" i="11" s="1"/>
  <c r="AZ21" i="11"/>
  <c r="BE18" i="11"/>
  <c r="BK18" i="11" s="1"/>
  <c r="AZ18" i="11"/>
  <c r="AZ88" i="11"/>
  <c r="BE88" i="11"/>
  <c r="BK88" i="11" s="1"/>
  <c r="BE50" i="11"/>
  <c r="BK50" i="11" s="1"/>
  <c r="AZ50" i="11"/>
  <c r="BE65" i="11"/>
  <c r="BK65" i="11" s="1"/>
  <c r="AZ65" i="11"/>
  <c r="BE3" i="11"/>
  <c r="BK3" i="11" s="1"/>
  <c r="AZ3" i="11"/>
  <c r="BE55" i="11"/>
  <c r="BK55" i="11" s="1"/>
  <c r="AZ55" i="11"/>
  <c r="AZ79" i="11"/>
  <c r="BE79" i="11"/>
  <c r="BK79" i="11" s="1"/>
  <c r="BE16" i="11"/>
  <c r="BK16" i="11" s="1"/>
  <c r="AZ16" i="11"/>
  <c r="Y105" i="11"/>
  <c r="AZ63" i="11"/>
  <c r="BE63" i="11"/>
  <c r="BK63" i="11" s="1"/>
  <c r="BE69" i="11"/>
  <c r="BK69" i="11" s="1"/>
  <c r="AZ69" i="11"/>
  <c r="AZ64" i="11"/>
  <c r="BE64" i="11"/>
  <c r="BK64" i="11" s="1"/>
  <c r="BE46" i="11"/>
  <c r="BK46" i="11" s="1"/>
  <c r="AZ46" i="11"/>
  <c r="BE38" i="11"/>
  <c r="BK38" i="11" s="1"/>
  <c r="AZ38" i="11"/>
  <c r="AZ76" i="11"/>
  <c r="BE76" i="11"/>
  <c r="BK76" i="11" s="1"/>
  <c r="BE72" i="11"/>
  <c r="BK72" i="11" s="1"/>
  <c r="AZ72" i="11"/>
  <c r="Y107" i="11"/>
  <c r="BE92" i="11"/>
  <c r="BK92" i="11" s="1"/>
  <c r="AZ92" i="11"/>
  <c r="AZ86" i="11"/>
  <c r="BE86" i="11"/>
  <c r="BK86" i="11" s="1"/>
  <c r="BE25" i="11"/>
  <c r="BK25" i="11" s="1"/>
  <c r="AZ25" i="11"/>
  <c r="BE93" i="11"/>
  <c r="BK93" i="11" s="1"/>
  <c r="AZ93" i="11"/>
  <c r="AZ94" i="11"/>
  <c r="BE94" i="11"/>
  <c r="BK94" i="11" s="1"/>
  <c r="AZ32" i="11"/>
  <c r="BE32" i="11"/>
  <c r="BK32" i="11" s="1"/>
  <c r="BE44" i="11"/>
  <c r="BK44" i="11" s="1"/>
  <c r="AZ44" i="11"/>
  <c r="BE53" i="11"/>
  <c r="BK53" i="11" s="1"/>
  <c r="AZ53" i="11"/>
  <c r="AZ81" i="11"/>
  <c r="BE81" i="11"/>
  <c r="BK81" i="11" s="1"/>
  <c r="BE28" i="11"/>
  <c r="BK28" i="11" s="1"/>
  <c r="AZ28" i="11"/>
  <c r="AZ30" i="11"/>
  <c r="BE30" i="11"/>
  <c r="BK30" i="11" s="1"/>
  <c r="AZ19" i="11"/>
  <c r="BE19" i="11"/>
  <c r="BK19" i="11" s="1"/>
  <c r="AZ10" i="11"/>
  <c r="BE10" i="11"/>
  <c r="BK10" i="11" s="1"/>
  <c r="BE14" i="11"/>
  <c r="BK14" i="11" s="1"/>
  <c r="AZ14" i="11"/>
  <c r="BE43" i="11"/>
  <c r="BK43" i="11" s="1"/>
  <c r="AZ43" i="11"/>
  <c r="BE12" i="11"/>
  <c r="BK12" i="11" s="1"/>
  <c r="AZ12" i="11"/>
  <c r="BE89" i="11"/>
  <c r="BK89" i="11" s="1"/>
  <c r="AZ89" i="11"/>
  <c r="AZ31" i="11"/>
  <c r="BE31" i="11"/>
  <c r="BK31" i="11" s="1"/>
  <c r="BE77" i="11"/>
  <c r="BK77" i="11" s="1"/>
  <c r="AZ77" i="11"/>
  <c r="AZ4" i="11"/>
  <c r="BE4" i="11"/>
  <c r="BK4" i="11" s="1"/>
  <c r="Y106" i="11"/>
  <c r="BE9" i="11"/>
  <c r="BK9" i="11" s="1"/>
  <c r="AZ9" i="11"/>
  <c r="BE84" i="11"/>
  <c r="BK84" i="11" s="1"/>
  <c r="AZ84" i="11"/>
  <c r="BE74" i="11"/>
  <c r="BK74" i="11" s="1"/>
  <c r="AZ74" i="11"/>
  <c r="BE36" i="11"/>
  <c r="BK36" i="11" s="1"/>
  <c r="AZ36" i="11"/>
  <c r="AZ56" i="11"/>
  <c r="BE56" i="11"/>
  <c r="BK56" i="11" s="1"/>
  <c r="BE90" i="11"/>
  <c r="BK90" i="11" s="1"/>
  <c r="AZ90" i="11"/>
  <c r="BE61" i="11"/>
  <c r="BK61" i="11" s="1"/>
  <c r="AZ61" i="11"/>
  <c r="BE62" i="11"/>
  <c r="BK62" i="11" s="1"/>
  <c r="AZ62" i="11"/>
  <c r="AZ5" i="11"/>
  <c r="BE5" i="11"/>
  <c r="BK5" i="11" s="1"/>
  <c r="BE91" i="11"/>
  <c r="BK91" i="11" s="1"/>
  <c r="AZ91" i="11"/>
  <c r="BE66" i="11"/>
  <c r="BK66" i="11" s="1"/>
  <c r="AZ66" i="11"/>
  <c r="BE17" i="11"/>
  <c r="BK17" i="11" s="1"/>
  <c r="AZ17" i="11"/>
  <c r="AZ49" i="11"/>
  <c r="BE49" i="11"/>
  <c r="BK49" i="11" s="1"/>
  <c r="BE24" i="11"/>
  <c r="BK24" i="11" s="1"/>
  <c r="AZ24" i="11"/>
  <c r="BE27" i="11"/>
  <c r="BK27" i="11" s="1"/>
  <c r="AZ27" i="11"/>
  <c r="AZ59" i="11"/>
  <c r="BE59" i="11"/>
  <c r="BK59" i="11" s="1"/>
  <c r="AZ7" i="11"/>
  <c r="BE7" i="11"/>
  <c r="BK7" i="11" s="1"/>
  <c r="BE82" i="11"/>
  <c r="BK82" i="11" s="1"/>
  <c r="AZ82" i="11"/>
  <c r="AZ13" i="11"/>
  <c r="BE13" i="11"/>
  <c r="BK13" i="11" s="1"/>
  <c r="BE34" i="11"/>
  <c r="BK34" i="11" s="1"/>
  <c r="AZ34" i="11"/>
  <c r="X60" i="8"/>
  <c r="AS60" i="8"/>
  <c r="AS37" i="8"/>
  <c r="X37" i="8"/>
  <c r="AC30" i="8"/>
  <c r="AX30" i="8"/>
  <c r="AA13" i="8"/>
  <c r="AV13" i="8"/>
  <c r="X57" i="8"/>
  <c r="AS57" i="8"/>
  <c r="Z14" i="8"/>
  <c r="AU14" i="8"/>
  <c r="AU47" i="8"/>
  <c r="Z47" i="8"/>
  <c r="Z69" i="8"/>
  <c r="AU69" i="8"/>
  <c r="AC67" i="8"/>
  <c r="AX67" i="8"/>
  <c r="AS72" i="8"/>
  <c r="X72" i="8"/>
  <c r="AX50" i="8"/>
  <c r="AC50" i="8"/>
  <c r="Y20" i="8"/>
  <c r="AT20" i="8"/>
  <c r="AA62" i="8"/>
  <c r="AV62" i="8"/>
  <c r="Z40" i="8"/>
  <c r="AU40" i="8"/>
  <c r="AS59" i="8"/>
  <c r="X59" i="8"/>
  <c r="AA58" i="8"/>
  <c r="AV58" i="8"/>
  <c r="AX7" i="8"/>
  <c r="AC7" i="8"/>
  <c r="X35" i="8"/>
  <c r="AS35" i="8"/>
  <c r="AX31" i="8"/>
  <c r="AC31" i="8"/>
  <c r="AA11" i="8"/>
  <c r="AV11" i="8"/>
  <c r="X55" i="8"/>
  <c r="AS55" i="8"/>
  <c r="AB14" i="8"/>
  <c r="AW14" i="8"/>
  <c r="AA61" i="8"/>
  <c r="AV61" i="8"/>
  <c r="AU66" i="8"/>
  <c r="Z66" i="8"/>
  <c r="AS2" i="8"/>
  <c r="X2" i="8"/>
  <c r="Y25" i="8"/>
  <c r="AT25" i="8"/>
  <c r="X25" i="8"/>
  <c r="AS25" i="8"/>
  <c r="AX19" i="8"/>
  <c r="AC19" i="8"/>
  <c r="AB63" i="8"/>
  <c r="AW63" i="8"/>
  <c r="AV29" i="8"/>
  <c r="AA29" i="8"/>
  <c r="AV39" i="8"/>
  <c r="AA39" i="8"/>
  <c r="AV75" i="8"/>
  <c r="AA75" i="8"/>
  <c r="Y5" i="8"/>
  <c r="AT5" i="8"/>
  <c r="AS32" i="8"/>
  <c r="X32" i="8"/>
  <c r="AX59" i="8"/>
  <c r="AC59" i="8"/>
  <c r="AA48" i="8"/>
  <c r="AV48" i="8"/>
  <c r="AU52" i="8"/>
  <c r="Z52" i="8"/>
  <c r="AA32" i="8"/>
  <c r="AV32" i="8"/>
  <c r="AT65" i="8"/>
  <c r="Y65" i="8"/>
  <c r="AS22" i="8"/>
  <c r="X22" i="8"/>
  <c r="Z63" i="8"/>
  <c r="AU63" i="8"/>
  <c r="AX18" i="8"/>
  <c r="AC18" i="8"/>
  <c r="AA17" i="8"/>
  <c r="AV17" i="8"/>
  <c r="AV47" i="8"/>
  <c r="AA47" i="8"/>
  <c r="X54" i="8"/>
  <c r="AS54" i="8"/>
  <c r="AA74" i="8"/>
  <c r="AV74" i="8"/>
  <c r="AX75" i="8"/>
  <c r="AC75" i="8"/>
  <c r="AU64" i="8"/>
  <c r="Z64" i="8"/>
  <c r="AW61" i="8"/>
  <c r="AB61" i="8"/>
  <c r="AA38" i="8"/>
  <c r="AV38" i="8"/>
  <c r="AV69" i="8"/>
  <c r="AA69" i="8"/>
  <c r="AB12" i="8"/>
  <c r="AW12" i="8"/>
  <c r="AV4" i="8"/>
  <c r="AA4" i="8"/>
  <c r="Z50" i="8"/>
  <c r="AU50" i="8"/>
  <c r="AW75" i="8"/>
  <c r="AB75" i="8"/>
  <c r="AV33" i="8"/>
  <c r="AA33" i="8"/>
  <c r="Y62" i="8"/>
  <c r="AT62" i="8"/>
  <c r="X23" i="8"/>
  <c r="AS23" i="8"/>
  <c r="AU62" i="8"/>
  <c r="Z62" i="8"/>
  <c r="AX20" i="8"/>
  <c r="AC20" i="8"/>
  <c r="AT14" i="8"/>
  <c r="Y14" i="8"/>
  <c r="Y45" i="8"/>
  <c r="AT45" i="8"/>
  <c r="AU41" i="8"/>
  <c r="Z41" i="8"/>
  <c r="AA10" i="8"/>
  <c r="AV10" i="8"/>
  <c r="X56" i="8"/>
  <c r="AS56" i="8"/>
  <c r="AV49" i="8"/>
  <c r="AA49" i="8"/>
  <c r="AS4" i="8"/>
  <c r="X4" i="8"/>
  <c r="AA14" i="8"/>
  <c r="AV14" i="8"/>
  <c r="Z72" i="8"/>
  <c r="AU72" i="8"/>
  <c r="Z71" i="8"/>
  <c r="AU71" i="8"/>
  <c r="AB59" i="8"/>
  <c r="AW59" i="8"/>
  <c r="AV40" i="8"/>
  <c r="AA40" i="8"/>
  <c r="AA67" i="8"/>
  <c r="AV67" i="8"/>
  <c r="AX12" i="8"/>
  <c r="AC12" i="8"/>
  <c r="AV5" i="8"/>
  <c r="AA5" i="8"/>
  <c r="AU51" i="8"/>
  <c r="Z51" i="8"/>
  <c r="AW74" i="8"/>
  <c r="AB74" i="8"/>
  <c r="AV30" i="8"/>
  <c r="AA30" i="8"/>
  <c r="AT63" i="8"/>
  <c r="Y63" i="8"/>
  <c r="AS76" i="8"/>
  <c r="X76" i="8"/>
  <c r="AX48" i="8"/>
  <c r="AC48" i="8"/>
  <c r="AX45" i="8"/>
  <c r="AC45" i="8"/>
  <c r="AA15" i="8"/>
  <c r="AV15" i="8"/>
  <c r="Y44" i="8"/>
  <c r="AT44" i="8"/>
  <c r="AS39" i="8"/>
  <c r="X39" i="8"/>
  <c r="X58" i="8"/>
  <c r="AS58" i="8"/>
  <c r="Y23" i="8"/>
  <c r="AT23" i="8"/>
  <c r="Y16" i="8"/>
  <c r="AT16" i="8"/>
  <c r="AS29" i="8"/>
  <c r="X29" i="8"/>
  <c r="AA66" i="8"/>
  <c r="AV66" i="8"/>
  <c r="AC10" i="8"/>
  <c r="AX10" i="8"/>
  <c r="AA2" i="8"/>
  <c r="AV2" i="8"/>
  <c r="AT73" i="8"/>
  <c r="Y73" i="8"/>
  <c r="AB76" i="8"/>
  <c r="AW76" i="8"/>
  <c r="AV31" i="8"/>
  <c r="AA31" i="8"/>
  <c r="AT64" i="8"/>
  <c r="Y64" i="8"/>
  <c r="X77" i="8"/>
  <c r="AS77" i="8"/>
  <c r="AX49" i="8"/>
  <c r="AC49" i="8"/>
  <c r="AX43" i="8"/>
  <c r="AC43" i="8"/>
  <c r="AV16" i="8"/>
  <c r="AA16" i="8"/>
  <c r="Y43" i="8"/>
  <c r="AT43" i="8"/>
  <c r="AC8" i="8"/>
  <c r="AX8" i="8"/>
  <c r="AV63" i="8"/>
  <c r="AA63" i="8"/>
  <c r="X31" i="8"/>
  <c r="AS31" i="8"/>
  <c r="AA41" i="8"/>
  <c r="AV41" i="8"/>
  <c r="AW13" i="8"/>
  <c r="AB13" i="8"/>
  <c r="AV3" i="8"/>
  <c r="AA3" i="8"/>
  <c r="Y72" i="8"/>
  <c r="AT72" i="8"/>
  <c r="AW77" i="8"/>
  <c r="AB77" i="8"/>
  <c r="Z39" i="8"/>
  <c r="AU39" i="8"/>
  <c r="AW5" i="8"/>
  <c r="AB5" i="8"/>
  <c r="Z57" i="8"/>
  <c r="AU57" i="8"/>
  <c r="AS74" i="8"/>
  <c r="X74" i="8"/>
  <c r="AX47" i="8"/>
  <c r="AC47" i="8"/>
  <c r="AX44" i="8"/>
  <c r="AC44" i="8"/>
  <c r="AB15" i="8"/>
  <c r="AW15" i="8"/>
  <c r="Y42" i="8"/>
  <c r="AT42" i="8"/>
  <c r="Y18" i="8"/>
  <c r="AT18" i="8"/>
  <c r="AV12" i="8"/>
  <c r="AA12" i="8"/>
  <c r="Z73" i="8"/>
  <c r="AU73" i="8"/>
  <c r="AA20" i="8"/>
  <c r="AV20" i="8"/>
  <c r="AB48" i="8"/>
  <c r="AW48" i="8"/>
  <c r="X26" i="8"/>
  <c r="AS26" i="8"/>
  <c r="AW10" i="8"/>
  <c r="AB10" i="8"/>
  <c r="AX65" i="8"/>
  <c r="AC65" i="8"/>
  <c r="AT54" i="8"/>
  <c r="Y54" i="8"/>
  <c r="Y70" i="8"/>
  <c r="AT70" i="8"/>
  <c r="Z30" i="8"/>
  <c r="AU30" i="8"/>
  <c r="AW43" i="8"/>
  <c r="AB43" i="8"/>
  <c r="AB3" i="8"/>
  <c r="AW3" i="8"/>
  <c r="AU55" i="8"/>
  <c r="Z55" i="8"/>
  <c r="X75" i="8"/>
  <c r="AS75" i="8"/>
  <c r="AC46" i="8"/>
  <c r="AX46" i="8"/>
  <c r="AC42" i="8"/>
  <c r="AX42" i="8"/>
  <c r="AV45" i="8"/>
  <c r="AA45" i="8"/>
  <c r="X5" i="8"/>
  <c r="AS5" i="8"/>
  <c r="X24" i="8"/>
  <c r="AS24" i="8"/>
  <c r="X27" i="8"/>
  <c r="AS27" i="8"/>
  <c r="AA21" i="8"/>
  <c r="AV21" i="8"/>
  <c r="AB46" i="8"/>
  <c r="AW46" i="8"/>
  <c r="AS28" i="8"/>
  <c r="X28" i="8"/>
  <c r="AW11" i="8"/>
  <c r="AB11" i="8"/>
  <c r="AX64" i="8"/>
  <c r="AC64" i="8"/>
  <c r="AT57" i="8"/>
  <c r="Y57" i="8"/>
  <c r="Y71" i="8"/>
  <c r="AT71" i="8"/>
  <c r="AU31" i="8"/>
  <c r="Z31" i="8"/>
  <c r="AU27" i="8"/>
  <c r="Z27" i="8"/>
  <c r="AB2" i="8"/>
  <c r="AW2" i="8"/>
  <c r="Z56" i="8"/>
  <c r="AU56" i="8"/>
  <c r="X64" i="8"/>
  <c r="AS64" i="8"/>
  <c r="AB31" i="8"/>
  <c r="AW31" i="8"/>
  <c r="AB20" i="8"/>
  <c r="AW20" i="8"/>
  <c r="AU74" i="8"/>
  <c r="Z74" i="8"/>
  <c r="AB42" i="8"/>
  <c r="AW42" i="8"/>
  <c r="Z38" i="8"/>
  <c r="AU38" i="8"/>
  <c r="AC69" i="8"/>
  <c r="AX69" i="8"/>
  <c r="X30" i="8"/>
  <c r="AS30" i="8"/>
  <c r="X52" i="8"/>
  <c r="AS52" i="8"/>
  <c r="Y56" i="8"/>
  <c r="AT56" i="8"/>
  <c r="Z44" i="8"/>
  <c r="AU44" i="8"/>
  <c r="Z33" i="8"/>
  <c r="AU33" i="8"/>
  <c r="Z28" i="8"/>
  <c r="AU28" i="8"/>
  <c r="AW4" i="8"/>
  <c r="AB4" i="8"/>
  <c r="AU54" i="8"/>
  <c r="Z54" i="8"/>
  <c r="X65" i="8"/>
  <c r="AS65" i="8"/>
  <c r="AW33" i="8"/>
  <c r="AB33" i="8"/>
  <c r="AB18" i="8"/>
  <c r="AW18" i="8"/>
  <c r="AU76" i="8"/>
  <c r="Z76" i="8"/>
  <c r="AW45" i="8"/>
  <c r="AB45" i="8"/>
  <c r="X19" i="8"/>
  <c r="AS19" i="8"/>
  <c r="Y21" i="8"/>
  <c r="AT21" i="8"/>
  <c r="AW17" i="8"/>
  <c r="AB17" i="8"/>
  <c r="AX66" i="8"/>
  <c r="AC66" i="8"/>
  <c r="AC58" i="8"/>
  <c r="AX58" i="8"/>
  <c r="AC13" i="8"/>
  <c r="AX13" i="8"/>
  <c r="Z32" i="8"/>
  <c r="AU32" i="8"/>
  <c r="Z26" i="8"/>
  <c r="AU26" i="8"/>
  <c r="Y69" i="8"/>
  <c r="AT69" i="8"/>
  <c r="AW73" i="8"/>
  <c r="AB73" i="8"/>
  <c r="Z22" i="8"/>
  <c r="AU22" i="8"/>
  <c r="X63" i="8"/>
  <c r="AS63" i="8"/>
  <c r="AB30" i="8"/>
  <c r="AW30" i="8"/>
  <c r="AB19" i="8"/>
  <c r="AW19" i="8"/>
  <c r="AU75" i="8"/>
  <c r="Z75" i="8"/>
  <c r="AB44" i="8"/>
  <c r="AW44" i="8"/>
  <c r="AS20" i="8"/>
  <c r="X20" i="8"/>
  <c r="AU48" i="8"/>
  <c r="Z48" i="8"/>
  <c r="AC76" i="8"/>
  <c r="AX76" i="8"/>
  <c r="X51" i="8"/>
  <c r="AS51" i="8"/>
  <c r="Z42" i="8"/>
  <c r="AU42" i="8"/>
  <c r="Y52" i="8"/>
  <c r="AT52" i="8"/>
  <c r="Y68" i="8"/>
  <c r="AT68" i="8"/>
  <c r="AW72" i="8"/>
  <c r="AB72" i="8"/>
  <c r="AU23" i="8"/>
  <c r="Z23" i="8"/>
  <c r="X62" i="8"/>
  <c r="AS62" i="8"/>
  <c r="AW32" i="8"/>
  <c r="AB32" i="8"/>
  <c r="AB21" i="8"/>
  <c r="AW21" i="8"/>
  <c r="AU77" i="8"/>
  <c r="Z77" i="8"/>
  <c r="AS69" i="8"/>
  <c r="X69" i="8"/>
  <c r="AA42" i="8"/>
  <c r="AV42" i="8"/>
  <c r="AS18" i="8"/>
  <c r="X18" i="8"/>
  <c r="X50" i="8"/>
  <c r="AS50" i="8"/>
  <c r="Z45" i="8"/>
  <c r="AU45" i="8"/>
  <c r="Y51" i="8"/>
  <c r="AT51" i="8"/>
  <c r="Z29" i="8"/>
  <c r="AU29" i="8"/>
  <c r="Y66" i="8"/>
  <c r="AT66" i="8"/>
  <c r="AW71" i="8"/>
  <c r="AB71" i="8"/>
  <c r="Z25" i="8"/>
  <c r="AU25" i="8"/>
  <c r="Z58" i="8"/>
  <c r="AU58" i="8"/>
  <c r="Z9" i="8"/>
  <c r="AU9" i="8"/>
  <c r="AB53" i="8"/>
  <c r="AW53" i="8"/>
  <c r="AS68" i="8"/>
  <c r="X68" i="8"/>
  <c r="X21" i="8"/>
  <c r="AS21" i="8"/>
  <c r="Y15" i="8"/>
  <c r="AT15" i="8"/>
  <c r="Y19" i="8"/>
  <c r="AT19" i="8"/>
  <c r="X3" i="8"/>
  <c r="AS3" i="8"/>
  <c r="AA18" i="8"/>
  <c r="AV18" i="8"/>
  <c r="AX22" i="8"/>
  <c r="AC22" i="8"/>
  <c r="AX28" i="8"/>
  <c r="AC28" i="8"/>
  <c r="Y35" i="8"/>
  <c r="AT35" i="8"/>
  <c r="AX17" i="8"/>
  <c r="AC17" i="8"/>
  <c r="AT53" i="8"/>
  <c r="Y53" i="8"/>
  <c r="Y67" i="8"/>
  <c r="AT67" i="8"/>
  <c r="AB70" i="8"/>
  <c r="AW70" i="8"/>
  <c r="Z24" i="8"/>
  <c r="AU24" i="8"/>
  <c r="Z60" i="8"/>
  <c r="AU60" i="8"/>
  <c r="AU7" i="8"/>
  <c r="Z7" i="8"/>
  <c r="AW51" i="8"/>
  <c r="AB51" i="8"/>
  <c r="AS66" i="8"/>
  <c r="X66" i="8"/>
  <c r="AT8" i="8"/>
  <c r="Y8" i="8"/>
  <c r="AX74" i="8"/>
  <c r="AC74" i="8"/>
  <c r="AX77" i="8"/>
  <c r="AC77" i="8"/>
  <c r="AB58" i="8"/>
  <c r="AW58" i="8"/>
  <c r="AV19" i="8"/>
  <c r="AA19" i="8"/>
  <c r="Y37" i="8"/>
  <c r="AT37" i="8"/>
  <c r="Y30" i="8"/>
  <c r="AT30" i="8"/>
  <c r="Y36" i="8"/>
  <c r="AT36" i="8"/>
  <c r="AX15" i="8"/>
  <c r="AC15" i="8"/>
  <c r="Y50" i="8"/>
  <c r="AT50" i="8"/>
  <c r="AC39" i="8"/>
  <c r="AX39" i="8"/>
  <c r="AU13" i="8"/>
  <c r="Z13" i="8"/>
  <c r="Z61" i="8"/>
  <c r="AU61" i="8"/>
  <c r="AU6" i="8"/>
  <c r="Z6" i="8"/>
  <c r="AW50" i="8"/>
  <c r="AB50" i="8"/>
  <c r="AS67" i="8"/>
  <c r="X67" i="8"/>
  <c r="AA43" i="8"/>
  <c r="AV43" i="8"/>
  <c r="AA59" i="8"/>
  <c r="AV59" i="8"/>
  <c r="Z67" i="8"/>
  <c r="AU67" i="8"/>
  <c r="AV77" i="8"/>
  <c r="AA77" i="8"/>
  <c r="X53" i="8"/>
  <c r="AS53" i="8"/>
  <c r="AU2" i="8"/>
  <c r="Z2" i="8"/>
  <c r="AS48" i="8"/>
  <c r="X48" i="8"/>
  <c r="Y74" i="8"/>
  <c r="AT74" i="8"/>
  <c r="Z37" i="8"/>
  <c r="AU37" i="8"/>
  <c r="AX38" i="8"/>
  <c r="AC38" i="8"/>
  <c r="Z10" i="8"/>
  <c r="AU10" i="8"/>
  <c r="AU59" i="8"/>
  <c r="Z59" i="8"/>
  <c r="AU8" i="8"/>
  <c r="Z8" i="8"/>
  <c r="AW52" i="8"/>
  <c r="AB52" i="8"/>
  <c r="X44" i="8"/>
  <c r="AS44" i="8"/>
  <c r="AW68" i="8"/>
  <c r="AB68" i="8"/>
  <c r="Z68" i="8"/>
  <c r="AU68" i="8"/>
  <c r="AB65" i="8"/>
  <c r="AW65" i="8"/>
  <c r="Y34" i="8"/>
  <c r="AT34" i="8"/>
  <c r="AC27" i="8"/>
  <c r="AX27" i="8"/>
  <c r="Y58" i="8"/>
  <c r="AT58" i="8"/>
  <c r="AX71" i="8"/>
  <c r="AC71" i="8"/>
  <c r="AC14" i="8"/>
  <c r="AX14" i="8"/>
  <c r="Y75" i="8"/>
  <c r="AT75" i="8"/>
  <c r="AU36" i="8"/>
  <c r="Z36" i="8"/>
  <c r="AX40" i="8"/>
  <c r="AC40" i="8"/>
  <c r="Z11" i="8"/>
  <c r="AU11" i="8"/>
  <c r="AA70" i="8"/>
  <c r="AV70" i="8"/>
  <c r="AC4" i="8"/>
  <c r="AX4" i="8"/>
  <c r="AX54" i="8"/>
  <c r="AC54" i="8"/>
  <c r="AU21" i="8"/>
  <c r="Z21" i="8"/>
  <c r="X45" i="8"/>
  <c r="AS45" i="8"/>
  <c r="AW69" i="8"/>
  <c r="AB69" i="8"/>
  <c r="Z46" i="8"/>
  <c r="AU46" i="8"/>
  <c r="X61" i="8"/>
  <c r="AS61" i="8"/>
  <c r="AC53" i="8"/>
  <c r="AX53" i="8"/>
  <c r="X73" i="8"/>
  <c r="AS73" i="8"/>
  <c r="AS36" i="8"/>
  <c r="X36" i="8"/>
  <c r="AC61" i="8"/>
  <c r="AX61" i="8"/>
  <c r="AC60" i="8"/>
  <c r="AX60" i="8"/>
  <c r="AU65" i="8"/>
  <c r="Z65" i="8"/>
  <c r="Z53" i="8"/>
  <c r="AU53" i="8"/>
  <c r="AW60" i="8"/>
  <c r="AB60" i="8"/>
  <c r="AX63" i="8"/>
  <c r="AC63" i="8"/>
  <c r="Y32" i="8"/>
  <c r="AT32" i="8"/>
  <c r="AV34" i="8"/>
  <c r="AA34" i="8"/>
  <c r="AU4" i="8"/>
  <c r="Z4" i="8"/>
  <c r="AU3" i="8"/>
  <c r="Z3" i="8"/>
  <c r="AT60" i="8"/>
  <c r="Y60" i="8"/>
  <c r="AS11" i="8"/>
  <c r="X11" i="8"/>
  <c r="AX72" i="8"/>
  <c r="AC72" i="8"/>
  <c r="AT77" i="8"/>
  <c r="Y77" i="8"/>
  <c r="Z35" i="8"/>
  <c r="AU35" i="8"/>
  <c r="AC41" i="8"/>
  <c r="AX41" i="8"/>
  <c r="Z12" i="8"/>
  <c r="AU12" i="8"/>
  <c r="AA71" i="8"/>
  <c r="AV71" i="8"/>
  <c r="AX5" i="8"/>
  <c r="AC5" i="8"/>
  <c r="AX57" i="8"/>
  <c r="AC57" i="8"/>
  <c r="AU20" i="8"/>
  <c r="Z20" i="8"/>
  <c r="X42" i="8"/>
  <c r="AS42" i="8"/>
  <c r="AW66" i="8"/>
  <c r="AB66" i="8"/>
  <c r="X70" i="8"/>
  <c r="AS70" i="8"/>
  <c r="AV8" i="8"/>
  <c r="AA8" i="8"/>
  <c r="AC6" i="8"/>
  <c r="AX6" i="8"/>
  <c r="AV26" i="8"/>
  <c r="AA26" i="8"/>
  <c r="AW64" i="8"/>
  <c r="AB64" i="8"/>
  <c r="AW47" i="8"/>
  <c r="AB47" i="8"/>
  <c r="AX25" i="8"/>
  <c r="AC25" i="8"/>
  <c r="AV53" i="8"/>
  <c r="AA53" i="8"/>
  <c r="AT33" i="8"/>
  <c r="Y33" i="8"/>
  <c r="AW55" i="8"/>
  <c r="AB55" i="8"/>
  <c r="AS49" i="8"/>
  <c r="X49" i="8"/>
  <c r="AS46" i="8"/>
  <c r="X46" i="8"/>
  <c r="AB56" i="8"/>
  <c r="AW56" i="8"/>
  <c r="AS47" i="8"/>
  <c r="X47" i="8"/>
  <c r="AT59" i="8"/>
  <c r="Y59" i="8"/>
  <c r="AS13" i="8"/>
  <c r="X13" i="8"/>
  <c r="AC70" i="8"/>
  <c r="AX70" i="8"/>
  <c r="AT76" i="8"/>
  <c r="Y76" i="8"/>
  <c r="AU34" i="8"/>
  <c r="Z34" i="8"/>
  <c r="AB34" i="8"/>
  <c r="AW34" i="8"/>
  <c r="AB6" i="8"/>
  <c r="AW6" i="8"/>
  <c r="AA73" i="8"/>
  <c r="AV73" i="8"/>
  <c r="AC2" i="8"/>
  <c r="AX2" i="8"/>
  <c r="AC55" i="8"/>
  <c r="AX55" i="8"/>
  <c r="Z19" i="8"/>
  <c r="AU19" i="8"/>
  <c r="X43" i="8"/>
  <c r="AS43" i="8"/>
  <c r="AV44" i="8"/>
  <c r="AA44" i="8"/>
  <c r="AW67" i="8"/>
  <c r="AB67" i="8"/>
  <c r="AW39" i="8"/>
  <c r="AB39" i="8"/>
  <c r="AC52" i="8"/>
  <c r="AX52" i="8"/>
  <c r="X33" i="8"/>
  <c r="AS33" i="8"/>
  <c r="AC32" i="8"/>
  <c r="AX32" i="8"/>
  <c r="AV65" i="8"/>
  <c r="AA65" i="8"/>
  <c r="AC21" i="8"/>
  <c r="AX21" i="8"/>
  <c r="AX23" i="8"/>
  <c r="AC23" i="8"/>
  <c r="AX11" i="8"/>
  <c r="AC11" i="8"/>
  <c r="AV35" i="8"/>
  <c r="AA35" i="8"/>
  <c r="AA37" i="8"/>
  <c r="AV37" i="8"/>
  <c r="Z5" i="8"/>
  <c r="AU5" i="8"/>
  <c r="AX26" i="8"/>
  <c r="AC26" i="8"/>
  <c r="AT61" i="8"/>
  <c r="Y61" i="8"/>
  <c r="AA22" i="8"/>
  <c r="AV22" i="8"/>
  <c r="AT26" i="8"/>
  <c r="Y26" i="8"/>
  <c r="AT2" i="8"/>
  <c r="Y2" i="8"/>
  <c r="AB26" i="8"/>
  <c r="AW26" i="8"/>
  <c r="AS10" i="8"/>
  <c r="X10" i="8"/>
  <c r="AV57" i="8"/>
  <c r="AA57" i="8"/>
  <c r="AS9" i="8"/>
  <c r="X9" i="8"/>
  <c r="AW25" i="8"/>
  <c r="AB25" i="8"/>
  <c r="AC34" i="8"/>
  <c r="AX34" i="8"/>
  <c r="AW36" i="8"/>
  <c r="AB36" i="8"/>
  <c r="AB9" i="8"/>
  <c r="AW9" i="8"/>
  <c r="AV72" i="8"/>
  <c r="AA72" i="8"/>
  <c r="AX3" i="8"/>
  <c r="AC3" i="8"/>
  <c r="AC56" i="8"/>
  <c r="AX56" i="8"/>
  <c r="Z18" i="8"/>
  <c r="AU18" i="8"/>
  <c r="Y17" i="8"/>
  <c r="AT17" i="8"/>
  <c r="AS16" i="8"/>
  <c r="X16" i="8"/>
  <c r="Y41" i="8"/>
  <c r="AT41" i="8"/>
  <c r="Y48" i="8"/>
  <c r="AT48" i="8"/>
  <c r="AU49" i="8"/>
  <c r="Z49" i="8"/>
  <c r="Y24" i="8"/>
  <c r="AT24" i="8"/>
  <c r="AV76" i="8"/>
  <c r="AA76" i="8"/>
  <c r="AS34" i="8"/>
  <c r="X34" i="8"/>
  <c r="Z43" i="8"/>
  <c r="AU43" i="8"/>
  <c r="AC24" i="8"/>
  <c r="AX24" i="8"/>
  <c r="AV68" i="8"/>
  <c r="AA68" i="8"/>
  <c r="AW57" i="8"/>
  <c r="AB57" i="8"/>
  <c r="AX16" i="8"/>
  <c r="AC16" i="8"/>
  <c r="AA25" i="8"/>
  <c r="AV25" i="8"/>
  <c r="AV51" i="8"/>
  <c r="AA51" i="8"/>
  <c r="AT28" i="8"/>
  <c r="Y28" i="8"/>
  <c r="Y3" i="8"/>
  <c r="AT3" i="8"/>
  <c r="AA36" i="8"/>
  <c r="AV36" i="8"/>
  <c r="AW29" i="8"/>
  <c r="AB29" i="8"/>
  <c r="AS12" i="8"/>
  <c r="X12" i="8"/>
  <c r="AV54" i="8"/>
  <c r="AA54" i="8"/>
  <c r="X7" i="8"/>
  <c r="AS7" i="8"/>
  <c r="AW23" i="8"/>
  <c r="AB23" i="8"/>
  <c r="AC37" i="8"/>
  <c r="AX37" i="8"/>
  <c r="Y46" i="8"/>
  <c r="AT46" i="8"/>
  <c r="AB37" i="8"/>
  <c r="AW37" i="8"/>
  <c r="AB8" i="8"/>
  <c r="AW8" i="8"/>
  <c r="AV6" i="8"/>
  <c r="AA6" i="8"/>
  <c r="AW41" i="8"/>
  <c r="AB41" i="8"/>
  <c r="AS41" i="8"/>
  <c r="X41" i="8"/>
  <c r="Y9" i="8"/>
  <c r="AT9" i="8"/>
  <c r="Z16" i="8"/>
  <c r="AU16" i="8"/>
  <c r="X17" i="8"/>
  <c r="AS17" i="8"/>
  <c r="Y38" i="8"/>
  <c r="AT38" i="8"/>
  <c r="AA46" i="8"/>
  <c r="AV46" i="8"/>
  <c r="X71" i="8"/>
  <c r="AS71" i="8"/>
  <c r="AX68" i="8"/>
  <c r="AC68" i="8"/>
  <c r="AX33" i="8"/>
  <c r="AC33" i="8"/>
  <c r="AA64" i="8"/>
  <c r="AV64" i="8"/>
  <c r="AA28" i="8"/>
  <c r="AV28" i="8"/>
  <c r="Y22" i="8"/>
  <c r="AT22" i="8"/>
  <c r="AV27" i="8"/>
  <c r="AA27" i="8"/>
  <c r="Z70" i="8"/>
  <c r="AU70" i="8"/>
  <c r="Y55" i="8"/>
  <c r="AT55" i="8"/>
  <c r="Y31" i="8"/>
  <c r="AT31" i="8"/>
  <c r="AW54" i="8"/>
  <c r="AB54" i="8"/>
  <c r="AA52" i="8"/>
  <c r="AV52" i="8"/>
  <c r="AX29" i="8"/>
  <c r="AC29" i="8"/>
  <c r="AX73" i="8"/>
  <c r="AC73" i="8"/>
  <c r="AV24" i="8"/>
  <c r="AA24" i="8"/>
  <c r="AT29" i="8"/>
  <c r="Y29" i="8"/>
  <c r="AT4" i="8"/>
  <c r="Y4" i="8"/>
  <c r="AW28" i="8"/>
  <c r="AB28" i="8"/>
  <c r="AA55" i="8"/>
  <c r="AV55" i="8"/>
  <c r="AS8" i="8"/>
  <c r="X8" i="8"/>
  <c r="AB24" i="8"/>
  <c r="AW24" i="8"/>
  <c r="AC36" i="8"/>
  <c r="AX36" i="8"/>
  <c r="Y47" i="8"/>
  <c r="AT47" i="8"/>
  <c r="AW35" i="8"/>
  <c r="AB35" i="8"/>
  <c r="AB7" i="8"/>
  <c r="AW7" i="8"/>
  <c r="AA7" i="8"/>
  <c r="AV7" i="8"/>
  <c r="AB40" i="8"/>
  <c r="AW40" i="8"/>
  <c r="X40" i="8"/>
  <c r="AS40" i="8"/>
  <c r="AT6" i="8"/>
  <c r="Y6" i="8"/>
  <c r="AU15" i="8"/>
  <c r="Z15" i="8"/>
  <c r="AS14" i="8"/>
  <c r="X14" i="8"/>
  <c r="Y40" i="8"/>
  <c r="AT40" i="8"/>
  <c r="AC51" i="8"/>
  <c r="AX51" i="8"/>
  <c r="AB62" i="8"/>
  <c r="AW62" i="8"/>
  <c r="AB16" i="8"/>
  <c r="AW16" i="8"/>
  <c r="AB49" i="8"/>
  <c r="AW49" i="8"/>
  <c r="AX62" i="8"/>
  <c r="AC62" i="8"/>
  <c r="AV23" i="8"/>
  <c r="AA23" i="8"/>
  <c r="AA50" i="8"/>
  <c r="AV50" i="8"/>
  <c r="Y27" i="8"/>
  <c r="AT27" i="8"/>
  <c r="AB27" i="8"/>
  <c r="AW27" i="8"/>
  <c r="AV56" i="8"/>
  <c r="AA56" i="8"/>
  <c r="AS6" i="8"/>
  <c r="X6" i="8"/>
  <c r="AW22" i="8"/>
  <c r="AB22" i="8"/>
  <c r="AC35" i="8"/>
  <c r="AX35" i="8"/>
  <c r="Y49" i="8"/>
  <c r="AT49" i="8"/>
  <c r="AA60" i="8"/>
  <c r="AV60" i="8"/>
  <c r="AX9" i="8"/>
  <c r="AC9" i="8"/>
  <c r="AV9" i="8"/>
  <c r="AA9" i="8"/>
  <c r="AB38" i="8"/>
  <c r="AW38" i="8"/>
  <c r="AS38" i="8"/>
  <c r="X38" i="8"/>
  <c r="Y7" i="8"/>
  <c r="AT7" i="8"/>
  <c r="Z17" i="8"/>
  <c r="AU17" i="8"/>
  <c r="X15" i="8"/>
  <c r="AS15" i="8"/>
  <c r="Y39" i="8"/>
  <c r="AT39" i="8"/>
  <c r="E78" i="8"/>
  <c r="D78" i="8"/>
  <c r="G78" i="8"/>
  <c r="F78" i="8"/>
  <c r="C78" i="8"/>
  <c r="H78" i="8"/>
  <c r="O44" i="4"/>
  <c r="O36" i="4"/>
  <c r="P1274" i="1"/>
  <c r="T1287" i="1"/>
  <c r="T1223" i="1"/>
  <c r="T1224" i="1"/>
  <c r="T1286" i="1"/>
  <c r="P1240" i="1"/>
  <c r="K1272" i="1"/>
  <c r="K1274" i="1"/>
  <c r="K1268" i="1"/>
  <c r="K1278" i="1"/>
  <c r="K1271" i="1"/>
  <c r="K1279" i="1"/>
  <c r="K1265" i="1"/>
  <c r="K1281" i="1"/>
  <c r="K1266" i="1"/>
  <c r="K1276" i="1"/>
  <c r="K1273" i="1"/>
  <c r="K1280" i="1"/>
  <c r="K1270" i="1"/>
  <c r="K1282" i="1"/>
  <c r="K1275" i="1"/>
  <c r="K1277" i="1"/>
  <c r="R1280" i="1"/>
  <c r="R1279" i="1"/>
  <c r="R1281" i="1"/>
  <c r="P1282" i="1"/>
  <c r="K1267" i="1"/>
  <c r="K1269" i="1"/>
  <c r="K1264" i="1"/>
  <c r="R1237" i="1"/>
  <c r="R1239" i="1"/>
  <c r="R1238" i="1"/>
  <c r="Q1240" i="1"/>
  <c r="R1236" i="1"/>
  <c r="U1240" i="1"/>
  <c r="S1240" i="1"/>
  <c r="T1236" i="1" s="1"/>
  <c r="BE10" i="8" l="1"/>
  <c r="BE13" i="8"/>
  <c r="BE39" i="8"/>
  <c r="BG60" i="8"/>
  <c r="BG50" i="8"/>
  <c r="BH40" i="8"/>
  <c r="BG55" i="8"/>
  <c r="BE38" i="8"/>
  <c r="BH37" i="8"/>
  <c r="BG36" i="8"/>
  <c r="BI24" i="8"/>
  <c r="BE24" i="8"/>
  <c r="BI34" i="8"/>
  <c r="BG37" i="8"/>
  <c r="BI21" i="8"/>
  <c r="BG73" i="8"/>
  <c r="BF12" i="8"/>
  <c r="BI61" i="8"/>
  <c r="BF11" i="8"/>
  <c r="BI14" i="8"/>
  <c r="BF10" i="8"/>
  <c r="BF67" i="8"/>
  <c r="BE30" i="8"/>
  <c r="BH70" i="8"/>
  <c r="BE35" i="8"/>
  <c r="BF25" i="8"/>
  <c r="BE51" i="8"/>
  <c r="BG42" i="8"/>
  <c r="BE68" i="8"/>
  <c r="BF22" i="8"/>
  <c r="BF32" i="8"/>
  <c r="BH20" i="8"/>
  <c r="BH2" i="8"/>
  <c r="BH46" i="8"/>
  <c r="BF73" i="8"/>
  <c r="BH15" i="8"/>
  <c r="BF57" i="8"/>
  <c r="BE72" i="8"/>
  <c r="BG2" i="8"/>
  <c r="BE16" i="8"/>
  <c r="BE44" i="8"/>
  <c r="BG14" i="8"/>
  <c r="BG10" i="8"/>
  <c r="BH12" i="8"/>
  <c r="BG48" i="8"/>
  <c r="BG58" i="8"/>
  <c r="BE20" i="8"/>
  <c r="BF69" i="8"/>
  <c r="BG13" i="8"/>
  <c r="BE12" i="8"/>
  <c r="BH5" i="8"/>
  <c r="BI35" i="8"/>
  <c r="BH27" i="8"/>
  <c r="BI51" i="8"/>
  <c r="BH7" i="8"/>
  <c r="BG28" i="8"/>
  <c r="BF16" i="8"/>
  <c r="BI37" i="8"/>
  <c r="BE48" i="8"/>
  <c r="BH9" i="8"/>
  <c r="BI32" i="8"/>
  <c r="BI55" i="8"/>
  <c r="BH34" i="8"/>
  <c r="BF35" i="8"/>
  <c r="BI4" i="8"/>
  <c r="BG43" i="8"/>
  <c r="BF61" i="8"/>
  <c r="BE15" i="8"/>
  <c r="BF9" i="8"/>
  <c r="BE66" i="8"/>
  <c r="BF42" i="8"/>
  <c r="BH30" i="8"/>
  <c r="BE69" i="8"/>
  <c r="BF28" i="8"/>
  <c r="BH42" i="8"/>
  <c r="BI42" i="8"/>
  <c r="BH3" i="8"/>
  <c r="BH48" i="8"/>
  <c r="BF39" i="8"/>
  <c r="BI8" i="8"/>
  <c r="BH76" i="8"/>
  <c r="BF71" i="8"/>
  <c r="BF50" i="8"/>
  <c r="BG38" i="8"/>
  <c r="BG74" i="8"/>
  <c r="BG32" i="8"/>
  <c r="BE11" i="8"/>
  <c r="BG59" i="8"/>
  <c r="BI64" i="8"/>
  <c r="BG61" i="8"/>
  <c r="G178" i="12"/>
  <c r="BE25" i="8"/>
  <c r="BH14" i="8"/>
  <c r="BF40" i="8"/>
  <c r="AD34" i="8"/>
  <c r="BE7" i="8"/>
  <c r="BE27" i="8"/>
  <c r="BG52" i="8"/>
  <c r="BG46" i="8"/>
  <c r="BH8" i="8"/>
  <c r="BI56" i="8"/>
  <c r="BI2" i="8"/>
  <c r="BI60" i="8"/>
  <c r="BE75" i="8"/>
  <c r="BE74" i="8"/>
  <c r="BH58" i="8"/>
  <c r="BF24" i="8"/>
  <c r="BG18" i="8"/>
  <c r="BF29" i="8"/>
  <c r="BH21" i="8"/>
  <c r="BH44" i="8"/>
  <c r="BF26" i="8"/>
  <c r="BF33" i="8"/>
  <c r="BF56" i="8"/>
  <c r="BE71" i="8"/>
  <c r="BI46" i="8"/>
  <c r="BG20" i="8"/>
  <c r="BE42" i="8"/>
  <c r="BG41" i="8"/>
  <c r="BE43" i="8"/>
  <c r="BG67" i="8"/>
  <c r="BE62" i="8"/>
  <c r="BE5" i="8"/>
  <c r="BH63" i="8"/>
  <c r="BI67" i="8"/>
  <c r="BH62" i="8"/>
  <c r="BG7" i="8"/>
  <c r="BE31" i="8"/>
  <c r="BE22" i="8"/>
  <c r="BE3" i="8"/>
  <c r="BF43" i="8"/>
  <c r="BH6" i="8"/>
  <c r="BH56" i="8"/>
  <c r="BI41" i="8"/>
  <c r="BH65" i="8"/>
  <c r="BE50" i="8"/>
  <c r="BE19" i="8"/>
  <c r="BH53" i="8"/>
  <c r="BF45" i="8"/>
  <c r="BE52" i="8"/>
  <c r="BH19" i="8"/>
  <c r="BI13" i="8"/>
  <c r="BE21" i="8"/>
  <c r="BE56" i="8"/>
  <c r="BF38" i="8"/>
  <c r="BE70" i="8"/>
  <c r="BI10" i="8"/>
  <c r="BE23" i="8"/>
  <c r="BG17" i="8"/>
  <c r="BI30" i="8"/>
  <c r="BH67" i="8"/>
  <c r="BE60" i="8"/>
  <c r="AB104" i="11"/>
  <c r="AB103" i="11"/>
  <c r="BK97" i="11"/>
  <c r="Y108" i="11"/>
  <c r="BF74" i="8"/>
  <c r="AB107" i="11"/>
  <c r="AB105" i="11"/>
  <c r="AB106" i="11"/>
  <c r="AZ97" i="11"/>
  <c r="AD14" i="8"/>
  <c r="BG8" i="8"/>
  <c r="AD75" i="8"/>
  <c r="BH59" i="8"/>
  <c r="BG23" i="8"/>
  <c r="BI71" i="8"/>
  <c r="BF2" i="8"/>
  <c r="BH75" i="8"/>
  <c r="AD51" i="8"/>
  <c r="AD55" i="8"/>
  <c r="BF47" i="8"/>
  <c r="AD7" i="8"/>
  <c r="BI76" i="8"/>
  <c r="BI58" i="8"/>
  <c r="BF44" i="8"/>
  <c r="BE18" i="8"/>
  <c r="BG66" i="8"/>
  <c r="BE45" i="8"/>
  <c r="AD32" i="8"/>
  <c r="BG11" i="8"/>
  <c r="BF14" i="8"/>
  <c r="BG68" i="8"/>
  <c r="BE9" i="8"/>
  <c r="BF77" i="8"/>
  <c r="BF75" i="8"/>
  <c r="BH11" i="8"/>
  <c r="BI47" i="8"/>
  <c r="BG16" i="8"/>
  <c r="BG40" i="8"/>
  <c r="BE33" i="8"/>
  <c r="AD40" i="8"/>
  <c r="BH28" i="8"/>
  <c r="AD6" i="8"/>
  <c r="BI62" i="8"/>
  <c r="BE47" i="8"/>
  <c r="BE55" i="8"/>
  <c r="BI52" i="8"/>
  <c r="BI57" i="8"/>
  <c r="AD48" i="8"/>
  <c r="BF21" i="8"/>
  <c r="BH38" i="8"/>
  <c r="BH49" i="8"/>
  <c r="BI36" i="8"/>
  <c r="BF70" i="8"/>
  <c r="BE17" i="8"/>
  <c r="BF46" i="8"/>
  <c r="BI27" i="8"/>
  <c r="BF20" i="8"/>
  <c r="BG72" i="8"/>
  <c r="BE34" i="8"/>
  <c r="AD62" i="8"/>
  <c r="AD63" i="8"/>
  <c r="AD77" i="8"/>
  <c r="BI54" i="8"/>
  <c r="BG9" i="8"/>
  <c r="BG27" i="8"/>
  <c r="BG6" i="8"/>
  <c r="AD8" i="8"/>
  <c r="AD42" i="8"/>
  <c r="BE37" i="8"/>
  <c r="BH31" i="8"/>
  <c r="AD2" i="8"/>
  <c r="AD61" i="8"/>
  <c r="BH41" i="8"/>
  <c r="BG51" i="8"/>
  <c r="BE26" i="8"/>
  <c r="BH39" i="8"/>
  <c r="BE59" i="8"/>
  <c r="AY70" i="8"/>
  <c r="BD70" i="8"/>
  <c r="AY48" i="8"/>
  <c r="BJ48" i="8" s="1"/>
  <c r="BD48" i="8"/>
  <c r="BI15" i="8"/>
  <c r="BH32" i="8"/>
  <c r="BF76" i="8"/>
  <c r="BE54" i="8"/>
  <c r="BI49" i="8"/>
  <c r="BG33" i="8"/>
  <c r="BI18" i="8"/>
  <c r="BI19" i="8"/>
  <c r="BH16" i="8"/>
  <c r="BH24" i="8"/>
  <c r="BG25" i="8"/>
  <c r="BF18" i="8"/>
  <c r="BG22" i="8"/>
  <c r="AD47" i="8"/>
  <c r="AD70" i="8"/>
  <c r="BF3" i="8"/>
  <c r="BE36" i="8"/>
  <c r="BE67" i="8"/>
  <c r="BF58" i="8"/>
  <c r="BD62" i="8"/>
  <c r="AY62" i="8"/>
  <c r="BD63" i="8"/>
  <c r="AY63" i="8"/>
  <c r="BH18" i="8"/>
  <c r="BG21" i="8"/>
  <c r="BI65" i="8"/>
  <c r="BD77" i="8"/>
  <c r="AY77" i="8"/>
  <c r="BG15" i="8"/>
  <c r="BF72" i="8"/>
  <c r="BF63" i="8"/>
  <c r="AY25" i="8"/>
  <c r="BD25" i="8"/>
  <c r="BG62" i="8"/>
  <c r="BF4" i="8"/>
  <c r="BD53" i="8"/>
  <c r="AY53" i="8"/>
  <c r="BI9" i="8"/>
  <c r="BD8" i="8"/>
  <c r="AY8" i="8"/>
  <c r="BG44" i="8"/>
  <c r="BD42" i="8"/>
  <c r="AY42" i="8"/>
  <c r="BD45" i="8"/>
  <c r="AY45" i="8"/>
  <c r="BE53" i="8"/>
  <c r="BH10" i="8"/>
  <c r="BI45" i="8"/>
  <c r="BD43" i="8"/>
  <c r="AY43" i="8"/>
  <c r="BG34" i="8"/>
  <c r="AD45" i="8"/>
  <c r="AY65" i="8"/>
  <c r="BD65" i="8"/>
  <c r="AY24" i="8"/>
  <c r="BD24" i="8"/>
  <c r="BD26" i="8"/>
  <c r="AY26" i="8"/>
  <c r="AD4" i="8"/>
  <c r="BH57" i="8"/>
  <c r="BI3" i="8"/>
  <c r="BI26" i="8"/>
  <c r="AD43" i="8"/>
  <c r="AD46" i="8"/>
  <c r="BE32" i="8"/>
  <c r="BF68" i="8"/>
  <c r="BG77" i="8"/>
  <c r="BI17" i="8"/>
  <c r="BH71" i="8"/>
  <c r="BH72" i="8"/>
  <c r="BH73" i="8"/>
  <c r="AD65" i="8"/>
  <c r="AD24" i="8"/>
  <c r="AD26" i="8"/>
  <c r="BH77" i="8"/>
  <c r="BG31" i="8"/>
  <c r="BI48" i="8"/>
  <c r="BD4" i="8"/>
  <c r="AY4" i="8"/>
  <c r="BG4" i="8"/>
  <c r="BE65" i="8"/>
  <c r="AY2" i="8"/>
  <c r="BI50" i="8"/>
  <c r="AY47" i="8"/>
  <c r="BD47" i="8"/>
  <c r="AD25" i="8"/>
  <c r="BH69" i="8"/>
  <c r="AY27" i="8"/>
  <c r="BD27" i="8"/>
  <c r="BI16" i="8"/>
  <c r="AD53" i="8"/>
  <c r="BH33" i="8"/>
  <c r="AY22" i="8"/>
  <c r="BD22" i="8"/>
  <c r="BE49" i="8"/>
  <c r="BE40" i="8"/>
  <c r="BG64" i="8"/>
  <c r="BE46" i="8"/>
  <c r="BF5" i="8"/>
  <c r="BF19" i="8"/>
  <c r="AY46" i="8"/>
  <c r="BD46" i="8"/>
  <c r="AY64" i="8"/>
  <c r="BD64" i="8"/>
  <c r="BD5" i="8"/>
  <c r="AY5" i="8"/>
  <c r="AD76" i="8"/>
  <c r="AD72" i="8"/>
  <c r="BH66" i="8"/>
  <c r="AD22" i="8"/>
  <c r="BE61" i="8"/>
  <c r="BF23" i="8"/>
  <c r="AD27" i="8"/>
  <c r="BE64" i="8"/>
  <c r="AD49" i="8"/>
  <c r="BI63" i="8"/>
  <c r="BG19" i="8"/>
  <c r="BF54" i="8"/>
  <c r="AD64" i="8"/>
  <c r="AD5" i="8"/>
  <c r="AY76" i="8"/>
  <c r="BD76" i="8"/>
  <c r="BG49" i="8"/>
  <c r="BF66" i="8"/>
  <c r="AY72" i="8"/>
  <c r="BD72" i="8"/>
  <c r="AY49" i="8"/>
  <c r="BD49" i="8"/>
  <c r="BD56" i="8"/>
  <c r="AY56" i="8"/>
  <c r="BI33" i="8"/>
  <c r="BH55" i="8"/>
  <c r="BI5" i="8"/>
  <c r="BH60" i="8"/>
  <c r="BD44" i="8"/>
  <c r="AY44" i="8"/>
  <c r="BD14" i="8"/>
  <c r="AY14" i="8"/>
  <c r="BE4" i="8"/>
  <c r="BH68" i="8"/>
  <c r="BI28" i="8"/>
  <c r="BH4" i="8"/>
  <c r="BG45" i="8"/>
  <c r="BG3" i="8"/>
  <c r="BE73" i="8"/>
  <c r="BE63" i="8"/>
  <c r="AD56" i="8"/>
  <c r="BG69" i="8"/>
  <c r="BF52" i="8"/>
  <c r="BH22" i="8"/>
  <c r="BF15" i="8"/>
  <c r="BE29" i="8"/>
  <c r="BI68" i="8"/>
  <c r="BH23" i="8"/>
  <c r="BH36" i="8"/>
  <c r="BG35" i="8"/>
  <c r="BG71" i="8"/>
  <c r="BF53" i="8"/>
  <c r="BG70" i="8"/>
  <c r="AD44" i="8"/>
  <c r="BI77" i="8"/>
  <c r="BI22" i="8"/>
  <c r="BH13" i="8"/>
  <c r="BG30" i="8"/>
  <c r="AY71" i="8"/>
  <c r="BD71" i="8"/>
  <c r="AY55" i="8"/>
  <c r="BD55" i="8"/>
  <c r="AD71" i="8"/>
  <c r="AY51" i="8"/>
  <c r="BD51" i="8"/>
  <c r="BG24" i="8"/>
  <c r="AD29" i="8"/>
  <c r="AY29" i="8"/>
  <c r="BD29" i="8"/>
  <c r="BF49" i="8"/>
  <c r="BG65" i="8"/>
  <c r="BF34" i="8"/>
  <c r="AD36" i="8"/>
  <c r="BH51" i="8"/>
  <c r="BD20" i="8"/>
  <c r="AY20" i="8"/>
  <c r="BH17" i="8"/>
  <c r="AD52" i="8"/>
  <c r="BE57" i="8"/>
  <c r="BI12" i="8"/>
  <c r="BI20" i="8"/>
  <c r="BG75" i="8"/>
  <c r="AD35" i="8"/>
  <c r="BI25" i="8"/>
  <c r="AY57" i="8"/>
  <c r="BD57" i="8"/>
  <c r="BF6" i="8"/>
  <c r="BI66" i="8"/>
  <c r="BI31" i="8"/>
  <c r="BD15" i="8"/>
  <c r="AY15" i="8"/>
  <c r="AD20" i="8"/>
  <c r="BH29" i="8"/>
  <c r="AD10" i="8"/>
  <c r="BH64" i="8"/>
  <c r="BE77" i="8"/>
  <c r="AY36" i="8"/>
  <c r="BD36" i="8"/>
  <c r="BD21" i="8"/>
  <c r="AY21" i="8"/>
  <c r="AD69" i="8"/>
  <c r="BD30" i="8"/>
  <c r="AY30" i="8"/>
  <c r="BD54" i="8"/>
  <c r="AY54" i="8"/>
  <c r="BI11" i="8"/>
  <c r="BI74" i="8"/>
  <c r="BF27" i="8"/>
  <c r="BI59" i="8"/>
  <c r="BG53" i="8"/>
  <c r="BD3" i="8"/>
  <c r="AY3" i="8"/>
  <c r="BD75" i="8"/>
  <c r="AY75" i="8"/>
  <c r="AY31" i="8"/>
  <c r="BD31" i="8"/>
  <c r="BG56" i="8"/>
  <c r="BG54" i="8"/>
  <c r="BH50" i="8"/>
  <c r="AD50" i="8"/>
  <c r="BD9" i="8"/>
  <c r="AY9" i="8"/>
  <c r="BD18" i="8"/>
  <c r="AY18" i="8"/>
  <c r="AD57" i="8"/>
  <c r="AY52" i="8"/>
  <c r="BD52" i="8"/>
  <c r="BD35" i="8"/>
  <c r="AY35" i="8"/>
  <c r="AD15" i="8"/>
  <c r="BG57" i="8"/>
  <c r="BF17" i="8"/>
  <c r="BH54" i="8"/>
  <c r="AY10" i="8"/>
  <c r="BD10" i="8"/>
  <c r="BE76" i="8"/>
  <c r="AY73" i="8"/>
  <c r="BD73" i="8"/>
  <c r="BI38" i="8"/>
  <c r="BF13" i="8"/>
  <c r="BF7" i="8"/>
  <c r="AD21" i="8"/>
  <c r="BD69" i="8"/>
  <c r="AY69" i="8"/>
  <c r="AD30" i="8"/>
  <c r="BH43" i="8"/>
  <c r="BI44" i="8"/>
  <c r="BF62" i="8"/>
  <c r="AD54" i="8"/>
  <c r="BG39" i="8"/>
  <c r="BI7" i="8"/>
  <c r="AY50" i="8"/>
  <c r="BD50" i="8"/>
  <c r="BI73" i="8"/>
  <c r="BH25" i="8"/>
  <c r="AD3" i="8"/>
  <c r="AD31" i="8"/>
  <c r="AD9" i="8"/>
  <c r="BI40" i="8"/>
  <c r="BF59" i="8"/>
  <c r="BF48" i="8"/>
  <c r="BF55" i="8"/>
  <c r="BG63" i="8"/>
  <c r="BF36" i="8"/>
  <c r="BE41" i="8"/>
  <c r="BH26" i="8"/>
  <c r="BD33" i="8"/>
  <c r="AY33" i="8"/>
  <c r="BI70" i="8"/>
  <c r="BG26" i="8"/>
  <c r="BI72" i="8"/>
  <c r="AD73" i="8"/>
  <c r="BF37" i="8"/>
  <c r="BI39" i="8"/>
  <c r="BF60" i="8"/>
  <c r="AD68" i="8"/>
  <c r="AY19" i="8"/>
  <c r="BD19" i="8"/>
  <c r="BI69" i="8"/>
  <c r="BF30" i="8"/>
  <c r="AY58" i="8"/>
  <c r="BD58" i="8"/>
  <c r="AY23" i="8"/>
  <c r="BD23" i="8"/>
  <c r="AD37" i="8"/>
  <c r="BH52" i="8"/>
  <c r="AY40" i="8"/>
  <c r="BD40" i="8"/>
  <c r="BE8" i="8"/>
  <c r="BF31" i="8"/>
  <c r="BF64" i="8"/>
  <c r="BG5" i="8"/>
  <c r="BD17" i="8"/>
  <c r="AY17" i="8"/>
  <c r="AD17" i="8"/>
  <c r="BH35" i="8"/>
  <c r="AD33" i="8"/>
  <c r="BI6" i="8"/>
  <c r="AD11" i="8"/>
  <c r="BI53" i="8"/>
  <c r="AY68" i="8"/>
  <c r="BD68" i="8"/>
  <c r="AD19" i="8"/>
  <c r="AD58" i="8"/>
  <c r="AD23" i="8"/>
  <c r="BG47" i="8"/>
  <c r="BG29" i="8"/>
  <c r="BD37" i="8"/>
  <c r="AY37" i="8"/>
  <c r="AD67" i="8"/>
  <c r="BD6" i="8"/>
  <c r="AY6" i="8"/>
  <c r="AY34" i="8"/>
  <c r="BD34" i="8"/>
  <c r="AY67" i="8"/>
  <c r="BD67" i="8"/>
  <c r="BG12" i="8"/>
  <c r="BH74" i="8"/>
  <c r="BH61" i="8"/>
  <c r="BI23" i="8"/>
  <c r="BF8" i="8"/>
  <c r="BD32" i="8"/>
  <c r="AY32" i="8"/>
  <c r="AD66" i="8"/>
  <c r="AD18" i="8"/>
  <c r="BI29" i="8"/>
  <c r="BE14" i="8"/>
  <c r="AD38" i="8"/>
  <c r="AD41" i="8"/>
  <c r="AD16" i="8"/>
  <c r="AD13" i="8"/>
  <c r="BD11" i="8"/>
  <c r="AY11" i="8"/>
  <c r="AD28" i="8"/>
  <c r="AD74" i="8"/>
  <c r="AD39" i="8"/>
  <c r="AD59" i="8"/>
  <c r="AY60" i="8"/>
  <c r="BD60" i="8"/>
  <c r="AY7" i="8"/>
  <c r="BD7" i="8"/>
  <c r="BE6" i="8"/>
  <c r="BF41" i="8"/>
  <c r="BF65" i="8"/>
  <c r="BG76" i="8"/>
  <c r="BF51" i="8"/>
  <c r="AD12" i="8"/>
  <c r="BD12" i="8"/>
  <c r="AY12" i="8"/>
  <c r="BD66" i="8"/>
  <c r="AY66" i="8"/>
  <c r="BI75" i="8"/>
  <c r="BH47" i="8"/>
  <c r="BD38" i="8"/>
  <c r="AY38" i="8"/>
  <c r="AY41" i="8"/>
  <c r="BD41" i="8"/>
  <c r="BE28" i="8"/>
  <c r="AY16" i="8"/>
  <c r="BD16" i="8"/>
  <c r="BE2" i="8"/>
  <c r="BD13" i="8"/>
  <c r="AY13" i="8"/>
  <c r="AY61" i="8"/>
  <c r="BD61" i="8"/>
  <c r="BE58" i="8"/>
  <c r="BH45" i="8"/>
  <c r="BD28" i="8"/>
  <c r="AY28" i="8"/>
  <c r="BD74" i="8"/>
  <c r="AY74" i="8"/>
  <c r="BI43" i="8"/>
  <c r="BD39" i="8"/>
  <c r="AY39" i="8"/>
  <c r="BD59" i="8"/>
  <c r="AY59" i="8"/>
  <c r="AD60" i="8"/>
  <c r="T1289" i="1"/>
  <c r="T1226" i="1"/>
  <c r="Q1271" i="1"/>
  <c r="R1271" i="1" s="1"/>
  <c r="U1271" i="1"/>
  <c r="S1271" i="1"/>
  <c r="Q1264" i="1"/>
  <c r="R1264" i="1" s="1"/>
  <c r="U1264" i="1"/>
  <c r="S1264" i="1"/>
  <c r="Q1262" i="1"/>
  <c r="R1262" i="1" s="1"/>
  <c r="U1262" i="1"/>
  <c r="S1262" i="1"/>
  <c r="Z107" i="11" s="1"/>
  <c r="AA107" i="11" s="1"/>
  <c r="Q1265" i="1"/>
  <c r="R1265" i="1" s="1"/>
  <c r="U1265" i="1"/>
  <c r="S1265" i="1"/>
  <c r="Z105" i="11" s="1"/>
  <c r="AA105" i="11" s="1"/>
  <c r="Q1272" i="1"/>
  <c r="R1272" i="1" s="1"/>
  <c r="U1272" i="1"/>
  <c r="S1272" i="1"/>
  <c r="Q1269" i="1"/>
  <c r="S1269" i="1"/>
  <c r="U1269" i="1"/>
  <c r="S1261" i="1"/>
  <c r="Z104" i="11" s="1"/>
  <c r="AA104" i="11" s="1"/>
  <c r="U1261" i="1"/>
  <c r="Q1261" i="1"/>
  <c r="Q1263" i="1"/>
  <c r="R1263" i="1" s="1"/>
  <c r="S1263" i="1"/>
  <c r="Z106" i="11" s="1"/>
  <c r="AA106" i="11" s="1"/>
  <c r="U1263" i="1"/>
  <c r="S1270" i="1"/>
  <c r="Q1270" i="1"/>
  <c r="R1270" i="1" s="1"/>
  <c r="U1270" i="1"/>
  <c r="Q1278" i="1"/>
  <c r="U1278" i="1"/>
  <c r="U1282" i="1" s="1"/>
  <c r="S1278" i="1"/>
  <c r="S1282" i="1" s="1"/>
  <c r="T1280" i="1" s="1"/>
  <c r="U1273" i="1"/>
  <c r="Q1273" i="1"/>
  <c r="R1273" i="1" s="1"/>
  <c r="S1273" i="1"/>
  <c r="K1283" i="1"/>
  <c r="T1238" i="1"/>
  <c r="T1237" i="1"/>
  <c r="T1239" i="1"/>
  <c r="BJ59" i="8" l="1"/>
  <c r="BJ7" i="8"/>
  <c r="BJ14" i="8"/>
  <c r="BJ12" i="8"/>
  <c r="BJ34" i="8"/>
  <c r="AC106" i="11"/>
  <c r="AD106" i="11" s="1"/>
  <c r="AC104" i="11"/>
  <c r="AD104" i="11" s="1"/>
  <c r="AC105" i="11"/>
  <c r="AD105" i="11" s="1"/>
  <c r="AC107" i="11"/>
  <c r="AD107" i="11" s="1"/>
  <c r="X108" i="11"/>
  <c r="Z103" i="11"/>
  <c r="Z108" i="11" s="1"/>
  <c r="BJ8" i="8"/>
  <c r="BJ55" i="8"/>
  <c r="BJ75" i="8"/>
  <c r="BJ42" i="8"/>
  <c r="BJ15" i="8"/>
  <c r="BJ41" i="8"/>
  <c r="BJ68" i="8"/>
  <c r="BJ39" i="8"/>
  <c r="BJ32" i="8"/>
  <c r="BJ31" i="8"/>
  <c r="BJ16" i="8"/>
  <c r="BJ29" i="8"/>
  <c r="BJ69" i="8"/>
  <c r="BJ26" i="8"/>
  <c r="AB108" i="11"/>
  <c r="AC103" i="11"/>
  <c r="BJ51" i="8"/>
  <c r="BJ38" i="8"/>
  <c r="BJ44" i="8"/>
  <c r="BJ53" i="8"/>
  <c r="BJ33" i="8"/>
  <c r="BJ73" i="8"/>
  <c r="BJ77" i="8"/>
  <c r="BJ40" i="8"/>
  <c r="BJ24" i="8"/>
  <c r="BJ57" i="8"/>
  <c r="BJ47" i="8"/>
  <c r="BJ28" i="8"/>
  <c r="BJ56" i="8"/>
  <c r="BJ5" i="8"/>
  <c r="BJ65" i="8"/>
  <c r="BJ6" i="8"/>
  <c r="BJ63" i="8"/>
  <c r="AD83" i="8"/>
  <c r="AE83" i="8" s="1"/>
  <c r="AF83" i="8" s="1"/>
  <c r="BJ61" i="8"/>
  <c r="BJ54" i="8"/>
  <c r="BJ64" i="8"/>
  <c r="BJ70" i="8"/>
  <c r="BJ13" i="8"/>
  <c r="AD78" i="8"/>
  <c r="BJ20" i="8"/>
  <c r="BJ62" i="8"/>
  <c r="BJ23" i="8"/>
  <c r="BJ72" i="8"/>
  <c r="BJ58" i="8"/>
  <c r="D9" i="9"/>
  <c r="BJ17" i="8"/>
  <c r="BJ71" i="8"/>
  <c r="BJ27" i="8"/>
  <c r="BJ3" i="8"/>
  <c r="BJ74" i="8"/>
  <c r="BJ25" i="8"/>
  <c r="AD85" i="8"/>
  <c r="AE85" i="8" s="1"/>
  <c r="AF85" i="8" s="1"/>
  <c r="BJ66" i="8"/>
  <c r="BJ67" i="8"/>
  <c r="AY78" i="8"/>
  <c r="BJ2" i="8"/>
  <c r="BJ10" i="8"/>
  <c r="BJ60" i="8"/>
  <c r="BJ49" i="8"/>
  <c r="BJ30" i="8"/>
  <c r="BJ46" i="8"/>
  <c r="BJ11" i="8"/>
  <c r="BJ50" i="8"/>
  <c r="BJ52" i="8"/>
  <c r="BJ21" i="8"/>
  <c r="BJ4" i="8"/>
  <c r="BJ76" i="8"/>
  <c r="AD84" i="8"/>
  <c r="AE84" i="8" s="1"/>
  <c r="AF84" i="8" s="1"/>
  <c r="BJ35" i="8"/>
  <c r="BJ18" i="8"/>
  <c r="AD86" i="8"/>
  <c r="AE86" i="8" s="1"/>
  <c r="AF86" i="8" s="1"/>
  <c r="BJ45" i="8"/>
  <c r="BJ43" i="8"/>
  <c r="BJ19" i="8"/>
  <c r="BJ36" i="8"/>
  <c r="BJ9" i="8"/>
  <c r="BJ37" i="8"/>
  <c r="BJ22" i="8"/>
  <c r="R1261" i="1"/>
  <c r="Q1266" i="1"/>
  <c r="S1266" i="1"/>
  <c r="T1265" i="1" s="1"/>
  <c r="S1274" i="1"/>
  <c r="T1270" i="1" s="1"/>
  <c r="U1266" i="1"/>
  <c r="T1281" i="1"/>
  <c r="U1274" i="1"/>
  <c r="R1278" i="1"/>
  <c r="Q1282" i="1"/>
  <c r="Q1274" i="1"/>
  <c r="R1269" i="1"/>
  <c r="T1279" i="1"/>
  <c r="T1278" i="1"/>
  <c r="T1240" i="1"/>
  <c r="AA103" i="11" l="1"/>
  <c r="AD103" i="11"/>
  <c r="AC108" i="11"/>
  <c r="AG85" i="8"/>
  <c r="AH85" i="8" s="1"/>
  <c r="AI85" i="8" s="1"/>
  <c r="AG86" i="8"/>
  <c r="AH86" i="8" s="1"/>
  <c r="AI86" i="8" s="1"/>
  <c r="AG83" i="8"/>
  <c r="BJ78" i="8"/>
  <c r="AG84" i="8"/>
  <c r="AH84" i="8" s="1"/>
  <c r="AI84" i="8" s="1"/>
  <c r="AD87" i="8"/>
  <c r="T1264" i="1"/>
  <c r="T1282" i="1"/>
  <c r="T1271" i="1"/>
  <c r="T1262" i="1"/>
  <c r="T1263" i="1"/>
  <c r="T1261" i="1"/>
  <c r="T1273" i="1"/>
  <c r="T1272" i="1"/>
  <c r="T1269" i="1"/>
  <c r="T1266" i="1" l="1"/>
  <c r="AG87" i="8"/>
  <c r="AH83" i="8"/>
  <c r="AI83" i="8" s="1"/>
  <c r="T1274" i="1"/>
  <c r="I34" i="8"/>
  <c r="I41" i="8"/>
  <c r="I15" i="8"/>
  <c r="I39" i="8"/>
  <c r="I59" i="8"/>
  <c r="I28" i="8"/>
  <c r="I26" i="8"/>
  <c r="I6" i="8"/>
  <c r="I12" i="8"/>
  <c r="I65" i="8"/>
  <c r="I3" i="8"/>
  <c r="I7" i="8"/>
  <c r="I51" i="8"/>
  <c r="I30" i="8"/>
  <c r="I68" i="8"/>
  <c r="I36" i="8"/>
  <c r="I9" i="8"/>
  <c r="I32" i="8"/>
  <c r="I77" i="8"/>
  <c r="I11" i="8"/>
  <c r="I67" i="8"/>
  <c r="I44" i="8"/>
  <c r="I64" i="8"/>
  <c r="I19" i="8"/>
  <c r="I70" i="8"/>
  <c r="I38" i="8"/>
  <c r="I56" i="8"/>
  <c r="I29" i="8"/>
  <c r="I71" i="8"/>
  <c r="I74" i="8"/>
  <c r="I43" i="8"/>
  <c r="I21" i="8"/>
  <c r="I40" i="8"/>
  <c r="I33" i="8"/>
  <c r="I14" i="8"/>
  <c r="I23" i="8"/>
  <c r="I31" i="8"/>
  <c r="I63" i="8"/>
  <c r="I2" i="8"/>
  <c r="I48" i="8"/>
  <c r="I72" i="8"/>
  <c r="I49" i="8"/>
  <c r="I42" i="8"/>
  <c r="I52" i="8"/>
  <c r="I37" i="8"/>
  <c r="I66" i="8"/>
  <c r="I35" i="8"/>
  <c r="I22" i="8"/>
  <c r="I45" i="8"/>
  <c r="I58" i="8"/>
  <c r="I76" i="8"/>
  <c r="I50" i="8"/>
  <c r="I10" i="8"/>
  <c r="I75" i="8"/>
  <c r="I46" i="8"/>
  <c r="I24" i="8"/>
  <c r="I54" i="8"/>
  <c r="I47" i="8"/>
  <c r="I53" i="8"/>
  <c r="I61" i="8"/>
  <c r="I73" i="8"/>
  <c r="I60" i="8"/>
  <c r="I20" i="8"/>
  <c r="I8" i="8"/>
  <c r="I25" i="8"/>
  <c r="I27" i="8"/>
  <c r="I55" i="8"/>
  <c r="I5" i="8"/>
  <c r="I57" i="8"/>
  <c r="I18" i="8"/>
  <c r="I13" i="8"/>
  <c r="I17" i="8"/>
  <c r="I62" i="8"/>
  <c r="I16" i="8"/>
  <c r="I69" i="8"/>
  <c r="I4" i="8"/>
  <c r="I78" i="8" l="1"/>
  <c r="I9" i="11"/>
  <c r="I20" i="11"/>
  <c r="I7" i="11"/>
  <c r="I82" i="11"/>
  <c r="I58" i="11"/>
  <c r="I57" i="11"/>
  <c r="I75" i="11"/>
  <c r="I64" i="11"/>
  <c r="I55" i="11"/>
  <c r="I15" i="11"/>
  <c r="I95" i="11"/>
  <c r="I72" i="11"/>
  <c r="I19" i="11"/>
  <c r="I52" i="11"/>
  <c r="I50" i="11"/>
  <c r="I16" i="11"/>
  <c r="I62" i="11"/>
  <c r="I93" i="11"/>
  <c r="I88" i="11"/>
  <c r="I5" i="11"/>
  <c r="I2" i="11"/>
  <c r="I49" i="11"/>
  <c r="I29" i="11"/>
  <c r="I67" i="11"/>
  <c r="I22" i="11"/>
  <c r="I21" i="11"/>
  <c r="I84" i="11"/>
  <c r="I78" i="11"/>
  <c r="I31" i="11"/>
  <c r="I4" i="11"/>
  <c r="I92" i="11"/>
  <c r="I47" i="11"/>
  <c r="I77" i="11"/>
  <c r="I69" i="11"/>
  <c r="I39" i="11"/>
  <c r="I60" i="11"/>
  <c r="I3" i="11"/>
  <c r="I96" i="11"/>
  <c r="I23" i="11"/>
  <c r="I56" i="11"/>
  <c r="I81" i="11"/>
  <c r="I74" i="11"/>
  <c r="I35" i="11"/>
  <c r="I91" i="11"/>
  <c r="I26" i="11"/>
  <c r="I73" i="11"/>
  <c r="I43" i="11"/>
  <c r="I90" i="11"/>
  <c r="I63" i="11"/>
  <c r="I6" i="11"/>
  <c r="I83" i="11"/>
  <c r="I45" i="11"/>
  <c r="I61" i="11"/>
  <c r="I24" i="11"/>
  <c r="I25" i="11"/>
  <c r="I36" i="11"/>
  <c r="I68" i="11"/>
  <c r="I87" i="11"/>
  <c r="I71" i="11"/>
  <c r="I54" i="11"/>
  <c r="I86" i="11"/>
  <c r="I13" i="11"/>
  <c r="I27" i="11"/>
  <c r="I40" i="11"/>
  <c r="I38" i="11"/>
  <c r="I44" i="11"/>
  <c r="I41" i="11"/>
  <c r="I30" i="11"/>
  <c r="I76" i="11"/>
  <c r="I79" i="11"/>
  <c r="I28" i="11"/>
  <c r="I48" i="11"/>
  <c r="I89" i="11"/>
  <c r="I18" i="11"/>
  <c r="I94" i="11"/>
  <c r="I8" i="11"/>
  <c r="I14" i="11"/>
  <c r="I46" i="11"/>
  <c r="I32" i="11"/>
  <c r="I42" i="11"/>
  <c r="I12" i="11"/>
  <c r="I17" i="11"/>
  <c r="I34" i="11"/>
  <c r="I85" i="11"/>
  <c r="I59" i="11"/>
  <c r="I37" i="11"/>
  <c r="I53" i="11"/>
  <c r="I33" i="11"/>
  <c r="I11" i="11"/>
  <c r="I51" i="11"/>
  <c r="I65" i="11"/>
  <c r="I10" i="11"/>
  <c r="I66" i="11"/>
  <c r="I80" i="11"/>
  <c r="I70" i="11"/>
  <c r="I97" i="11" l="1"/>
  <c r="C112" i="12"/>
  <c r="D52" i="12"/>
  <c r="D120" i="12"/>
  <c r="D123" i="12"/>
  <c r="C115" i="12"/>
  <c r="C136" i="12" s="1"/>
  <c r="D110" i="12"/>
  <c r="D51" i="12"/>
  <c r="D66" i="12"/>
  <c r="D124" i="12"/>
  <c r="C111" i="12"/>
  <c r="C132" i="12" s="1"/>
  <c r="D108" i="12"/>
  <c r="D50" i="12"/>
  <c r="C121" i="12"/>
  <c r="D61" i="12"/>
  <c r="D56" i="12"/>
  <c r="D107" i="12"/>
  <c r="C124" i="12"/>
  <c r="C125" i="12"/>
  <c r="C108" i="12"/>
  <c r="C116" i="12"/>
  <c r="I19" i="12"/>
  <c r="C119" i="12"/>
  <c r="C140" i="12" s="1"/>
  <c r="C109" i="12"/>
  <c r="D114" i="12"/>
  <c r="D113" i="12"/>
  <c r="D55" i="12"/>
  <c r="D111" i="12"/>
  <c r="I4" i="12"/>
  <c r="C118" i="12"/>
  <c r="D60" i="12"/>
  <c r="D62" i="12"/>
  <c r="D65" i="12"/>
  <c r="D57" i="12"/>
  <c r="C110" i="12"/>
  <c r="I9" i="12"/>
  <c r="C122" i="12"/>
  <c r="C143" i="12" s="1"/>
  <c r="I18" i="12"/>
  <c r="I15" i="12"/>
  <c r="I16" i="12"/>
  <c r="I8" i="12"/>
  <c r="D118" i="12"/>
  <c r="D119" i="12"/>
  <c r="D121" i="12"/>
  <c r="D59" i="12"/>
  <c r="D117" i="12"/>
  <c r="D58" i="12"/>
  <c r="D116" i="12"/>
  <c r="D54" i="12"/>
  <c r="D112" i="12"/>
  <c r="D122" i="12"/>
  <c r="D64" i="12"/>
  <c r="I64" i="12" s="1"/>
  <c r="F16" i="10" s="1"/>
  <c r="G16" i="10" s="1"/>
  <c r="H16" i="10" s="1"/>
  <c r="I7" i="12"/>
  <c r="D53" i="12"/>
  <c r="C113" i="12"/>
  <c r="I10" i="12"/>
  <c r="I6" i="12"/>
  <c r="I5" i="12"/>
  <c r="D109" i="12"/>
  <c r="D125" i="12"/>
  <c r="D67" i="12"/>
  <c r="I3" i="12"/>
  <c r="C107" i="12"/>
  <c r="C120" i="12"/>
  <c r="C141" i="12" s="1"/>
  <c r="C114" i="12"/>
  <c r="C135" i="12" s="1"/>
  <c r="I14" i="12"/>
  <c r="C117" i="12"/>
  <c r="C138" i="12" s="1"/>
  <c r="C123" i="12"/>
  <c r="D144" i="12" l="1"/>
  <c r="D140" i="12"/>
  <c r="I140" i="12" s="1"/>
  <c r="D131" i="12"/>
  <c r="C144" i="12"/>
  <c r="C137" i="12"/>
  <c r="I53" i="12"/>
  <c r="F4" i="10" s="1"/>
  <c r="G4" i="10" s="1"/>
  <c r="H4" i="10" s="1"/>
  <c r="C130" i="12"/>
  <c r="C146" i="12"/>
  <c r="D130" i="12"/>
  <c r="C129" i="12"/>
  <c r="I56" i="12"/>
  <c r="F22" i="10" s="1"/>
  <c r="I55" i="12"/>
  <c r="F20" i="10" s="1"/>
  <c r="G20" i="10" s="1"/>
  <c r="H20" i="10" s="1"/>
  <c r="C142" i="12"/>
  <c r="I57" i="12"/>
  <c r="F12" i="10" s="1"/>
  <c r="G12" i="10" s="1"/>
  <c r="H12" i="10" s="1"/>
  <c r="C131" i="12"/>
  <c r="I65" i="12"/>
  <c r="F8" i="10" s="1"/>
  <c r="G8" i="10" s="1"/>
  <c r="H8" i="10" s="1"/>
  <c r="C128" i="12"/>
  <c r="C139" i="12"/>
  <c r="I59" i="12"/>
  <c r="E6" i="9" s="1"/>
  <c r="F6" i="9" s="1"/>
  <c r="G6" i="9" s="1"/>
  <c r="I62" i="12"/>
  <c r="F19" i="10" s="1"/>
  <c r="G19" i="10" s="1"/>
  <c r="H19" i="10" s="1"/>
  <c r="C145" i="12"/>
  <c r="I50" i="12"/>
  <c r="F11" i="10" s="1"/>
  <c r="G11" i="10" s="1"/>
  <c r="H11" i="10" s="1"/>
  <c r="C133" i="12"/>
  <c r="D138" i="12"/>
  <c r="I138" i="12" s="1"/>
  <c r="D141" i="12"/>
  <c r="I141" i="12" s="1"/>
  <c r="C68" i="12"/>
  <c r="D137" i="12"/>
  <c r="I61" i="12"/>
  <c r="F15" i="10" s="1"/>
  <c r="G15" i="10" s="1"/>
  <c r="H15" i="10" s="1"/>
  <c r="D145" i="12"/>
  <c r="I58" i="12"/>
  <c r="F10" i="10" s="1"/>
  <c r="G10" i="10" s="1"/>
  <c r="H10" i="10" s="1"/>
  <c r="D139" i="12"/>
  <c r="D128" i="12"/>
  <c r="D133" i="12"/>
  <c r="D129" i="12"/>
  <c r="I129" i="12" s="1"/>
  <c r="I11" i="10" s="1"/>
  <c r="J11" i="10" s="1"/>
  <c r="K11" i="10" s="1"/>
  <c r="I60" i="12"/>
  <c r="F17" i="10" s="1"/>
  <c r="G17" i="10" s="1"/>
  <c r="H17" i="10" s="1"/>
  <c r="D134" i="12"/>
  <c r="I51" i="12"/>
  <c r="F9" i="10" s="1"/>
  <c r="G9" i="10" s="1"/>
  <c r="H9" i="10" s="1"/>
  <c r="I66" i="12"/>
  <c r="F18" i="10" s="1"/>
  <c r="G18" i="10" s="1"/>
  <c r="H18" i="10" s="1"/>
  <c r="D132" i="12"/>
  <c r="I132" i="12" s="1"/>
  <c r="I4" i="10" s="1"/>
  <c r="J4" i="10" s="1"/>
  <c r="K4" i="10" s="1"/>
  <c r="D135" i="12"/>
  <c r="I135" i="12" s="1"/>
  <c r="I22" i="10" s="1"/>
  <c r="I11" i="12"/>
  <c r="I21" i="12"/>
  <c r="I52" i="12"/>
  <c r="F6" i="10" s="1"/>
  <c r="G6" i="10" s="1"/>
  <c r="H6" i="10" s="1"/>
  <c r="I67" i="12"/>
  <c r="F14" i="10" s="1"/>
  <c r="G14" i="10" s="1"/>
  <c r="H14" i="10" s="1"/>
  <c r="D146" i="12"/>
  <c r="D63" i="12"/>
  <c r="I63" i="12" s="1"/>
  <c r="C134" i="12"/>
  <c r="I54" i="12"/>
  <c r="F5" i="10" s="1"/>
  <c r="G5" i="10" s="1"/>
  <c r="H5" i="10" s="1"/>
  <c r="I12" i="12"/>
  <c r="I17" i="12"/>
  <c r="D143" i="12"/>
  <c r="I143" i="12" s="1"/>
  <c r="I16" i="10" s="1"/>
  <c r="J16" i="10" s="1"/>
  <c r="K16" i="10" s="1"/>
  <c r="D115" i="12"/>
  <c r="D136" i="12" s="1"/>
  <c r="I136" i="12" s="1"/>
  <c r="I12" i="10" s="1"/>
  <c r="J12" i="10" s="1"/>
  <c r="K12" i="10" s="1"/>
  <c r="I49" i="12"/>
  <c r="I13" i="12"/>
  <c r="I20" i="12"/>
  <c r="J22" i="10" l="1"/>
  <c r="K22" i="10" s="1"/>
  <c r="G22" i="10"/>
  <c r="H6" i="9"/>
  <c r="I6" i="9" s="1"/>
  <c r="J6" i="9" s="1"/>
  <c r="E4" i="9"/>
  <c r="F4" i="9" s="1"/>
  <c r="I144" i="12"/>
  <c r="I8" i="10" s="1"/>
  <c r="J8" i="10" s="1"/>
  <c r="K8" i="10" s="1"/>
  <c r="I137" i="12"/>
  <c r="I10" i="10" s="1"/>
  <c r="J10" i="10" s="1"/>
  <c r="K10" i="10" s="1"/>
  <c r="I133" i="12"/>
  <c r="I5" i="10" s="1"/>
  <c r="J5" i="10" s="1"/>
  <c r="K5" i="10" s="1"/>
  <c r="I130" i="12"/>
  <c r="I9" i="10" s="1"/>
  <c r="J9" i="10" s="1"/>
  <c r="K9" i="10" s="1"/>
  <c r="I131" i="12"/>
  <c r="I6" i="10" s="1"/>
  <c r="J6" i="10" s="1"/>
  <c r="K6" i="10" s="1"/>
  <c r="I146" i="12"/>
  <c r="I14" i="10" s="1"/>
  <c r="J14" i="10" s="1"/>
  <c r="K14" i="10" s="1"/>
  <c r="I145" i="12"/>
  <c r="I18" i="10" s="1"/>
  <c r="J18" i="10" s="1"/>
  <c r="K18" i="10" s="1"/>
  <c r="F13" i="10"/>
  <c r="G13" i="10" s="1"/>
  <c r="H13" i="10" s="1"/>
  <c r="C73" i="12"/>
  <c r="E73" i="12" s="1"/>
  <c r="I13" i="10"/>
  <c r="J13" i="10" s="1"/>
  <c r="K13" i="10" s="1"/>
  <c r="I128" i="12"/>
  <c r="D150" i="12" s="1"/>
  <c r="I139" i="12"/>
  <c r="D152" i="12" s="1"/>
  <c r="E152" i="12" s="1"/>
  <c r="F152" i="12" s="1"/>
  <c r="E5" i="9"/>
  <c r="F5" i="9" s="1"/>
  <c r="G5" i="9" s="1"/>
  <c r="I134" i="12"/>
  <c r="D151" i="12" s="1"/>
  <c r="E151" i="12" s="1"/>
  <c r="F151" i="12" s="1"/>
  <c r="E7" i="9"/>
  <c r="F7" i="9" s="1"/>
  <c r="G7" i="9" s="1"/>
  <c r="I22" i="12"/>
  <c r="C74" i="12"/>
  <c r="E74" i="12" s="1"/>
  <c r="I15" i="10"/>
  <c r="J15" i="10" s="1"/>
  <c r="K15" i="10" s="1"/>
  <c r="D68" i="12"/>
  <c r="E8" i="9"/>
  <c r="F8" i="9" s="1"/>
  <c r="G8" i="9" s="1"/>
  <c r="F21" i="10"/>
  <c r="G21" i="10" s="1"/>
  <c r="H21" i="10" s="1"/>
  <c r="F7" i="10"/>
  <c r="G7" i="10" s="1"/>
  <c r="H7" i="10" s="1"/>
  <c r="C72" i="12"/>
  <c r="I68" i="12"/>
  <c r="I19" i="10"/>
  <c r="J19" i="10" s="1"/>
  <c r="K19" i="10" s="1"/>
  <c r="D142" i="12"/>
  <c r="I142" i="12" s="1"/>
  <c r="I21" i="10" s="1"/>
  <c r="J21" i="10" s="1"/>
  <c r="K21" i="10" s="1"/>
  <c r="D153" i="12" l="1"/>
  <c r="E150" i="12"/>
  <c r="H22" i="10"/>
  <c r="G23" i="10"/>
  <c r="F23" i="10"/>
  <c r="H8" i="9"/>
  <c r="I8" i="9" s="1"/>
  <c r="J8" i="9" s="1"/>
  <c r="I17" i="10"/>
  <c r="J17" i="10" s="1"/>
  <c r="K17" i="10" s="1"/>
  <c r="H7" i="9"/>
  <c r="I7" i="9" s="1"/>
  <c r="J7" i="9" s="1"/>
  <c r="I20" i="10"/>
  <c r="J20" i="10" s="1"/>
  <c r="K20" i="10" s="1"/>
  <c r="H5" i="9"/>
  <c r="I5" i="9" s="1"/>
  <c r="J5" i="9" s="1"/>
  <c r="I7" i="10"/>
  <c r="J7" i="10" s="1"/>
  <c r="K7" i="10" s="1"/>
  <c r="H4" i="9"/>
  <c r="I4" i="9" s="1"/>
  <c r="D80" i="12"/>
  <c r="E80" i="12" s="1"/>
  <c r="F80" i="12" s="1"/>
  <c r="D81" i="12"/>
  <c r="E81" i="12" s="1"/>
  <c r="F81" i="12" s="1"/>
  <c r="D79" i="12"/>
  <c r="C75" i="12"/>
  <c r="E72" i="12"/>
  <c r="I147" i="12"/>
  <c r="G4" i="9"/>
  <c r="E9" i="9"/>
  <c r="F150" i="12" l="1"/>
  <c r="E153" i="12"/>
  <c r="I23" i="10"/>
  <c r="D82" i="12"/>
  <c r="E79" i="12"/>
  <c r="H9" i="9"/>
  <c r="J4" i="9"/>
  <c r="I9" i="9"/>
  <c r="F79" i="12" l="1"/>
  <c r="E82" i="12"/>
  <c r="K1245" i="1"/>
  <c r="H1245" i="1"/>
  <c r="G1245" i="1"/>
  <c r="I1245" i="1"/>
  <c r="J1243" i="1"/>
</calcChain>
</file>

<file path=xl/sharedStrings.xml><?xml version="1.0" encoding="utf-8"?>
<sst xmlns="http://schemas.openxmlformats.org/spreadsheetml/2006/main" count="19271" uniqueCount="2681">
  <si>
    <t>TransactionID</t>
  </si>
  <si>
    <t>TransactionDate_Clean</t>
  </si>
  <si>
    <t>CustomerID</t>
  </si>
  <si>
    <t>CustomerID_Check</t>
  </si>
  <si>
    <t>ProductID</t>
  </si>
  <si>
    <t>ProductID_Clean</t>
  </si>
  <si>
    <t>Region_Clean</t>
  </si>
  <si>
    <t>Region</t>
  </si>
  <si>
    <t>BusinessUnit</t>
  </si>
  <si>
    <t>BusinessUnit_Clean</t>
  </si>
  <si>
    <t>SalesChannelClean</t>
  </si>
  <si>
    <t>Quantity</t>
  </si>
  <si>
    <t>UnitPrice_Clean</t>
  </si>
  <si>
    <t>ListPrice</t>
  </si>
  <si>
    <t>GrossRevenue_Analytical</t>
  </si>
  <si>
    <t>DiscountAmount_Analytical</t>
  </si>
  <si>
    <t>NetRevenue_Analytical</t>
  </si>
  <si>
    <t>Currency</t>
  </si>
  <si>
    <t>ContractType_Clean</t>
  </si>
  <si>
    <t>CustomerSegment</t>
  </si>
  <si>
    <t>TXN-10001</t>
  </si>
  <si>
    <t>C-1006</t>
  </si>
  <si>
    <t>P-SI-004</t>
  </si>
  <si>
    <t>N. AMERICA</t>
  </si>
  <si>
    <t>Sensors &amp; Instruments</t>
  </si>
  <si>
    <t>Direct</t>
  </si>
  <si>
    <t>USD</t>
  </si>
  <si>
    <t>Frame Agreement</t>
  </si>
  <si>
    <t>Aerospace &amp; Defense</t>
  </si>
  <si>
    <t>TXN-10002</t>
  </si>
  <si>
    <t>C-1095</t>
  </si>
  <si>
    <t>P-SI-002</t>
  </si>
  <si>
    <t>LATIN AMERICA</t>
  </si>
  <si>
    <t>Latin America</t>
  </si>
  <si>
    <t>Partner Portal</t>
  </si>
  <si>
    <t>Standard PO</t>
  </si>
  <si>
    <t>Manufacturing</t>
  </si>
  <si>
    <t>TXN-10003</t>
  </si>
  <si>
    <t>C-1151</t>
  </si>
  <si>
    <t>P-SI-003</t>
  </si>
  <si>
    <t>Missing Value</t>
  </si>
  <si>
    <t>TXN-10004</t>
  </si>
  <si>
    <t>C-1168</t>
  </si>
  <si>
    <t>P-SI-006</t>
  </si>
  <si>
    <t>Energy &amp; Utilities</t>
  </si>
  <si>
    <t>TXN-10005</t>
  </si>
  <si>
    <t>C-1070</t>
  </si>
  <si>
    <t>EMEA</t>
  </si>
  <si>
    <t>Process Industries</t>
  </si>
  <si>
    <t>TXN-10006</t>
  </si>
  <si>
    <t>C-1172</t>
  </si>
  <si>
    <t>P-SA-003</t>
  </si>
  <si>
    <t xml:space="preserve">  N. AMERICA </t>
  </si>
  <si>
    <t>Software &amp; Analytics</t>
  </si>
  <si>
    <t>Annual License</t>
  </si>
  <si>
    <t>TXN-10007</t>
  </si>
  <si>
    <t>C-1108</t>
  </si>
  <si>
    <t>P-SI-005</t>
  </si>
  <si>
    <t>APAC</t>
  </si>
  <si>
    <t>Research &amp; Labs</t>
  </si>
  <si>
    <t>TXN-10008</t>
  </si>
  <si>
    <t>C-1045</t>
  </si>
  <si>
    <t>P-SA-005</t>
  </si>
  <si>
    <t>TXN-10009</t>
  </si>
  <si>
    <t>C-1169</t>
  </si>
  <si>
    <t>Spot</t>
  </si>
  <si>
    <t>TXN-10010</t>
  </si>
  <si>
    <t>C-1145</t>
  </si>
  <si>
    <t>P-SA-001</t>
  </si>
  <si>
    <t>North America</t>
  </si>
  <si>
    <t>TXN-10011</t>
  </si>
  <si>
    <t>C-1174</t>
  </si>
  <si>
    <t>P-SI-001</t>
  </si>
  <si>
    <t>TXN-10012</t>
  </si>
  <si>
    <t>C-1126</t>
  </si>
  <si>
    <t>TXN-10013</t>
  </si>
  <si>
    <t>Invalid ID</t>
  </si>
  <si>
    <t>TXN-10014</t>
  </si>
  <si>
    <t>C-1011</t>
  </si>
  <si>
    <t>TXN-10015</t>
  </si>
  <si>
    <t>C-1007</t>
  </si>
  <si>
    <t>P-FS-002</t>
  </si>
  <si>
    <t>Field Services</t>
  </si>
  <si>
    <t>Multi-Year</t>
  </si>
  <si>
    <t>TXN-10016</t>
  </si>
  <si>
    <t>C-1066</t>
  </si>
  <si>
    <t>P-SA-004</t>
  </si>
  <si>
    <t>Distributor</t>
  </si>
  <si>
    <t>Subscription</t>
  </si>
  <si>
    <t>C-1067</t>
  </si>
  <si>
    <t>TXN-10018</t>
  </si>
  <si>
    <t>C-1005</t>
  </si>
  <si>
    <t>P-FS-006</t>
  </si>
  <si>
    <t>TXN-10019</t>
  </si>
  <si>
    <t>Annual</t>
  </si>
  <si>
    <t>TXN-10020</t>
  </si>
  <si>
    <t>C-1110</t>
  </si>
  <si>
    <t>P-SI-007</t>
  </si>
  <si>
    <t>direct</t>
  </si>
  <si>
    <t>TXN-10021</t>
  </si>
  <si>
    <t>C-1009</t>
  </si>
  <si>
    <t>P-FS-005</t>
  </si>
  <si>
    <t xml:space="preserve">  EMEA </t>
  </si>
  <si>
    <t>TXN-10022</t>
  </si>
  <si>
    <t>C-1147</t>
  </si>
  <si>
    <t>TXN-10023</t>
  </si>
  <si>
    <t>C-1163</t>
  </si>
  <si>
    <t>TXN-10024</t>
  </si>
  <si>
    <t>C-1089</t>
  </si>
  <si>
    <t>TXN-10025</t>
  </si>
  <si>
    <t>C-1150</t>
  </si>
  <si>
    <t>TXN-10026</t>
  </si>
  <si>
    <t>C-1155</t>
  </si>
  <si>
    <t>EUR</t>
  </si>
  <si>
    <t>C-1159</t>
  </si>
  <si>
    <t>TXN-10028</t>
  </si>
  <si>
    <t>C-1152</t>
  </si>
  <si>
    <t>TXN-10029</t>
  </si>
  <si>
    <t>C-1098</t>
  </si>
  <si>
    <t>Software and Analytics</t>
  </si>
  <si>
    <t>TXN-10030</t>
  </si>
  <si>
    <t>C-1171</t>
  </si>
  <si>
    <t>C-1088</t>
  </si>
  <si>
    <t>TXN-10032</t>
  </si>
  <si>
    <t>TXN-10033</t>
  </si>
  <si>
    <t>C-1076</t>
  </si>
  <si>
    <t>GBP</t>
  </si>
  <si>
    <t>TXN-10034</t>
  </si>
  <si>
    <t>C-1025</t>
  </si>
  <si>
    <t>TXN-10035</t>
  </si>
  <si>
    <t>C-1038</t>
  </si>
  <si>
    <t>TXN-10036</t>
  </si>
  <si>
    <t>C-1138</t>
  </si>
  <si>
    <t>P-FS-001</t>
  </si>
  <si>
    <t>TXN-10037</t>
  </si>
  <si>
    <t>C-1085</t>
  </si>
  <si>
    <t>TXN-10038</t>
  </si>
  <si>
    <t>C-1048</t>
  </si>
  <si>
    <t>TXN-10039</t>
  </si>
  <si>
    <t>C-1109</t>
  </si>
  <si>
    <t>TXN-10040</t>
  </si>
  <si>
    <t>C-1181</t>
  </si>
  <si>
    <t>TXN-10041</t>
  </si>
  <si>
    <t>C-1015</t>
  </si>
  <si>
    <t>TXN-10042</t>
  </si>
  <si>
    <t>TXN-10043</t>
  </si>
  <si>
    <t>C-1099</t>
  </si>
  <si>
    <t>P-SA-002</t>
  </si>
  <si>
    <t>TXN-10044</t>
  </si>
  <si>
    <t>TXN-10045</t>
  </si>
  <si>
    <t>TXN-10046</t>
  </si>
  <si>
    <t>C-1090</t>
  </si>
  <si>
    <t>P-SI-008</t>
  </si>
  <si>
    <t>TXN-10048</t>
  </si>
  <si>
    <t>TXN-10049</t>
  </si>
  <si>
    <t>C-1166</t>
  </si>
  <si>
    <t>TXN-10050</t>
  </si>
  <si>
    <t>C-1129</t>
  </si>
  <si>
    <t>TXN-10051</t>
  </si>
  <si>
    <t>TXN-10052</t>
  </si>
  <si>
    <t>C-1062</t>
  </si>
  <si>
    <t>TXN-10053</t>
  </si>
  <si>
    <t>TXN-10054</t>
  </si>
  <si>
    <t>C-1008</t>
  </si>
  <si>
    <t>TXN-10055</t>
  </si>
  <si>
    <t>C-1017</t>
  </si>
  <si>
    <t>partner portal</t>
  </si>
  <si>
    <t>TXN-10056</t>
  </si>
  <si>
    <t>C-1061</t>
  </si>
  <si>
    <t>TXN-10057</t>
  </si>
  <si>
    <t>C-1158</t>
  </si>
  <si>
    <t>TXN-10058</t>
  </si>
  <si>
    <t>C-1121</t>
  </si>
  <si>
    <t>TXN-10059</t>
  </si>
  <si>
    <t>TXN-10060</t>
  </si>
  <si>
    <t>TXN-10061</t>
  </si>
  <si>
    <t>C-1179</t>
  </si>
  <si>
    <t>TXN-10062</t>
  </si>
  <si>
    <t>C-1137</t>
  </si>
  <si>
    <t>TXN-10063</t>
  </si>
  <si>
    <t>C-1068</t>
  </si>
  <si>
    <t>TXN-10064</t>
  </si>
  <si>
    <t>C-1120</t>
  </si>
  <si>
    <t>TXN-10065</t>
  </si>
  <si>
    <t>distributor</t>
  </si>
  <si>
    <t>C-1029</t>
  </si>
  <si>
    <t>TXN-10067</t>
  </si>
  <si>
    <t>TXN-10068</t>
  </si>
  <si>
    <t>C-1060</t>
  </si>
  <si>
    <t>Perpetual</t>
  </si>
  <si>
    <t>C-1177</t>
  </si>
  <si>
    <t>C-1077</t>
  </si>
  <si>
    <t>TXN-10070</t>
  </si>
  <si>
    <t>TXN-10071</t>
  </si>
  <si>
    <t>C-1075</t>
  </si>
  <si>
    <t>TXN-10072</t>
  </si>
  <si>
    <t>TXN-10073</t>
  </si>
  <si>
    <t>C-1016</t>
  </si>
  <si>
    <t xml:space="preserve">  APAC </t>
  </si>
  <si>
    <t>TXN-10075</t>
  </si>
  <si>
    <t>C-1021</t>
  </si>
  <si>
    <t>TXN-10076</t>
  </si>
  <si>
    <t>C-1033</t>
  </si>
  <si>
    <t>TXN-10077</t>
  </si>
  <si>
    <t>C-1043</t>
  </si>
  <si>
    <t>TXN-10078</t>
  </si>
  <si>
    <t>C-1183</t>
  </si>
  <si>
    <t>TXN-10079</t>
  </si>
  <si>
    <t>C-1030</t>
  </si>
  <si>
    <t>TXN-10080</t>
  </si>
  <si>
    <t>TXN-10081</t>
  </si>
  <si>
    <t>TXN-10082</t>
  </si>
  <si>
    <t>C-1128</t>
  </si>
  <si>
    <t>C-1059</t>
  </si>
  <si>
    <t>TXN-10084</t>
  </si>
  <si>
    <t>C-1036</t>
  </si>
  <si>
    <t>P-FS-003</t>
  </si>
  <si>
    <t>TXN-10085</t>
  </si>
  <si>
    <t>C-1142</t>
  </si>
  <si>
    <t>TXN-10086</t>
  </si>
  <si>
    <t>C-1116</t>
  </si>
  <si>
    <t>TXN-10087</t>
  </si>
  <si>
    <t>C-1091</t>
  </si>
  <si>
    <t>TXN-10088</t>
  </si>
  <si>
    <t>TXN-10089</t>
  </si>
  <si>
    <t>C-1118</t>
  </si>
  <si>
    <t>TXN-10090</t>
  </si>
  <si>
    <t>C-1125</t>
  </si>
  <si>
    <t>TXN-10091</t>
  </si>
  <si>
    <t>C-1010</t>
  </si>
  <si>
    <t>TXN-10092</t>
  </si>
  <si>
    <t>TXN-10093</t>
  </si>
  <si>
    <t>TXN-10094</t>
  </si>
  <si>
    <t>TXN-10095</t>
  </si>
  <si>
    <t>TXN-10096</t>
  </si>
  <si>
    <t>C-1069</t>
  </si>
  <si>
    <t>TXN-10097</t>
  </si>
  <si>
    <t>C-1047</t>
  </si>
  <si>
    <t>TXN-10098</t>
  </si>
  <si>
    <t>C-1112</t>
  </si>
  <si>
    <t>TXN-10099</t>
  </si>
  <si>
    <t>TXN-10100</t>
  </si>
  <si>
    <t>C-1139</t>
  </si>
  <si>
    <t>TXN-10101</t>
  </si>
  <si>
    <t>TXN-10102</t>
  </si>
  <si>
    <t>TXN-10017</t>
  </si>
  <si>
    <t>C-1041</t>
  </si>
  <si>
    <t>TXN-10105</t>
  </si>
  <si>
    <t>C-1117</t>
  </si>
  <si>
    <t>TXN-10106</t>
  </si>
  <si>
    <t>C-1132</t>
  </si>
  <si>
    <t>TXN-10107</t>
  </si>
  <si>
    <t>C-1027</t>
  </si>
  <si>
    <t>TXN-10108</t>
  </si>
  <si>
    <t>TXN-10109</t>
  </si>
  <si>
    <t>TXN-10110</t>
  </si>
  <si>
    <t>C-1100</t>
  </si>
  <si>
    <t>TXN-10111</t>
  </si>
  <si>
    <t>TXN-10112</t>
  </si>
  <si>
    <t>C-1161</t>
  </si>
  <si>
    <t>TXN-10113</t>
  </si>
  <si>
    <t>TXN-10031</t>
  </si>
  <si>
    <t>C-1064</t>
  </si>
  <si>
    <t>TXN-10115</t>
  </si>
  <si>
    <t>C-1014</t>
  </si>
  <si>
    <t>TXN-10116</t>
  </si>
  <si>
    <t>C-1063</t>
  </si>
  <si>
    <t>TXN-10117</t>
  </si>
  <si>
    <t>C-1114</t>
  </si>
  <si>
    <t>TXN-10118</t>
  </si>
  <si>
    <t>TXN-10120</t>
  </si>
  <si>
    <t>TXN-10121</t>
  </si>
  <si>
    <t>C-1119</t>
  </si>
  <si>
    <t>TXN-10122</t>
  </si>
  <si>
    <t>C-1049</t>
  </si>
  <si>
    <t>TXN-10123</t>
  </si>
  <si>
    <t>C-1024</t>
  </si>
  <si>
    <t>TXN-10124</t>
  </si>
  <si>
    <t>TXN-10125</t>
  </si>
  <si>
    <t>C-1178</t>
  </si>
  <si>
    <t>TXN-10126</t>
  </si>
  <si>
    <t>TXN-10127</t>
  </si>
  <si>
    <t>C-1082</t>
  </si>
  <si>
    <t>TXN-10129</t>
  </si>
  <si>
    <t>TXN-10130</t>
  </si>
  <si>
    <t>TXN-10132</t>
  </si>
  <si>
    <t>TXN-10133</t>
  </si>
  <si>
    <t>TXN-10134</t>
  </si>
  <si>
    <t>C-1031</t>
  </si>
  <si>
    <t>TXN-10135</t>
  </si>
  <si>
    <t>TXN-10136</t>
  </si>
  <si>
    <t>TXN-10137</t>
  </si>
  <si>
    <t>C-1032</t>
  </si>
  <si>
    <t>TXN-10138</t>
  </si>
  <si>
    <t>TXN-10139</t>
  </si>
  <si>
    <t>TXN-10140</t>
  </si>
  <si>
    <t>TXN-10141</t>
  </si>
  <si>
    <t>C-1153</t>
  </si>
  <si>
    <t>TXN-10142</t>
  </si>
  <si>
    <t>C-1058</t>
  </si>
  <si>
    <t>TXN-10143</t>
  </si>
  <si>
    <t>TXN-10144</t>
  </si>
  <si>
    <t>TXN-10145</t>
  </si>
  <si>
    <t>C-1136</t>
  </si>
  <si>
    <t>TXN-10146</t>
  </si>
  <si>
    <t>TXN-10148</t>
  </si>
  <si>
    <t>TXN-10149</t>
  </si>
  <si>
    <t>C-1156</t>
  </si>
  <si>
    <t>TXN-10150</t>
  </si>
  <si>
    <t>TXN-10151</t>
  </si>
  <si>
    <t>C-1164</t>
  </si>
  <si>
    <t>TXN-10152</t>
  </si>
  <si>
    <t>C-1087</t>
  </si>
  <si>
    <t>TXN-10153</t>
  </si>
  <si>
    <t>C-1084</t>
  </si>
  <si>
    <t>TXN-10154</t>
  </si>
  <si>
    <t>C-1053</t>
  </si>
  <si>
    <t>TXN-10156</t>
  </si>
  <si>
    <t>TXN-10157</t>
  </si>
  <si>
    <t>TXN-10159</t>
  </si>
  <si>
    <t>C-1020</t>
  </si>
  <si>
    <t>TXN-10160</t>
  </si>
  <si>
    <t>TXN-10161</t>
  </si>
  <si>
    <t>C-1012</t>
  </si>
  <si>
    <t>TXN-10162</t>
  </si>
  <si>
    <t>TXN-10163</t>
  </si>
  <si>
    <t>TXN-10164</t>
  </si>
  <si>
    <t>TXN-10165</t>
  </si>
  <si>
    <t>TXN-10166</t>
  </si>
  <si>
    <t>TXN-10167</t>
  </si>
  <si>
    <t>TXN-10168</t>
  </si>
  <si>
    <t>TXN-10169</t>
  </si>
  <si>
    <t>C-1165</t>
  </si>
  <si>
    <t>TXN-10171</t>
  </si>
  <si>
    <t>TXN-10172</t>
  </si>
  <si>
    <t>TXN-10173</t>
  </si>
  <si>
    <t>TXN-10174</t>
  </si>
  <si>
    <t>TXN-10175</t>
  </si>
  <si>
    <t>TXN-10176</t>
  </si>
  <si>
    <t>C-1157</t>
  </si>
  <si>
    <t>TXN-10177</t>
  </si>
  <si>
    <t>TXN-10178</t>
  </si>
  <si>
    <t>TXN-10179</t>
  </si>
  <si>
    <t>TXN-10180</t>
  </si>
  <si>
    <t>C-1057</t>
  </si>
  <si>
    <t>TXN-10181</t>
  </si>
  <si>
    <t>TXN-10182</t>
  </si>
  <si>
    <t>TXN-10183</t>
  </si>
  <si>
    <t>TXN-10184</t>
  </si>
  <si>
    <t>TXN-10069</t>
  </si>
  <si>
    <t>TXN-10186</t>
  </si>
  <si>
    <t>TXN-10187</t>
  </si>
  <si>
    <t>TXN-10188</t>
  </si>
  <si>
    <t>C-1113</t>
  </si>
  <si>
    <t>TXN-10190</t>
  </si>
  <si>
    <t>TXN-10191</t>
  </si>
  <si>
    <t>TXN-10192</t>
  </si>
  <si>
    <t>TXN-10193</t>
  </si>
  <si>
    <t>TXN-10194</t>
  </si>
  <si>
    <t>TXN-10195</t>
  </si>
  <si>
    <t>TXN-10196</t>
  </si>
  <si>
    <t>C-1056</t>
  </si>
  <si>
    <t>TXN-10197</t>
  </si>
  <si>
    <t>TXN-10198</t>
  </si>
  <si>
    <t>TXN-10199</t>
  </si>
  <si>
    <t>TXN-10200</t>
  </si>
  <si>
    <t>TXN-10201</t>
  </si>
  <si>
    <t>TXN-10202</t>
  </si>
  <si>
    <t>TXN-10203</t>
  </si>
  <si>
    <t>TXN-10204</t>
  </si>
  <si>
    <t>C-1182</t>
  </si>
  <si>
    <t>TXN-10205</t>
  </si>
  <si>
    <t>C-1141</t>
  </si>
  <si>
    <t>TXN-10206</t>
  </si>
  <si>
    <t>TXN-10207</t>
  </si>
  <si>
    <t>C-1081</t>
  </si>
  <si>
    <t>TXN-10208</t>
  </si>
  <si>
    <t>TXN-10209</t>
  </si>
  <si>
    <t>C-1154</t>
  </si>
  <si>
    <t>TXN-10210</t>
  </si>
  <si>
    <t>TXN-10212</t>
  </si>
  <si>
    <t>TXN-10103</t>
  </si>
  <si>
    <t>C-1180</t>
  </si>
  <si>
    <t>TXN-10214</t>
  </si>
  <si>
    <t>TXN-10215</t>
  </si>
  <si>
    <t>C-1073</t>
  </si>
  <si>
    <t>TXN-10216</t>
  </si>
  <si>
    <t>C-1175</t>
  </si>
  <si>
    <t>TXN-10218</t>
  </si>
  <si>
    <t>TXN-10220</t>
  </si>
  <si>
    <t>TXN-10221</t>
  </si>
  <si>
    <t>TXN-10222</t>
  </si>
  <si>
    <t>TXN-10223</t>
  </si>
  <si>
    <t>TXN-10224</t>
  </si>
  <si>
    <t>TXN-10225</t>
  </si>
  <si>
    <t>TXN-10226</t>
  </si>
  <si>
    <t>TXN-10227</t>
  </si>
  <si>
    <t>TXN-10228</t>
  </si>
  <si>
    <t>TXN-10229</t>
  </si>
  <si>
    <t>C-1050</t>
  </si>
  <si>
    <t>TXN-10230</t>
  </si>
  <si>
    <t>TXN-10231</t>
  </si>
  <si>
    <t>TXN-10232</t>
  </si>
  <si>
    <t>TXN-10233</t>
  </si>
  <si>
    <t>TXN-10234</t>
  </si>
  <si>
    <t>C-1144</t>
  </si>
  <si>
    <t>TXN-10235</t>
  </si>
  <si>
    <t>TXN-10281</t>
  </si>
  <si>
    <t>C-1184</t>
  </si>
  <si>
    <t>TXN-10237</t>
  </si>
  <si>
    <t>C-1034</t>
  </si>
  <si>
    <t>TXN-10238</t>
  </si>
  <si>
    <t>TXN-10239</t>
  </si>
  <si>
    <t>TXN-10240</t>
  </si>
  <si>
    <t>TXN-10241</t>
  </si>
  <si>
    <t>TXN-10242</t>
  </si>
  <si>
    <t>C-1035</t>
  </si>
  <si>
    <t>TXN-10244</t>
  </si>
  <si>
    <t>TXN-10245</t>
  </si>
  <si>
    <t>TXN-10246</t>
  </si>
  <si>
    <t>TXN-10247</t>
  </si>
  <si>
    <t>TXN-10248</t>
  </si>
  <si>
    <t>TXN-10249</t>
  </si>
  <si>
    <t>TXN-10250</t>
  </si>
  <si>
    <t>C-1106</t>
  </si>
  <si>
    <t>TXN-10251</t>
  </si>
  <si>
    <t>TXN-10252</t>
  </si>
  <si>
    <t>C-1080</t>
  </si>
  <si>
    <t>TXN-10253</t>
  </si>
  <si>
    <t>TXN-10255</t>
  </si>
  <si>
    <t>TXN-10256</t>
  </si>
  <si>
    <t>C-1092</t>
  </si>
  <si>
    <t>P-FS-004</t>
  </si>
  <si>
    <t>TXN-10257</t>
  </si>
  <si>
    <t>TXN-10258</t>
  </si>
  <si>
    <t>TXN-10259</t>
  </si>
  <si>
    <t>TXN-10260</t>
  </si>
  <si>
    <t>TXN-10261</t>
  </si>
  <si>
    <t>TXN-10262</t>
  </si>
  <si>
    <t>TXN-10263</t>
  </si>
  <si>
    <t>TXN-10264</t>
  </si>
  <si>
    <t>TXN-10265</t>
  </si>
  <si>
    <t>C-1004</t>
  </si>
  <si>
    <t>TXN-10266</t>
  </si>
  <si>
    <t>TXN-10267</t>
  </si>
  <si>
    <t>TXN-10268</t>
  </si>
  <si>
    <t>TXN-10269</t>
  </si>
  <si>
    <t>TXN-10270</t>
  </si>
  <si>
    <t>TXN-10271</t>
  </si>
  <si>
    <t>TXN-10272</t>
  </si>
  <si>
    <t>TXN-10273</t>
  </si>
  <si>
    <t>TXN-10274</t>
  </si>
  <si>
    <t>TXN-10275</t>
  </si>
  <si>
    <t>TXN-10276</t>
  </si>
  <si>
    <t>C-1173</t>
  </si>
  <si>
    <t>TXN-10277</t>
  </si>
  <si>
    <t>TXN-10278</t>
  </si>
  <si>
    <t>C-1078</t>
  </si>
  <si>
    <t>TXN-10279</t>
  </si>
  <si>
    <t>TXN-10280</t>
  </si>
  <si>
    <t>C-1104</t>
  </si>
  <si>
    <t>TXN-10297</t>
  </si>
  <si>
    <t>TXN-10282</t>
  </si>
  <si>
    <t>C-1101</t>
  </si>
  <si>
    <t>TXN-10283</t>
  </si>
  <si>
    <t>TXN-10284</t>
  </si>
  <si>
    <t>C-1079</t>
  </si>
  <si>
    <t>TXN-10285</t>
  </si>
  <si>
    <t>TXN-10286</t>
  </si>
  <si>
    <t>C-1122</t>
  </si>
  <si>
    <t>TXN-10287</t>
  </si>
  <si>
    <t>TXN-10288</t>
  </si>
  <si>
    <t>TXN-10289</t>
  </si>
  <si>
    <t>C-1074</t>
  </si>
  <si>
    <t xml:space="preserve">  LATIN AMERICA </t>
  </si>
  <si>
    <t>TXN-10290</t>
  </si>
  <si>
    <t>TXN-10291</t>
  </si>
  <si>
    <t>C-1134</t>
  </si>
  <si>
    <t>TXN-10292</t>
  </si>
  <si>
    <t>C-1083</t>
  </si>
  <si>
    <t>TXN-10293</t>
  </si>
  <si>
    <t>TXN-10294</t>
  </si>
  <si>
    <t>TXN-10295</t>
  </si>
  <si>
    <t>TXN-10296</t>
  </si>
  <si>
    <t>TXN-10301</t>
  </si>
  <si>
    <t>TXN-10298</t>
  </si>
  <si>
    <t>TXN-10299</t>
  </si>
  <si>
    <t>TXN-10300</t>
  </si>
  <si>
    <t>C-1135</t>
  </si>
  <si>
    <t>TXN-10335</t>
  </si>
  <si>
    <t>TXN-10302</t>
  </si>
  <si>
    <t>TXN-10303</t>
  </si>
  <si>
    <t>TXN-10304</t>
  </si>
  <si>
    <t>TXN-10305</t>
  </si>
  <si>
    <t>TXN-10306</t>
  </si>
  <si>
    <t>TXN-10307</t>
  </si>
  <si>
    <t>C-1167</t>
  </si>
  <si>
    <t>TXN-10308</t>
  </si>
  <si>
    <t>TXN-10309</t>
  </si>
  <si>
    <t>TXN-10310</t>
  </si>
  <si>
    <t>TXN-10311</t>
  </si>
  <si>
    <t>TXN-10312</t>
  </si>
  <si>
    <t>TXN-10313</t>
  </si>
  <si>
    <t>TXN-10354</t>
  </si>
  <si>
    <t>C-1037</t>
  </si>
  <si>
    <t>TXN-10315</t>
  </si>
  <si>
    <t>TXN-10316</t>
  </si>
  <si>
    <t>TXN-10317</t>
  </si>
  <si>
    <t>TXN-10318</t>
  </si>
  <si>
    <t>TXN-10319</t>
  </si>
  <si>
    <t>TXN-10320</t>
  </si>
  <si>
    <t>TXN-10398</t>
  </si>
  <si>
    <t>TXN-10323</t>
  </si>
  <si>
    <t>TXN-10324</t>
  </si>
  <si>
    <t>TXN-10540</t>
  </si>
  <si>
    <t>TXN-10326</t>
  </si>
  <si>
    <t>C-1065</t>
  </si>
  <si>
    <t>TXN-10327</t>
  </si>
  <si>
    <t>TXN-10328</t>
  </si>
  <si>
    <t>TXN-10329</t>
  </si>
  <si>
    <t>TXN-10330</t>
  </si>
  <si>
    <t>TXN-10331</t>
  </si>
  <si>
    <t>TXN-10332</t>
  </si>
  <si>
    <t>TXN-10333</t>
  </si>
  <si>
    <t>TXN-10334</t>
  </si>
  <si>
    <t>TXN-10554</t>
  </si>
  <si>
    <t>TXN-10336</t>
  </si>
  <si>
    <t>C-1149</t>
  </si>
  <si>
    <t>TXN-10337</t>
  </si>
  <si>
    <t>TXN-10338</t>
  </si>
  <si>
    <t>TXN-10339</t>
  </si>
  <si>
    <t>TXN-10340</t>
  </si>
  <si>
    <t>TXN-10341</t>
  </si>
  <si>
    <t>C-1071</t>
  </si>
  <si>
    <t>TXN-10342</t>
  </si>
  <si>
    <t>C-1023</t>
  </si>
  <si>
    <t>TXN-10343</t>
  </si>
  <si>
    <t>TXN-10344</t>
  </si>
  <si>
    <t>TXN-10345</t>
  </si>
  <si>
    <t>TXN-10346</t>
  </si>
  <si>
    <t>TXN-10347</t>
  </si>
  <si>
    <t>C-1072</t>
  </si>
  <si>
    <t>TXN-10348</t>
  </si>
  <si>
    <t>TXN-10349</t>
  </si>
  <si>
    <t>TXN-10350</t>
  </si>
  <si>
    <t>TXN-10351</t>
  </si>
  <si>
    <t>TXN-10352</t>
  </si>
  <si>
    <t>TXN-10353</t>
  </si>
  <si>
    <t>TXN-10629</t>
  </si>
  <si>
    <t>TXN-10356</t>
  </si>
  <si>
    <t>TXN-10357</t>
  </si>
  <si>
    <t>TXN-10358</t>
  </si>
  <si>
    <t>TXN-10359</t>
  </si>
  <si>
    <t>TXN-10361</t>
  </si>
  <si>
    <t>C-1143</t>
  </si>
  <si>
    <t>TXN-10362</t>
  </si>
  <si>
    <t>TXN-10363</t>
  </si>
  <si>
    <t>C-1022</t>
  </si>
  <si>
    <t>TXN-10364</t>
  </si>
  <si>
    <t>C-1019</t>
  </si>
  <si>
    <t>TXN-10365</t>
  </si>
  <si>
    <t>TXN-10366</t>
  </si>
  <si>
    <t>TXN-10367</t>
  </si>
  <si>
    <t>C-1146</t>
  </si>
  <si>
    <t>TXN-10368</t>
  </si>
  <si>
    <t>TXN-10369</t>
  </si>
  <si>
    <t>TXN-10370</t>
  </si>
  <si>
    <t>TXN-10371</t>
  </si>
  <si>
    <t>TXN-10372</t>
  </si>
  <si>
    <t>TXN-10373</t>
  </si>
  <si>
    <t>C-1127</t>
  </si>
  <si>
    <t>TXN-10374</t>
  </si>
  <si>
    <t>TXN-10375</t>
  </si>
  <si>
    <t>TXN-10376</t>
  </si>
  <si>
    <t>TXN-10377</t>
  </si>
  <si>
    <t>TXN-10378</t>
  </si>
  <si>
    <t>C-1176</t>
  </si>
  <si>
    <t>TXN-10379</t>
  </si>
  <si>
    <t>TXN-10380</t>
  </si>
  <si>
    <t>TXN-10381</t>
  </si>
  <si>
    <t>TXN-10382</t>
  </si>
  <si>
    <t>TXN-10383</t>
  </si>
  <si>
    <t>TXN-10384</t>
  </si>
  <si>
    <t>TXN-10385</t>
  </si>
  <si>
    <t>TXN-10386</t>
  </si>
  <si>
    <t>TXN-10387</t>
  </si>
  <si>
    <t>TXN-10388</t>
  </si>
  <si>
    <t>TXN-10389</t>
  </si>
  <si>
    <t>TXN-10390</t>
  </si>
  <si>
    <t>TXN-10391</t>
  </si>
  <si>
    <t>TXN-10392</t>
  </si>
  <si>
    <t>C-1028</t>
  </si>
  <si>
    <t>TXN-10393</t>
  </si>
  <si>
    <t>TXN-10394</t>
  </si>
  <si>
    <t>TXN-10395</t>
  </si>
  <si>
    <t>TXN-10715</t>
  </si>
  <si>
    <t>TXN-10397</t>
  </si>
  <si>
    <t>TXN-10213</t>
  </si>
  <si>
    <t>TXN-10399</t>
  </si>
  <si>
    <t>TXN-10401</t>
  </si>
  <si>
    <t>TXN-10402</t>
  </si>
  <si>
    <t>TXN-10403</t>
  </si>
  <si>
    <t>C-1140</t>
  </si>
  <si>
    <t>TXN-10404</t>
  </si>
  <si>
    <t>TXN-10405</t>
  </si>
  <si>
    <t>TXN-10406</t>
  </si>
  <si>
    <t>TXN-10407</t>
  </si>
  <si>
    <t>TXN-10408</t>
  </si>
  <si>
    <t>TXN-10409</t>
  </si>
  <si>
    <t>TXN-10410</t>
  </si>
  <si>
    <t>TXN-10411</t>
  </si>
  <si>
    <t>C-1130</t>
  </si>
  <si>
    <t>TXN-10412</t>
  </si>
  <si>
    <t>TXN-10413</t>
  </si>
  <si>
    <t>TXN-10414</t>
  </si>
  <si>
    <t>TXN-10415</t>
  </si>
  <si>
    <t>TXN-10416</t>
  </si>
  <si>
    <t>TXN-10746</t>
  </si>
  <si>
    <t>TXN-10418</t>
  </si>
  <si>
    <t>TXN-10419</t>
  </si>
  <si>
    <t>TXN-10420</t>
  </si>
  <si>
    <t>TXN-10421</t>
  </si>
  <si>
    <t>TXN-10422</t>
  </si>
  <si>
    <t>TXN-10423</t>
  </si>
  <si>
    <t>TXN-10424</t>
  </si>
  <si>
    <t>TXN-10425</t>
  </si>
  <si>
    <t>TXN-10426</t>
  </si>
  <si>
    <t>TXN-10427</t>
  </si>
  <si>
    <t>TXN-10428</t>
  </si>
  <si>
    <t>TXN-10429</t>
  </si>
  <si>
    <t>TXN-10430</t>
  </si>
  <si>
    <t>C-1094</t>
  </si>
  <si>
    <t>TXN-10431</t>
  </si>
  <si>
    <t>TXN-10432</t>
  </si>
  <si>
    <t>TXN-10433</t>
  </si>
  <si>
    <t>TXN-10434</t>
  </si>
  <si>
    <t>TXN-10435</t>
  </si>
  <si>
    <t>TXN-10436</t>
  </si>
  <si>
    <t>TXN-10437</t>
  </si>
  <si>
    <t>TXN-10438</t>
  </si>
  <si>
    <t>TXN-10439</t>
  </si>
  <si>
    <t>TXN-10440</t>
  </si>
  <si>
    <t>C-1054</t>
  </si>
  <si>
    <t>TXN-10441</t>
  </si>
  <si>
    <t>TXN-10442</t>
  </si>
  <si>
    <t>TXN-10443</t>
  </si>
  <si>
    <t>TXN-10444</t>
  </si>
  <si>
    <t>TXN-10445</t>
  </si>
  <si>
    <t>TXN-10446</t>
  </si>
  <si>
    <t>TXN-10447</t>
  </si>
  <si>
    <t>TXN-10448</t>
  </si>
  <si>
    <t>TXN-10449</t>
  </si>
  <si>
    <t>TXN-10450</t>
  </si>
  <si>
    <t>TXN-10451</t>
  </si>
  <si>
    <t>C-1162</t>
  </si>
  <si>
    <t>TXN-10452</t>
  </si>
  <si>
    <t>TXN-10453</t>
  </si>
  <si>
    <t>TXN-10454</t>
  </si>
  <si>
    <t>TXN-10455</t>
  </si>
  <si>
    <t>TXN-10456</t>
  </si>
  <si>
    <t>TXN-10457</t>
  </si>
  <si>
    <t>TXN-10458</t>
  </si>
  <si>
    <t>TXN-10459</t>
  </si>
  <si>
    <t>TXN-10460</t>
  </si>
  <si>
    <t>TXN-10461</t>
  </si>
  <si>
    <t>TXN-10462</t>
  </si>
  <si>
    <t>C-1131</t>
  </si>
  <si>
    <t>TXN-10776</t>
  </si>
  <si>
    <t>TXN-10464</t>
  </si>
  <si>
    <t>TXN-10465</t>
  </si>
  <si>
    <t>TXN-10466</t>
  </si>
  <si>
    <t>TXN-10467</t>
  </si>
  <si>
    <t>TXN-10468</t>
  </si>
  <si>
    <t>TXN-10469</t>
  </si>
  <si>
    <t>TXN-10470</t>
  </si>
  <si>
    <t>TXN-10471</t>
  </si>
  <si>
    <t>TXN-10792</t>
  </si>
  <si>
    <t>C-1052</t>
  </si>
  <si>
    <t>TXN-10473</t>
  </si>
  <si>
    <t>TXN-10474</t>
  </si>
  <si>
    <t>TXN-10884</t>
  </si>
  <si>
    <t>TXN-10476</t>
  </si>
  <si>
    <t>TXN-10477</t>
  </si>
  <si>
    <t>TXN-10478</t>
  </si>
  <si>
    <t>TXN-10480</t>
  </si>
  <si>
    <t>TXN-10481</t>
  </si>
  <si>
    <t>TXN-10482</t>
  </si>
  <si>
    <t>TXN-10483</t>
  </si>
  <si>
    <t>TXN-10484</t>
  </si>
  <si>
    <t>TXN-10485</t>
  </si>
  <si>
    <t>TXN-10486</t>
  </si>
  <si>
    <t>TXN-10487</t>
  </si>
  <si>
    <t>TXN-10488</t>
  </si>
  <si>
    <t>TXN-10886</t>
  </si>
  <si>
    <t>TXN-10491</t>
  </si>
  <si>
    <t>TXN-10492</t>
  </si>
  <si>
    <t>TXN-10493</t>
  </si>
  <si>
    <t>TXN-10494</t>
  </si>
  <si>
    <t>TXN-10495</t>
  </si>
  <si>
    <t>TXN-10496</t>
  </si>
  <si>
    <t>C-1026</t>
  </si>
  <si>
    <t>TXN-10497</t>
  </si>
  <si>
    <t>C-1102</t>
  </si>
  <si>
    <t>TXN-10498</t>
  </si>
  <si>
    <t>TXN-10499</t>
  </si>
  <si>
    <t>TXN-10500</t>
  </si>
  <si>
    <t>TXN-10501</t>
  </si>
  <si>
    <t>TXN-10502</t>
  </si>
  <si>
    <t>TXN-10503</t>
  </si>
  <si>
    <t>TXN-10505</t>
  </si>
  <si>
    <t>C-1096</t>
  </si>
  <si>
    <t>TXN-10506</t>
  </si>
  <si>
    <t>TXN-10507</t>
  </si>
  <si>
    <t>TXN-10508</t>
  </si>
  <si>
    <t>TXN-10509</t>
  </si>
  <si>
    <t>TXN-10510</t>
  </si>
  <si>
    <t>TXN-10511</t>
  </si>
  <si>
    <t>TXN-10512</t>
  </si>
  <si>
    <t>TXN-10513</t>
  </si>
  <si>
    <t>TXN-10514</t>
  </si>
  <si>
    <t>C-1111</t>
  </si>
  <si>
    <t>TXN-10515</t>
  </si>
  <si>
    <t>TXN-10516</t>
  </si>
  <si>
    <t>TXN-10517</t>
  </si>
  <si>
    <t>TXN-10518</t>
  </si>
  <si>
    <t>TXN-10519</t>
  </si>
  <si>
    <t>C-1124</t>
  </si>
  <si>
    <t>TXN-10520</t>
  </si>
  <si>
    <t>TXN-10521</t>
  </si>
  <si>
    <t>TXN-10522</t>
  </si>
  <si>
    <t>C-1051</t>
  </si>
  <si>
    <t>TXN-10524</t>
  </si>
  <si>
    <t>TXN-10525</t>
  </si>
  <si>
    <t>TXN-10526</t>
  </si>
  <si>
    <t>TXN-10527</t>
  </si>
  <si>
    <t>TXN-10528</t>
  </si>
  <si>
    <t>TXN-10529</t>
  </si>
  <si>
    <t>TXN-10530</t>
  </si>
  <si>
    <t>TXN-10531</t>
  </si>
  <si>
    <t>TXN-10532</t>
  </si>
  <si>
    <t>TXN-10534</t>
  </si>
  <si>
    <t>TXN-10535</t>
  </si>
  <si>
    <t>TXN-10536</t>
  </si>
  <si>
    <t>TXN-10537</t>
  </si>
  <si>
    <t>TXN-10538</t>
  </si>
  <si>
    <t>C-1055</t>
  </si>
  <si>
    <t>TXN-10539</t>
  </si>
  <si>
    <t>TXN-10945</t>
  </si>
  <si>
    <t>TXN-10542</t>
  </si>
  <si>
    <t>TXN-10543</t>
  </si>
  <si>
    <t>TXN-10544</t>
  </si>
  <si>
    <t>TXN-10545</t>
  </si>
  <si>
    <t>TXN-10547</t>
  </si>
  <si>
    <t>TXN-10548</t>
  </si>
  <si>
    <t>C-1148</t>
  </si>
  <si>
    <t>TXN-10549</t>
  </si>
  <si>
    <t>TXN-10550</t>
  </si>
  <si>
    <t>TXN-10551</t>
  </si>
  <si>
    <t>TXN-10552</t>
  </si>
  <si>
    <t>C-1133</t>
  </si>
  <si>
    <t>TXN-10553</t>
  </si>
  <si>
    <t>TXN-10976</t>
  </si>
  <si>
    <t>TXN-10555</t>
  </si>
  <si>
    <t>TXN-10556</t>
  </si>
  <si>
    <t>C-1003</t>
  </si>
  <si>
    <t>TXN-10995</t>
  </si>
  <si>
    <t>TXN-10558</t>
  </si>
  <si>
    <t>TXN-10559</t>
  </si>
  <si>
    <t>TXN-10560</t>
  </si>
  <si>
    <t>TXN-10561</t>
  </si>
  <si>
    <t>TXN-10562</t>
  </si>
  <si>
    <t>TXN-10563</t>
  </si>
  <si>
    <t>TXN-10564</t>
  </si>
  <si>
    <t>C-1044</t>
  </si>
  <si>
    <t>TXN-10565</t>
  </si>
  <si>
    <t>TXN-10567</t>
  </si>
  <si>
    <t>TXN-10568</t>
  </si>
  <si>
    <t>TXN-10569</t>
  </si>
  <si>
    <t>TXN-10570</t>
  </si>
  <si>
    <t>TXN-10571</t>
  </si>
  <si>
    <t>C-1160</t>
  </si>
  <si>
    <t>TXN-10572</t>
  </si>
  <si>
    <t>TXN-10576</t>
  </si>
  <si>
    <t>TXN-10577</t>
  </si>
  <si>
    <t>TXN-10578</t>
  </si>
  <si>
    <t>TXN-10579</t>
  </si>
  <si>
    <t>TXN-10580</t>
  </si>
  <si>
    <t>TXN-10581</t>
  </si>
  <si>
    <t>TXN-10582</t>
  </si>
  <si>
    <t>TXN-10583</t>
  </si>
  <si>
    <t>TXN-10584</t>
  </si>
  <si>
    <t>TXN-10585</t>
  </si>
  <si>
    <t>C-1093</t>
  </si>
  <si>
    <t>TXN-10586</t>
  </si>
  <si>
    <t>TXN-10587</t>
  </si>
  <si>
    <t>TXN-10588</t>
  </si>
  <si>
    <t>TXN-10589</t>
  </si>
  <si>
    <t>TXN-10590</t>
  </si>
  <si>
    <t>TXN-10591</t>
  </si>
  <si>
    <t>TXN-10592</t>
  </si>
  <si>
    <t>TXN-10594</t>
  </si>
  <si>
    <t>TXN-10595</t>
  </si>
  <si>
    <t>TXN-10596</t>
  </si>
  <si>
    <t>TXN-10597</t>
  </si>
  <si>
    <t>TXN-10598</t>
  </si>
  <si>
    <t>TXN-10599</t>
  </si>
  <si>
    <t>TXN-10600</t>
  </si>
  <si>
    <t>TXN-10601</t>
  </si>
  <si>
    <t>TXN-10602</t>
  </si>
  <si>
    <t>TXN-10603</t>
  </si>
  <si>
    <t>TXN-10604</t>
  </si>
  <si>
    <t>TXN-10605</t>
  </si>
  <si>
    <t>TXN-10606</t>
  </si>
  <si>
    <t>TXN-10607</t>
  </si>
  <si>
    <t>TXN-10608</t>
  </si>
  <si>
    <t>TXN-10609</t>
  </si>
  <si>
    <t>TXN-10611</t>
  </si>
  <si>
    <t>TXN-10612</t>
  </si>
  <si>
    <t>TXN-10613</t>
  </si>
  <si>
    <t>TXN-10614</t>
  </si>
  <si>
    <t>TXN-10615</t>
  </si>
  <si>
    <t>TXN-10616</t>
  </si>
  <si>
    <t>TXN-10617</t>
  </si>
  <si>
    <t>TXN-10619</t>
  </si>
  <si>
    <t>TXN-10620</t>
  </si>
  <si>
    <t>TXN-10621</t>
  </si>
  <si>
    <t>TXN-10622</t>
  </si>
  <si>
    <t>TXN-10623</t>
  </si>
  <si>
    <t>TXN-10624</t>
  </si>
  <si>
    <t>TXN-10625</t>
  </si>
  <si>
    <t>C-1170</t>
  </si>
  <si>
    <t>TXN-10626</t>
  </si>
  <si>
    <t>TXN-10627</t>
  </si>
  <si>
    <t>TXN-10628</t>
  </si>
  <si>
    <t>TXN-11005</t>
  </si>
  <si>
    <t>TXN-10630</t>
  </si>
  <si>
    <t>TXN-10631</t>
  </si>
  <si>
    <t>C-1185</t>
  </si>
  <si>
    <t>TXN-10632</t>
  </si>
  <si>
    <t>C-1013</t>
  </si>
  <si>
    <t>TXN-10633</t>
  </si>
  <si>
    <t>TXN-10634</t>
  </si>
  <si>
    <t>TXN-10635</t>
  </si>
  <si>
    <t>TXN-10636</t>
  </si>
  <si>
    <t>TXN-10637</t>
  </si>
  <si>
    <t>TXN-10638</t>
  </si>
  <si>
    <t>TXN-10639</t>
  </si>
  <si>
    <t>TXN-10640</t>
  </si>
  <si>
    <t>TXN-10641</t>
  </si>
  <si>
    <t>TXN-10642</t>
  </si>
  <si>
    <t>TXN-10643</t>
  </si>
  <si>
    <t>TXN-10644</t>
  </si>
  <si>
    <t>TXN-10645</t>
  </si>
  <si>
    <t>TXN-10646</t>
  </si>
  <si>
    <t>TXN-10647</t>
  </si>
  <si>
    <t>TXN-10648</t>
  </si>
  <si>
    <t>TXN-10649</t>
  </si>
  <si>
    <t>TXN-10650</t>
  </si>
  <si>
    <t>TXN-10651</t>
  </si>
  <si>
    <t>TXN-10652</t>
  </si>
  <si>
    <t>TXN-10653</t>
  </si>
  <si>
    <t>TXN-10654</t>
  </si>
  <si>
    <t>TXN-10655</t>
  </si>
  <si>
    <t>TXN-10656</t>
  </si>
  <si>
    <t>TXN-10657</t>
  </si>
  <si>
    <t>TXN-10658</t>
  </si>
  <si>
    <t>TXN-10659</t>
  </si>
  <si>
    <t>TXN-10660</t>
  </si>
  <si>
    <t>TXN-10661</t>
  </si>
  <si>
    <t>TXN-10662</t>
  </si>
  <si>
    <t>TXN-10663</t>
  </si>
  <si>
    <t>TXN-10664</t>
  </si>
  <si>
    <t>TXN-10665</t>
  </si>
  <si>
    <t>TXN-10666</t>
  </si>
  <si>
    <t>TXN-10667</t>
  </si>
  <si>
    <t>TXN-10668</t>
  </si>
  <si>
    <t>TXN-10669</t>
  </si>
  <si>
    <t>TXN-10672</t>
  </si>
  <si>
    <t>TXN-10673</t>
  </si>
  <si>
    <t>TXN-10674</t>
  </si>
  <si>
    <t>C-1042</t>
  </si>
  <si>
    <t>TXN-10675</t>
  </si>
  <si>
    <t>TXN-10676</t>
  </si>
  <si>
    <t>TXN-10677</t>
  </si>
  <si>
    <t>TXN-10678</t>
  </si>
  <si>
    <t>TXN-10679</t>
  </si>
  <si>
    <t>TXN-10680</t>
  </si>
  <si>
    <t>TXN-10681</t>
  </si>
  <si>
    <t>TXN-10682</t>
  </si>
  <si>
    <t>TXN-10683</t>
  </si>
  <si>
    <t>TXN-10684</t>
  </si>
  <si>
    <t>TXN-10685</t>
  </si>
  <si>
    <t>TXN-10686</t>
  </si>
  <si>
    <t>TXN-10687</t>
  </si>
  <si>
    <t>TXN-10688</t>
  </si>
  <si>
    <t>TXN-10690</t>
  </si>
  <si>
    <t>TXN-10691</t>
  </si>
  <si>
    <t>C-1086</t>
  </si>
  <si>
    <t>TXN-10693</t>
  </si>
  <si>
    <t>TXN-10694</t>
  </si>
  <si>
    <t>TXN-10695</t>
  </si>
  <si>
    <t>TXN-10696</t>
  </si>
  <si>
    <t>TXN-10698</t>
  </si>
  <si>
    <t>TXN-10699</t>
  </si>
  <si>
    <t>TXN-10700</t>
  </si>
  <si>
    <t>TXN-10701</t>
  </si>
  <si>
    <t>TXN-10702</t>
  </si>
  <si>
    <t>TXN-10703</t>
  </si>
  <si>
    <t>TXN-10704</t>
  </si>
  <si>
    <t>TXN-10705</t>
  </si>
  <si>
    <t>TXN-10706</t>
  </si>
  <si>
    <t>TXN-10707</t>
  </si>
  <si>
    <t>TXN-10708</t>
  </si>
  <si>
    <t>TXN-10709</t>
  </si>
  <si>
    <t>TXN-11288</t>
  </si>
  <si>
    <t>TXN-10711</t>
  </si>
  <si>
    <t>TXN-10712</t>
  </si>
  <si>
    <t>TXN-10713</t>
  </si>
  <si>
    <t>TXN-10714</t>
  </si>
  <si>
    <t>TXN-11072</t>
  </si>
  <si>
    <t>TXN-10716</t>
  </si>
  <si>
    <t>TXN-10717</t>
  </si>
  <si>
    <t>TXN-10718</t>
  </si>
  <si>
    <t>TXN-11084</t>
  </si>
  <si>
    <t>TXN-10720</t>
  </si>
  <si>
    <t>TXN-10721</t>
  </si>
  <si>
    <t>TXN-10722</t>
  </si>
  <si>
    <t>TXN-10723</t>
  </si>
  <si>
    <t>TXN-10724</t>
  </si>
  <si>
    <t>TXN-10725</t>
  </si>
  <si>
    <t>TXN-10726</t>
  </si>
  <si>
    <t>TXN-10727</t>
  </si>
  <si>
    <t>TXN-10729</t>
  </si>
  <si>
    <t>TXN-10730</t>
  </si>
  <si>
    <t>TXN-10731</t>
  </si>
  <si>
    <t>TXN-10732</t>
  </si>
  <si>
    <t>TXN-10733</t>
  </si>
  <si>
    <t>TXN-10734</t>
  </si>
  <si>
    <t>TXN-10735</t>
  </si>
  <si>
    <t>TXN-10736</t>
  </si>
  <si>
    <t>TXN-10737</t>
  </si>
  <si>
    <t>TXN-10738</t>
  </si>
  <si>
    <t>TXN-10739</t>
  </si>
  <si>
    <t>TXN-10740</t>
  </si>
  <si>
    <t>TXN-10741</t>
  </si>
  <si>
    <t>TXN-10742</t>
  </si>
  <si>
    <t>TXN-10743</t>
  </si>
  <si>
    <t>TXN-10744</t>
  </si>
  <si>
    <t>TXN-10745</t>
  </si>
  <si>
    <t>TXN-11225</t>
  </si>
  <si>
    <t>TXN-10747</t>
  </si>
  <si>
    <t>TXN-10748</t>
  </si>
  <si>
    <t>TXN-10749</t>
  </si>
  <si>
    <t>TXN-10750</t>
  </si>
  <si>
    <t>TXN-10751</t>
  </si>
  <si>
    <t>TXN-10752</t>
  </si>
  <si>
    <t>TXN-10753</t>
  </si>
  <si>
    <t>TXN-10754</t>
  </si>
  <si>
    <t>TXN-10755</t>
  </si>
  <si>
    <t>TXN-10756</t>
  </si>
  <si>
    <t>TXN-10757</t>
  </si>
  <si>
    <t>TXN-10758</t>
  </si>
  <si>
    <t>TXN-10759</t>
  </si>
  <si>
    <t>TXN-11242</t>
  </si>
  <si>
    <t>TXN-10761</t>
  </si>
  <si>
    <t>TXN-10762</t>
  </si>
  <si>
    <t>TXN-10763</t>
  </si>
  <si>
    <t>TXN-10764</t>
  </si>
  <si>
    <t>TXN-10765</t>
  </si>
  <si>
    <t>TXN-10766</t>
  </si>
  <si>
    <t>TXN-10767</t>
  </si>
  <si>
    <t>TXN-10768</t>
  </si>
  <si>
    <t>TXN-10769</t>
  </si>
  <si>
    <t>TXN-10770</t>
  </si>
  <si>
    <t>TXN-10771</t>
  </si>
  <si>
    <t>TXN-10772</t>
  </si>
  <si>
    <t>TXN-10773</t>
  </si>
  <si>
    <t>TXN-10774</t>
  </si>
  <si>
    <t>TXN-10775</t>
  </si>
  <si>
    <t>TXN-11261</t>
  </si>
  <si>
    <t>TXN-10777</t>
  </si>
  <si>
    <t>TXN-10778</t>
  </si>
  <si>
    <t>TXN-10779</t>
  </si>
  <si>
    <t>TXN-10781</t>
  </si>
  <si>
    <t>TXN-10782</t>
  </si>
  <si>
    <t>TXN-10783</t>
  </si>
  <si>
    <t>TXN-10785</t>
  </si>
  <si>
    <t>TXN-10786</t>
  </si>
  <si>
    <t>TXN-10787</t>
  </si>
  <si>
    <t>C-1001</t>
  </si>
  <si>
    <t>TXN-10789</t>
  </si>
  <si>
    <t>TXN-10790</t>
  </si>
  <si>
    <t>TXN-10791</t>
  </si>
  <si>
    <t>TXN-11263</t>
  </si>
  <si>
    <t>TXN-10793</t>
  </si>
  <si>
    <t>TXN-10795</t>
  </si>
  <si>
    <t>TXN-10796</t>
  </si>
  <si>
    <t>TXN-10797</t>
  </si>
  <si>
    <t>TXN-10798</t>
  </si>
  <si>
    <t>TXN-10799</t>
  </si>
  <si>
    <t>TXN-10800</t>
  </si>
  <si>
    <t>TXN-10801</t>
  </si>
  <si>
    <t>TXN-10802</t>
  </si>
  <si>
    <t>TXN-10803</t>
  </si>
  <si>
    <t>TXN-10804</t>
  </si>
  <si>
    <t>TXN-10805</t>
  </si>
  <si>
    <t>TXN-10807</t>
  </si>
  <si>
    <t>TXN-10808</t>
  </si>
  <si>
    <t>TXN-10809</t>
  </si>
  <si>
    <t>TXN-10810</t>
  </si>
  <si>
    <t>TXN-10811</t>
  </si>
  <si>
    <t>TXN-10812</t>
  </si>
  <si>
    <t>TXN-10813</t>
  </si>
  <si>
    <t>TXN-10814</t>
  </si>
  <si>
    <t>TXN-10815</t>
  </si>
  <si>
    <t>TXN-10816</t>
  </si>
  <si>
    <t>TXN-10817</t>
  </si>
  <si>
    <t>TXN-10818</t>
  </si>
  <si>
    <t>TXN-10819</t>
  </si>
  <si>
    <t>TXN-10820</t>
  </si>
  <si>
    <t>TXN-10821</t>
  </si>
  <si>
    <t>TXN-10822</t>
  </si>
  <si>
    <t>TXN-10823</t>
  </si>
  <si>
    <t>TXN-10824</t>
  </si>
  <si>
    <t>TXN-10825</t>
  </si>
  <si>
    <t>TXN-10826</t>
  </si>
  <si>
    <t>TXN-10827</t>
  </si>
  <si>
    <t>TXN-10828</t>
  </si>
  <si>
    <t>TXN-10829</t>
  </si>
  <si>
    <t>TXN-10830</t>
  </si>
  <si>
    <t>TXN-10831</t>
  </si>
  <si>
    <t>TXN-10832</t>
  </si>
  <si>
    <t>TXN-10833</t>
  </si>
  <si>
    <t>TXN-10835</t>
  </si>
  <si>
    <t>TXN-10836</t>
  </si>
  <si>
    <t>TXN-10837</t>
  </si>
  <si>
    <t>TXN-10838</t>
  </si>
  <si>
    <t>TXN-10839</t>
  </si>
  <si>
    <t>TXN-10840</t>
  </si>
  <si>
    <t>TXN-10841</t>
  </si>
  <si>
    <t>TXN-10842</t>
  </si>
  <si>
    <t>TXN-10843</t>
  </si>
  <si>
    <t>TXN-10844</t>
  </si>
  <si>
    <t>TXN-10845</t>
  </si>
  <si>
    <t>TXN-10846</t>
  </si>
  <si>
    <t>TXN-10847</t>
  </si>
  <si>
    <t>TXN-10848</t>
  </si>
  <si>
    <t>TXN-10849</t>
  </si>
  <si>
    <t>TXN-10850</t>
  </si>
  <si>
    <t>TXN-10851</t>
  </si>
  <si>
    <t>TXN-10852</t>
  </si>
  <si>
    <t>TXN-10853</t>
  </si>
  <si>
    <t>TXN-10854</t>
  </si>
  <si>
    <t>TXN-10855</t>
  </si>
  <si>
    <t>TXN-10856</t>
  </si>
  <si>
    <t>TXN-10857</t>
  </si>
  <si>
    <t>TXN-10858</t>
  </si>
  <si>
    <t>TXN-10859</t>
  </si>
  <si>
    <t>TXN-10860</t>
  </si>
  <si>
    <t>TXN-10861</t>
  </si>
  <si>
    <t>TXN-10862</t>
  </si>
  <si>
    <t>TXN-10863</t>
  </si>
  <si>
    <t>TXN-10864</t>
  </si>
  <si>
    <t>TXN-10865</t>
  </si>
  <si>
    <t>TXN-10866</t>
  </si>
  <si>
    <t>TXN-10867</t>
  </si>
  <si>
    <t>TXN-10868</t>
  </si>
  <si>
    <t>TXN-10869</t>
  </si>
  <si>
    <t>TXN-10870</t>
  </si>
  <si>
    <t>TXN-10871</t>
  </si>
  <si>
    <t>TXN-10872</t>
  </si>
  <si>
    <t>TXN-10873</t>
  </si>
  <si>
    <t>TXN-10874</t>
  </si>
  <si>
    <t>TXN-10875</t>
  </si>
  <si>
    <t>C-1103</t>
  </si>
  <si>
    <t>TXN-10876</t>
  </si>
  <si>
    <t>TXN-10877</t>
  </si>
  <si>
    <t>TXN-10878</t>
  </si>
  <si>
    <t>TXN-10879</t>
  </si>
  <si>
    <t>C-1046</t>
  </si>
  <si>
    <t>TXN-11282</t>
  </si>
  <si>
    <t>TXN-10881</t>
  </si>
  <si>
    <t>TXN-10882</t>
  </si>
  <si>
    <t>TXN-10883</t>
  </si>
  <si>
    <t>TXN-10475</t>
  </si>
  <si>
    <t>TXN-10885</t>
  </si>
  <si>
    <t>TXN-10887</t>
  </si>
  <si>
    <t>TXN-10888</t>
  </si>
  <si>
    <t>TXN-10889</t>
  </si>
  <si>
    <t>TXN-10891</t>
  </si>
  <si>
    <t>TXN-10892</t>
  </si>
  <si>
    <t>TXN-10894</t>
  </si>
  <si>
    <t>TXN-10895</t>
  </si>
  <si>
    <t>TXN-10896</t>
  </si>
  <si>
    <t>TXN-10897</t>
  </si>
  <si>
    <t>TXN-10898</t>
  </si>
  <si>
    <t>TXN-10899</t>
  </si>
  <si>
    <t>TXN-10900</t>
  </si>
  <si>
    <t>TXN-10901</t>
  </si>
  <si>
    <t>TXN-10902</t>
  </si>
  <si>
    <t>TXN-10903</t>
  </si>
  <si>
    <t>TXN-10904</t>
  </si>
  <si>
    <t>TXN-10905</t>
  </si>
  <si>
    <t>TXN-10906</t>
  </si>
  <si>
    <t>TXN-10907</t>
  </si>
  <si>
    <t>TXN-10908</t>
  </si>
  <si>
    <t>TXN-10909</t>
  </si>
  <si>
    <t>TXN-10910</t>
  </si>
  <si>
    <t>TXN-11248</t>
  </si>
  <si>
    <t>TXN-10913</t>
  </si>
  <si>
    <t>TXN-10914</t>
  </si>
  <si>
    <t>TXN-10915</t>
  </si>
  <si>
    <t>TXN-10916</t>
  </si>
  <si>
    <t>TXN-10917</t>
  </si>
  <si>
    <t>TXN-10918</t>
  </si>
  <si>
    <t>TXN-10919</t>
  </si>
  <si>
    <t>TXN-10920</t>
  </si>
  <si>
    <t>TXN-10921</t>
  </si>
  <si>
    <t>TXN-10922</t>
  </si>
  <si>
    <t>TXN-10923</t>
  </si>
  <si>
    <t>TXN-10924</t>
  </si>
  <si>
    <t>TXN-10925</t>
  </si>
  <si>
    <t>TXN-10926</t>
  </si>
  <si>
    <t>TXN-10927</t>
  </si>
  <si>
    <t>TXN-10928</t>
  </si>
  <si>
    <t>TXN-10929</t>
  </si>
  <si>
    <t>C-1018</t>
  </si>
  <si>
    <t>TXN-10930</t>
  </si>
  <si>
    <t>TXN-10931</t>
  </si>
  <si>
    <t>TXN-10932</t>
  </si>
  <si>
    <t>TXN-10933</t>
  </si>
  <si>
    <t>TXN-10934</t>
  </si>
  <si>
    <t>TXN-10935</t>
  </si>
  <si>
    <t>TXN-10936</t>
  </si>
  <si>
    <t>TXN-10937</t>
  </si>
  <si>
    <t>TXN-10938</t>
  </si>
  <si>
    <t>TXN-10939</t>
  </si>
  <si>
    <t>TXN-10940</t>
  </si>
  <si>
    <t>TXN-10941</t>
  </si>
  <si>
    <t>TXN-10942</t>
  </si>
  <si>
    <t>TXN-10943</t>
  </si>
  <si>
    <t>TXN-10944</t>
  </si>
  <si>
    <t>TXN-11281</t>
  </si>
  <si>
    <t>TXN-10947</t>
  </si>
  <si>
    <t>TXN-10948</t>
  </si>
  <si>
    <t>TXN-10949</t>
  </si>
  <si>
    <t>TXN-10950</t>
  </si>
  <si>
    <t>TXN-10951</t>
  </si>
  <si>
    <t>TXN-10952</t>
  </si>
  <si>
    <t>TXN-10953</t>
  </si>
  <si>
    <t>TXN-10954</t>
  </si>
  <si>
    <t>TXN-10955</t>
  </si>
  <si>
    <t>TXN-10956</t>
  </si>
  <si>
    <t>TXN-10957</t>
  </si>
  <si>
    <t>TXN-10958</t>
  </si>
  <si>
    <t>TXN-10959</t>
  </si>
  <si>
    <t>TXN-10960</t>
  </si>
  <si>
    <t>TXN-10961</t>
  </si>
  <si>
    <t>TXN-10962</t>
  </si>
  <si>
    <t>TXN-10964</t>
  </si>
  <si>
    <t>TXN-10965</t>
  </si>
  <si>
    <t>C-1039</t>
  </si>
  <si>
    <t>TXN-10967</t>
  </si>
  <si>
    <t>TXN-10968</t>
  </si>
  <si>
    <t>TXN-10969</t>
  </si>
  <si>
    <t>TXN-10970</t>
  </si>
  <si>
    <t>TXN-10971</t>
  </si>
  <si>
    <t>TXN-10972</t>
  </si>
  <si>
    <t>TXN-10973</t>
  </si>
  <si>
    <t>TXN-10974</t>
  </si>
  <si>
    <t>TXN-10975</t>
  </si>
  <si>
    <t>TXN-11287</t>
  </si>
  <si>
    <t>TXN-10977</t>
  </si>
  <si>
    <t>TXN-10978</t>
  </si>
  <si>
    <t>TXN-10979</t>
  </si>
  <si>
    <t>TXN-10980</t>
  </si>
  <si>
    <t>TXN-10981</t>
  </si>
  <si>
    <t>TXN-10982</t>
  </si>
  <si>
    <t>TXN-10983</t>
  </si>
  <si>
    <t>TXN-10984</t>
  </si>
  <si>
    <t>TXN-10985</t>
  </si>
  <si>
    <t>TXN-10986</t>
  </si>
  <si>
    <t>TXN-10988</t>
  </si>
  <si>
    <t>TXN-10989</t>
  </si>
  <si>
    <t>TXN-10990</t>
  </si>
  <si>
    <t>TXN-10991</t>
  </si>
  <si>
    <t>TXN-10992</t>
  </si>
  <si>
    <t>TXN-10993</t>
  </si>
  <si>
    <t>TXN-10994</t>
  </si>
  <si>
    <t>TXN-10114</t>
  </si>
  <si>
    <t>TXN-10996</t>
  </si>
  <si>
    <t>TXN-10997</t>
  </si>
  <si>
    <t>TXN-10998</t>
  </si>
  <si>
    <t>TXN-10999</t>
  </si>
  <si>
    <t>TXN-11000</t>
  </si>
  <si>
    <t>TXN-11001</t>
  </si>
  <si>
    <t>TXN-11002</t>
  </si>
  <si>
    <t>TXN-11004</t>
  </si>
  <si>
    <t>TXN-10396</t>
  </si>
  <si>
    <t>TXN-11006</t>
  </si>
  <si>
    <t>TXN-11007</t>
  </si>
  <si>
    <t>TXN-11008</t>
  </si>
  <si>
    <t>TXN-11009</t>
  </si>
  <si>
    <t>TXN-11010</t>
  </si>
  <si>
    <t>TXN-11011</t>
  </si>
  <si>
    <t>TXN-11012</t>
  </si>
  <si>
    <t>TXN-11013</t>
  </si>
  <si>
    <t>C-1097</t>
  </si>
  <si>
    <t>TXN-11014</t>
  </si>
  <si>
    <t>TXN-11015</t>
  </si>
  <si>
    <t>TXN-11016</t>
  </si>
  <si>
    <t>TXN-11017</t>
  </si>
  <si>
    <t>C-1107</t>
  </si>
  <si>
    <t>TXN-11018</t>
  </si>
  <si>
    <t>TXN-11019</t>
  </si>
  <si>
    <t>TXN-11020</t>
  </si>
  <si>
    <t>TXN-11021</t>
  </si>
  <si>
    <t>TXN-11022</t>
  </si>
  <si>
    <t>TXN-11023</t>
  </si>
  <si>
    <t>TXN-11024</t>
  </si>
  <si>
    <t>TXN-11025</t>
  </si>
  <si>
    <t>TXN-11027</t>
  </si>
  <si>
    <t>TXN-11028</t>
  </si>
  <si>
    <t>TXN-11029</t>
  </si>
  <si>
    <t>TXN-11030</t>
  </si>
  <si>
    <t>TXN-11031</t>
  </si>
  <si>
    <t>TXN-11032</t>
  </si>
  <si>
    <t>TXN-11033</t>
  </si>
  <si>
    <t>TXN-11034</t>
  </si>
  <si>
    <t>TXN-11035</t>
  </si>
  <si>
    <t>TXN-11037</t>
  </si>
  <si>
    <t>TXN-11038</t>
  </si>
  <si>
    <t>TXN-11039</t>
  </si>
  <si>
    <t>TXN-11040</t>
  </si>
  <si>
    <t>TXN-11041</t>
  </si>
  <si>
    <t>TXN-11042</t>
  </si>
  <si>
    <t>TXN-11043</t>
  </si>
  <si>
    <t>TXN-11044</t>
  </si>
  <si>
    <t>TXN-11045</t>
  </si>
  <si>
    <t>TXN-11046</t>
  </si>
  <si>
    <t>TXN-11047</t>
  </si>
  <si>
    <t>TXN-11048</t>
  </si>
  <si>
    <t>TXN-11049</t>
  </si>
  <si>
    <t>TXN-11050</t>
  </si>
  <si>
    <t>TXN-11051</t>
  </si>
  <si>
    <t>TXN-11052</t>
  </si>
  <si>
    <t>TXN-11053</t>
  </si>
  <si>
    <t>TXN-11054</t>
  </si>
  <si>
    <t>TXN-11055</t>
  </si>
  <si>
    <t>TXN-11056</t>
  </si>
  <si>
    <t>TXN-11057</t>
  </si>
  <si>
    <t>TXN-11058</t>
  </si>
  <si>
    <t>TXN-11059</t>
  </si>
  <si>
    <t>TXN-11060</t>
  </si>
  <si>
    <t>TXN-11061</t>
  </si>
  <si>
    <t>TXN-10463</t>
  </si>
  <si>
    <t>TXN-11063</t>
  </si>
  <si>
    <t>TXN-11064</t>
  </si>
  <si>
    <t>TXN-11065</t>
  </si>
  <si>
    <t>TXN-11066</t>
  </si>
  <si>
    <t>TXN-11067</t>
  </si>
  <si>
    <t>TXN-11068</t>
  </si>
  <si>
    <t>TXN-11069</t>
  </si>
  <si>
    <t>TXN-11070</t>
  </si>
  <si>
    <t>TXN-11071</t>
  </si>
  <si>
    <t>TXN-10710</t>
  </si>
  <si>
    <t>TXN-11073</t>
  </si>
  <si>
    <t>TXN-11074</t>
  </si>
  <si>
    <t>TXN-11075</t>
  </si>
  <si>
    <t>TXN-11076</t>
  </si>
  <si>
    <t>TXN-11077</t>
  </si>
  <si>
    <t>TXN-11078</t>
  </si>
  <si>
    <t>TXN-11079</t>
  </si>
  <si>
    <t>TXN-11080</t>
  </si>
  <si>
    <t>TXN-11081</t>
  </si>
  <si>
    <t>TXN-11082</t>
  </si>
  <si>
    <t>TXN-11083</t>
  </si>
  <si>
    <t>TXN-10880</t>
  </si>
  <si>
    <t>TXN-11085</t>
  </si>
  <si>
    <t>TXN-11086</t>
  </si>
  <si>
    <t>TXN-11087</t>
  </si>
  <si>
    <t>TXN-11088</t>
  </si>
  <si>
    <t>TXN-11089</t>
  </si>
  <si>
    <t>TXN-11090</t>
  </si>
  <si>
    <t>TXN-11091</t>
  </si>
  <si>
    <t>TXN-11092</t>
  </si>
  <si>
    <t>TXN-11093</t>
  </si>
  <si>
    <t>TXN-11094</t>
  </si>
  <si>
    <t>TXN-11095</t>
  </si>
  <si>
    <t>TXN-11097</t>
  </si>
  <si>
    <t>TXN-11098</t>
  </si>
  <si>
    <t>TXN-11099</t>
  </si>
  <si>
    <t>TXN-11100</t>
  </si>
  <si>
    <t>TXN-11101</t>
  </si>
  <si>
    <t>TXN-11102</t>
  </si>
  <si>
    <t>TXN-11104</t>
  </si>
  <si>
    <t>TXN-11105</t>
  </si>
  <si>
    <t>TXN-11106</t>
  </si>
  <si>
    <t>TXN-11107</t>
  </si>
  <si>
    <t>TXN-11108</t>
  </si>
  <si>
    <t>TXN-11109</t>
  </si>
  <si>
    <t>TXN-11110</t>
  </si>
  <si>
    <t>TXN-11111</t>
  </si>
  <si>
    <t>TXN-11112</t>
  </si>
  <si>
    <t>TXN-11113</t>
  </si>
  <si>
    <t>TXN-11114</t>
  </si>
  <si>
    <t>TXN-10719</t>
  </si>
  <si>
    <t>TXN-11116</t>
  </si>
  <si>
    <t>TXN-11117</t>
  </si>
  <si>
    <t>TXN-11118</t>
  </si>
  <si>
    <t>TXN-11119</t>
  </si>
  <si>
    <t>TXN-11120</t>
  </si>
  <si>
    <t>TXN-11121</t>
  </si>
  <si>
    <t>TXN-11122</t>
  </si>
  <si>
    <t>TXN-11123</t>
  </si>
  <si>
    <t>TXN-11124</t>
  </si>
  <si>
    <t>TXN-11126</t>
  </si>
  <si>
    <t>TXN-11127</t>
  </si>
  <si>
    <t>TXN-11128</t>
  </si>
  <si>
    <t>TXN-11129</t>
  </si>
  <si>
    <t>TXN-11130</t>
  </si>
  <si>
    <t>TXN-11131</t>
  </si>
  <si>
    <t>TXN-11134</t>
  </si>
  <si>
    <t>TXN-11135</t>
  </si>
  <si>
    <t>TXN-11136</t>
  </si>
  <si>
    <t>TXN-11137</t>
  </si>
  <si>
    <t>TXN-11138</t>
  </si>
  <si>
    <t>TXN-11139</t>
  </si>
  <si>
    <t>TXN-11140</t>
  </si>
  <si>
    <t>TXN-11141</t>
  </si>
  <si>
    <t>TXN-11142</t>
  </si>
  <si>
    <t>TXN-11143</t>
  </si>
  <si>
    <t>TXN-11144</t>
  </si>
  <si>
    <t>TXN-11145</t>
  </si>
  <si>
    <t>TXN-11146</t>
  </si>
  <si>
    <t>TXN-11147</t>
  </si>
  <si>
    <t>TXN-11148</t>
  </si>
  <si>
    <t>TXN-11149</t>
  </si>
  <si>
    <t>TXN-11150</t>
  </si>
  <si>
    <t>TXN-11151</t>
  </si>
  <si>
    <t>TXN-11152</t>
  </si>
  <si>
    <t>TXN-11153</t>
  </si>
  <si>
    <t>TXN-11154</t>
  </si>
  <si>
    <t>TXN-11155</t>
  </si>
  <si>
    <t>TXN-11156</t>
  </si>
  <si>
    <t>TXN-11157</t>
  </si>
  <si>
    <t>TXN-11158</t>
  </si>
  <si>
    <t>TXN-11159</t>
  </si>
  <si>
    <t>TXN-11160</t>
  </si>
  <si>
    <t>TXN-11161</t>
  </si>
  <si>
    <t>TXN-11162</t>
  </si>
  <si>
    <t>TXN-11163</t>
  </si>
  <si>
    <t>TXN-11164</t>
  </si>
  <si>
    <t>TXN-11165</t>
  </si>
  <si>
    <t>TXN-11166</t>
  </si>
  <si>
    <t>TXN-11167</t>
  </si>
  <si>
    <t>TXN-11168</t>
  </si>
  <si>
    <t>TXN-11169</t>
  </si>
  <si>
    <t>C-1105</t>
  </si>
  <si>
    <t>TXN-11170</t>
  </si>
  <si>
    <t>TXN-11171</t>
  </si>
  <si>
    <t>TXN-11172</t>
  </si>
  <si>
    <t>TXN-11173</t>
  </si>
  <si>
    <t>TXN-11174</t>
  </si>
  <si>
    <t>TXN-11175</t>
  </si>
  <si>
    <t>TXN-11176</t>
  </si>
  <si>
    <t>TXN-11177</t>
  </si>
  <si>
    <t>TXN-11178</t>
  </si>
  <si>
    <t>TXN-11179</t>
  </si>
  <si>
    <t>TXN-11180</t>
  </si>
  <si>
    <t>TXN-11181</t>
  </si>
  <si>
    <t>TXN-11182</t>
  </si>
  <si>
    <t>TXN-11184</t>
  </si>
  <si>
    <t>TXN-11185</t>
  </si>
  <si>
    <t>TXN-11186</t>
  </si>
  <si>
    <t>TXN-11187</t>
  </si>
  <si>
    <t>TXN-11188</t>
  </si>
  <si>
    <t>TXN-11189</t>
  </si>
  <si>
    <t>TXN-11190</t>
  </si>
  <si>
    <t>TXN-11191</t>
  </si>
  <si>
    <t>TXN-11192</t>
  </si>
  <si>
    <t>TXN-11193</t>
  </si>
  <si>
    <t>TXN-11194</t>
  </si>
  <si>
    <t>TXN-11195</t>
  </si>
  <si>
    <t>TXN-11196</t>
  </si>
  <si>
    <t>TXN-11197</t>
  </si>
  <si>
    <t>TXN-11198</t>
  </si>
  <si>
    <t>TXN-11199</t>
  </si>
  <si>
    <t>TXN-11200</t>
  </si>
  <si>
    <t>TXN-11201</t>
  </si>
  <si>
    <t>TXN-11202</t>
  </si>
  <si>
    <t>TXN-11203</t>
  </si>
  <si>
    <t>TXN-11204</t>
  </si>
  <si>
    <t>TXN-11205</t>
  </si>
  <si>
    <t>TXN-11206</t>
  </si>
  <si>
    <t>TXN-11207</t>
  </si>
  <si>
    <t>TXN-11208</t>
  </si>
  <si>
    <t>TXN-11209</t>
  </si>
  <si>
    <t>TXN-11211</t>
  </si>
  <si>
    <t>TXN-11212</t>
  </si>
  <si>
    <t>TXN-11213</t>
  </si>
  <si>
    <t>TXN-11214</t>
  </si>
  <si>
    <t>TXN-11215</t>
  </si>
  <si>
    <t>TXN-11216</t>
  </si>
  <si>
    <t>TXN-11217</t>
  </si>
  <si>
    <t>TXN-11219</t>
  </si>
  <si>
    <t>TXN-11220</t>
  </si>
  <si>
    <t>TXN-11221</t>
  </si>
  <si>
    <t>TXN-11222</t>
  </si>
  <si>
    <t>TXN-11223</t>
  </si>
  <si>
    <t>TXN-11224</t>
  </si>
  <si>
    <t>TXN-10066</t>
  </si>
  <si>
    <t>TXN-11226</t>
  </si>
  <si>
    <t>TXN-11227</t>
  </si>
  <si>
    <t>TXN-11228</t>
  </si>
  <si>
    <t>TXN-11229</t>
  </si>
  <si>
    <t>TXN-11230</t>
  </si>
  <si>
    <t>TXN-11231</t>
  </si>
  <si>
    <t>TXN-10236</t>
  </si>
  <si>
    <t>TXN-11233</t>
  </si>
  <si>
    <t>TXN-11234</t>
  </si>
  <si>
    <t>TXN-11235</t>
  </si>
  <si>
    <t>TXN-11236</t>
  </si>
  <si>
    <t>TXN-11237</t>
  </si>
  <si>
    <t>TXN-11238</t>
  </si>
  <si>
    <t>TXN-11239</t>
  </si>
  <si>
    <t>TXN-11240</t>
  </si>
  <si>
    <t>TXN-11241</t>
  </si>
  <si>
    <t>TXN-10911</t>
  </si>
  <si>
    <t>TXN-11243</t>
  </si>
  <si>
    <t>TXN-10074</t>
  </si>
  <si>
    <t>TXN-11245</t>
  </si>
  <si>
    <t>TXN-11246</t>
  </si>
  <si>
    <t>TXN-11247</t>
  </si>
  <si>
    <t>TXN-11249</t>
  </si>
  <si>
    <t>TXN-11250</t>
  </si>
  <si>
    <t>TXN-11251</t>
  </si>
  <si>
    <t>TXN-11252</t>
  </si>
  <si>
    <t>TXN-11254</t>
  </si>
  <si>
    <t>TXN-11255</t>
  </si>
  <si>
    <t>TXN-11256</t>
  </si>
  <si>
    <t>TXN-11257</t>
  </si>
  <si>
    <t>TXN-11258</t>
  </si>
  <si>
    <t>TXN-11259</t>
  </si>
  <si>
    <t>TXN-11260</t>
  </si>
  <si>
    <t>TXN-10185</t>
  </si>
  <si>
    <t>TXN-11262</t>
  </si>
  <si>
    <t>TXN-10417</t>
  </si>
  <si>
    <t>TXN-11264</t>
  </si>
  <si>
    <t>TXN-11265</t>
  </si>
  <si>
    <t>TXN-11266</t>
  </si>
  <si>
    <t>TXN-11267</t>
  </si>
  <si>
    <t>TXN-11268</t>
  </si>
  <si>
    <t>TXN-11269</t>
  </si>
  <si>
    <t>TXN-11270</t>
  </si>
  <si>
    <t>TXN-11271</t>
  </si>
  <si>
    <t>TXN-11273</t>
  </si>
  <si>
    <t>TXN-11274</t>
  </si>
  <si>
    <t>TXN-11275</t>
  </si>
  <si>
    <t>TXN-11276</t>
  </si>
  <si>
    <t>TXN-11277</t>
  </si>
  <si>
    <t>TXN-11278</t>
  </si>
  <si>
    <t>TXN-11279</t>
  </si>
  <si>
    <t>TXN-11280</t>
  </si>
  <si>
    <t>TXN-10314</t>
  </si>
  <si>
    <t>TXN-10472</t>
  </si>
  <si>
    <t>TXN-11283</t>
  </si>
  <si>
    <t>TXN-11286</t>
  </si>
  <si>
    <t>TXN-11285</t>
  </si>
  <si>
    <t>TXN-11115</t>
  </si>
  <si>
    <t>TXN-10490</t>
  </si>
  <si>
    <t>TXN-11289</t>
  </si>
  <si>
    <t>TXN-11290</t>
  </si>
  <si>
    <t>TXN-10912</t>
  </si>
  <si>
    <t>TXN-11292</t>
  </si>
  <si>
    <t>CustomerName</t>
  </si>
  <si>
    <t>CustomerName_Clean</t>
  </si>
  <si>
    <t>CustomerSegment_Clean</t>
  </si>
  <si>
    <t>CustomerType</t>
  </si>
  <si>
    <t>Industry</t>
  </si>
  <si>
    <t>AccountStatus</t>
  </si>
  <si>
    <t>AccountStatus_Clean</t>
  </si>
  <si>
    <t>PrimaryContact</t>
  </si>
  <si>
    <t>CreditLimit</t>
  </si>
  <si>
    <t>CreditLimit_Clean</t>
  </si>
  <si>
    <t xml:space="preserve">  Rodriguez Figueroa and Sanchez </t>
  </si>
  <si>
    <t>Rodriguez Figueroa And Sanchez</t>
  </si>
  <si>
    <t>ENERGY &amp; UTILITIES</t>
  </si>
  <si>
    <t>Standard</t>
  </si>
  <si>
    <t>Oil &amp; Gas</t>
  </si>
  <si>
    <t>Active</t>
  </si>
  <si>
    <t>Brian Yang</t>
  </si>
  <si>
    <t>C-1002</t>
  </si>
  <si>
    <t>Miller Henderson and Johnson</t>
  </si>
  <si>
    <t>Miller Henderson And Johnson</t>
  </si>
  <si>
    <t>Emerging</t>
  </si>
  <si>
    <t>Discrete Manufacturing</t>
  </si>
  <si>
    <t>Jonathan Johnson</t>
  </si>
  <si>
    <t>Baldwin Ltd Corp</t>
  </si>
  <si>
    <t>MANUFACTURING</t>
  </si>
  <si>
    <t>Automotive</t>
  </si>
  <si>
    <t>Connie Lawrence</t>
  </si>
  <si>
    <t>Blake and Sons Inc</t>
  </si>
  <si>
    <t>Blake And Sons Inc</t>
  </si>
  <si>
    <t>Gina Moore</t>
  </si>
  <si>
    <t>Garcia-James LLC</t>
  </si>
  <si>
    <t>Garcia-James Llc</t>
  </si>
  <si>
    <t>PROCESS INDUSTRIES</t>
  </si>
  <si>
    <t>Key Account</t>
  </si>
  <si>
    <t>North america</t>
  </si>
  <si>
    <t>Chemicals</t>
  </si>
  <si>
    <t>Gregory Baker</t>
  </si>
  <si>
    <t>Blair PLC AG</t>
  </si>
  <si>
    <t>Blair Plc Ag</t>
  </si>
  <si>
    <t>AEROSPACE &amp; DEFENSE</t>
  </si>
  <si>
    <t>Avionics</t>
  </si>
  <si>
    <t>Thomas Miller</t>
  </si>
  <si>
    <t>Calderon-Montgomery Co</t>
  </si>
  <si>
    <t>Strategic</t>
  </si>
  <si>
    <t>Food &amp; Beverage</t>
  </si>
  <si>
    <t>Laura Bush</t>
  </si>
  <si>
    <t>Stanley LLC</t>
  </si>
  <si>
    <t>Stanley Llc</t>
  </si>
  <si>
    <t>Aerospace OEM</t>
  </si>
  <si>
    <t>Dr. Sharon James</t>
  </si>
  <si>
    <t>Reid-Diaz</t>
  </si>
  <si>
    <t>Daniel Adams</t>
  </si>
  <si>
    <t>$100,000</t>
  </si>
  <si>
    <t>wong lynch and jackson</t>
  </si>
  <si>
    <t>Wong Lynch And Jackson</t>
  </si>
  <si>
    <t>Carla Gray</t>
  </si>
  <si>
    <t>Watts Robinson and Nguyen LLC</t>
  </si>
  <si>
    <t>Watts Robinson And Nguyen Llc</t>
  </si>
  <si>
    <t>Private R&amp;D</t>
  </si>
  <si>
    <t>Amy Underwood</t>
  </si>
  <si>
    <t>Morales-Jones Pty Ltd</t>
  </si>
  <si>
    <t>University Lab</t>
  </si>
  <si>
    <t>Latoya Robbins</t>
  </si>
  <si>
    <t xml:space="preserve">  Rios Group SA </t>
  </si>
  <si>
    <t>Rios Group Sa</t>
  </si>
  <si>
    <t>Renewables</t>
  </si>
  <si>
    <t>Maria Thomas</t>
  </si>
  <si>
    <t>Wright PLC</t>
  </si>
  <si>
    <t>Wright Plc</t>
  </si>
  <si>
    <t>Pulp &amp; Paper</t>
  </si>
  <si>
    <t>Nicole Patterson</t>
  </si>
  <si>
    <t>Ross Robinson and Bright Pty Ltd</t>
  </si>
  <si>
    <t>Ross Robinson And Bright Pty Ltd</t>
  </si>
  <si>
    <t>Ann Williams</t>
  </si>
  <si>
    <t>hernandez and sons co</t>
  </si>
  <si>
    <t>Hernandez And Sons Co</t>
  </si>
  <si>
    <t>MRO</t>
  </si>
  <si>
    <t>Jennifer Brown</t>
  </si>
  <si>
    <t>$50,000</t>
  </si>
  <si>
    <t>Carlson-Mcdonald Corporation</t>
  </si>
  <si>
    <t>Juan Dunlap</t>
  </si>
  <si>
    <t xml:space="preserve">  Le Maldonado and Herrera </t>
  </si>
  <si>
    <t>Le Maldonado And Herrera</t>
  </si>
  <si>
    <t>Martin Rodriguez</t>
  </si>
  <si>
    <t>Moore-Smith</t>
  </si>
  <si>
    <t>Michelle Stanton</t>
  </si>
  <si>
    <t xml:space="preserve">  Romero Inc </t>
  </si>
  <si>
    <t>Romero Inc</t>
  </si>
  <si>
    <t>Utilities</t>
  </si>
  <si>
    <t>Elizabeth Fowler</t>
  </si>
  <si>
    <t>Gonzalez Brooks and Martin SA</t>
  </si>
  <si>
    <t>Gonzalez Brooks And Martin Sa</t>
  </si>
  <si>
    <t>Tammy Sellers</t>
  </si>
  <si>
    <t>Nguyen Smith and Hickman LLC</t>
  </si>
  <si>
    <t>Nguyen Smith And Hickman Llc</t>
  </si>
  <si>
    <t>Machinery</t>
  </si>
  <si>
    <t>Sandra Parker</t>
  </si>
  <si>
    <t>Allen PLC</t>
  </si>
  <si>
    <t>Allen Plc</t>
  </si>
  <si>
    <t>Angelica Tucker</t>
  </si>
  <si>
    <t>Spence PLC</t>
  </si>
  <si>
    <t>Spence Plc</t>
  </si>
  <si>
    <t>National Lab</t>
  </si>
  <si>
    <t>Betty Alvarez</t>
  </si>
  <si>
    <t xml:space="preserve">  Martin Rose and Obrien LLC </t>
  </si>
  <si>
    <t>Martin Rose And Obrien Llc</t>
  </si>
  <si>
    <t>Defense Contractor</t>
  </si>
  <si>
    <t>Tanya Campos</t>
  </si>
  <si>
    <t>Harris Collins and Carney GmbH</t>
  </si>
  <si>
    <t>Harris Collins And Carney Gmbh</t>
  </si>
  <si>
    <t>Power Generation</t>
  </si>
  <si>
    <t>Jessica Holmes</t>
  </si>
  <si>
    <t>Wright Inc</t>
  </si>
  <si>
    <t>Kevin Hall</t>
  </si>
  <si>
    <t xml:space="preserve">  Smith Ltd Inc </t>
  </si>
  <si>
    <t>Smith Ltd Inc</t>
  </si>
  <si>
    <t>Crystal Whitehead</t>
  </si>
  <si>
    <t>Jones-Young Corp</t>
  </si>
  <si>
    <t>Cindy Anderson</t>
  </si>
  <si>
    <t>Johnston Sanchez and Kennedy</t>
  </si>
  <si>
    <t>Johnston Sanchez And Kennedy</t>
  </si>
  <si>
    <t>Brandon Hopkins</t>
  </si>
  <si>
    <t>Henderson-Owens BV</t>
  </si>
  <si>
    <t>Henderson-Owens Bv</t>
  </si>
  <si>
    <t>Testing Facility</t>
  </si>
  <si>
    <t>Megan Joyce</t>
  </si>
  <si>
    <t xml:space="preserve">  Brown Ltd </t>
  </si>
  <si>
    <t>Brown Ltd</t>
  </si>
  <si>
    <t>Electronics</t>
  </si>
  <si>
    <t>Scott Wright</t>
  </si>
  <si>
    <t>Herrera and Sons Ltd</t>
  </si>
  <si>
    <t>Herrera And Sons Ltd</t>
  </si>
  <si>
    <t>Donald Wright</t>
  </si>
  <si>
    <t xml:space="preserve">  Ramos PLC </t>
  </si>
  <si>
    <t>Ramos Plc</t>
  </si>
  <si>
    <t>Matthew Fernandez</t>
  </si>
  <si>
    <t>Novak and Sons</t>
  </si>
  <si>
    <t>Novak And Sons</t>
  </si>
  <si>
    <t>John Lewis</t>
  </si>
  <si>
    <t xml:space="preserve">  Barrera-Martin </t>
  </si>
  <si>
    <t>Barrera-Martin</t>
  </si>
  <si>
    <t>James House</t>
  </si>
  <si>
    <t>Mitchell-Horton Ltd</t>
  </si>
  <si>
    <t>Rachel Stanley</t>
  </si>
  <si>
    <t xml:space="preserve">  Moore-Phillips Inc </t>
  </si>
  <si>
    <t>Moore-Phillips Inc</t>
  </si>
  <si>
    <t>Lauren Daniels</t>
  </si>
  <si>
    <t>Edwards Williams and Woods Ltd</t>
  </si>
  <si>
    <t>Edwards Williams And Woods Ltd</t>
  </si>
  <si>
    <t>Kim Brown</t>
  </si>
  <si>
    <t>C-1040</t>
  </si>
  <si>
    <t>Miller Lopez and Larson Pty Ltd</t>
  </si>
  <si>
    <t>Miller Lopez And Larson Pty Ltd</t>
  </si>
  <si>
    <t>Cynthia Wilson</t>
  </si>
  <si>
    <t>Sanchez Wheeler and Harvey BV</t>
  </si>
  <si>
    <t>Sanchez Wheeler And Harvey Bv</t>
  </si>
  <si>
    <t>Kevin Mills</t>
  </si>
  <si>
    <t xml:space="preserve">  Harris-Moran </t>
  </si>
  <si>
    <t>Harris-Moran</t>
  </si>
  <si>
    <t>James Powers</t>
  </si>
  <si>
    <t>Bryant-Hickman</t>
  </si>
  <si>
    <t>Alexandra Howell</t>
  </si>
  <si>
    <t>Ferrell Jones and Lewis</t>
  </si>
  <si>
    <t>Ferrell Jones And Lewis</t>
  </si>
  <si>
    <t>Timothy Ibarra</t>
  </si>
  <si>
    <t>Wood and Sons</t>
  </si>
  <si>
    <t>Wood And Sons</t>
  </si>
  <si>
    <t>Joshua Turner</t>
  </si>
  <si>
    <t>Rice Contreras and Spe...</t>
  </si>
  <si>
    <t>Rice Contreras And Spe...</t>
  </si>
  <si>
    <t>Ashley Humphrey</t>
  </si>
  <si>
    <t>Wilson-Rodriguez GmbH</t>
  </si>
  <si>
    <t>Wilson-Rodriguez Gmbh</t>
  </si>
  <si>
    <t>Denise Jacobs</t>
  </si>
  <si>
    <t>Cooper Watts and Farrell Corp</t>
  </si>
  <si>
    <t>Cooper Watts And Farrell Corp</t>
  </si>
  <si>
    <t>Danielle Odonnell</t>
  </si>
  <si>
    <t>Davis Group</t>
  </si>
  <si>
    <t>RESEARCH &amp; LABS</t>
  </si>
  <si>
    <t>LatAm</t>
  </si>
  <si>
    <t>Amanda Cook</t>
  </si>
  <si>
    <t>Walsh LLC Ltd</t>
  </si>
  <si>
    <t>Walsh Llc Ltd</t>
  </si>
  <si>
    <t>On Hold</t>
  </si>
  <si>
    <t>Jeremy Thornton</t>
  </si>
  <si>
    <t>Smith Jones and Ware BV</t>
  </si>
  <si>
    <t>Smith Jones And Ware Bv</t>
  </si>
  <si>
    <t>Kimberly Davenport</t>
  </si>
  <si>
    <t>Tran Jordan and Williams SA</t>
  </si>
  <si>
    <t>Tran Jordan And Williams Sa</t>
  </si>
  <si>
    <t>Timothy Stanton</t>
  </si>
  <si>
    <t>Nolan and Sons LLC</t>
  </si>
  <si>
    <t>Nolan And Sons Llc</t>
  </si>
  <si>
    <t>Mary Gomez</t>
  </si>
  <si>
    <t>Henson Russell and Oliver BV</t>
  </si>
  <si>
    <t>Henson Russell And Oliver Bv</t>
  </si>
  <si>
    <t>Timothy Hancock</t>
  </si>
  <si>
    <t>Keith Inc</t>
  </si>
  <si>
    <t>Tim Patton</t>
  </si>
  <si>
    <t>Pham-Shields BV</t>
  </si>
  <si>
    <t>Pham-Shields Bv</t>
  </si>
  <si>
    <t>Debra Cobb</t>
  </si>
  <si>
    <t>Reyes Inc. Co</t>
  </si>
  <si>
    <t>Courtney Velasquez</t>
  </si>
  <si>
    <t>Bailey-Hoover</t>
  </si>
  <si>
    <t>Courtney Keller</t>
  </si>
  <si>
    <t>Murphy-Lin</t>
  </si>
  <si>
    <t>Diana May</t>
  </si>
  <si>
    <t xml:space="preserve">  Frazier-Anthony </t>
  </si>
  <si>
    <t>Frazier-Anthony</t>
  </si>
  <si>
    <t>Alexander Wiley</t>
  </si>
  <si>
    <t>white-estes ag</t>
  </si>
  <si>
    <t>White-Estes Ag</t>
  </si>
  <si>
    <t>Brian Hamilton</t>
  </si>
  <si>
    <t>Hartman Graham and Joyce LLC</t>
  </si>
  <si>
    <t>Hartman Graham And Joyce Llc</t>
  </si>
  <si>
    <t>Steven Lee</t>
  </si>
  <si>
    <t xml:space="preserve">  Fletcher Inc Co </t>
  </si>
  <si>
    <t>Fletcher Inc Co</t>
  </si>
  <si>
    <t>Renee Mcdaniel</t>
  </si>
  <si>
    <t>Mclaughlin Gonzalez and Reynolds Inc</t>
  </si>
  <si>
    <t>Mclaughlin Gonzalez And Reynolds Inc</t>
  </si>
  <si>
    <t>Tammie Hanson</t>
  </si>
  <si>
    <t>Charles Cortez and Evans</t>
  </si>
  <si>
    <t>Charles Cortez And Evans</t>
  </si>
  <si>
    <t>Jason Powell</t>
  </si>
  <si>
    <t>Spencer-Lee</t>
  </si>
  <si>
    <t>Jamie Adkins</t>
  </si>
  <si>
    <t>Gilbert LLC LLC</t>
  </si>
  <si>
    <t>Gilbert Llc Llc</t>
  </si>
  <si>
    <t>Roy Torres</t>
  </si>
  <si>
    <t>jordan plc</t>
  </si>
  <si>
    <t>Jordan Plc</t>
  </si>
  <si>
    <t>Erica Ramos</t>
  </si>
  <si>
    <t xml:space="preserve">  Lewis Kennedy and Santana Co </t>
  </si>
  <si>
    <t>Lewis Kennedy And Santana Co</t>
  </si>
  <si>
    <t>Carolyn Miller</t>
  </si>
  <si>
    <t xml:space="preserve">  Beck Harvey and Davis BV </t>
  </si>
  <si>
    <t>Beck Harvey And Davis Bv</t>
  </si>
  <si>
    <t>Cynthia Collins</t>
  </si>
  <si>
    <t>Hernandez Inc Corp</t>
  </si>
  <si>
    <t>John Atkinson</t>
  </si>
  <si>
    <t>Gibson Ltd Pty Ltd</t>
  </si>
  <si>
    <t>Michelle Cruz</t>
  </si>
  <si>
    <t>Sanchez-Douglas</t>
  </si>
  <si>
    <t>Paul Carrillo</t>
  </si>
  <si>
    <t>Osborne and Sons</t>
  </si>
  <si>
    <t>Osborne And Sons</t>
  </si>
  <si>
    <t>Tyler Holmes</t>
  </si>
  <si>
    <t>Grant Inc SA</t>
  </si>
  <si>
    <t>Grant Inc Sa</t>
  </si>
  <si>
    <t>Robert Contreras</t>
  </si>
  <si>
    <t>Larson Dodson and Vance LLC</t>
  </si>
  <si>
    <t>Larson Dodson And Vance Llc</t>
  </si>
  <si>
    <t>Michelle Wagner</t>
  </si>
  <si>
    <t>Griffin Moore and Hensley Ltd</t>
  </si>
  <si>
    <t>Griffin Moore And Hensley Ltd</t>
  </si>
  <si>
    <t>Paul Larsen</t>
  </si>
  <si>
    <t>Cannon-Boyd Corp</t>
  </si>
  <si>
    <t>Denise Jones</t>
  </si>
  <si>
    <t>Young-Rogers</t>
  </si>
  <si>
    <t>Angela Hernandez</t>
  </si>
  <si>
    <t>Benson-Mccarthy AG</t>
  </si>
  <si>
    <t>Benson-Mccarthy Ag</t>
  </si>
  <si>
    <t>Jason Daniels</t>
  </si>
  <si>
    <t>Brown-Wall</t>
  </si>
  <si>
    <t>Randy Shah</t>
  </si>
  <si>
    <t xml:space="preserve">  Gates PLC BV </t>
  </si>
  <si>
    <t>Gates Plc Bv</t>
  </si>
  <si>
    <t>Aaron Bell</t>
  </si>
  <si>
    <t>Castaneda-Ashley Pty Limited</t>
  </si>
  <si>
    <t>Paul Payne</t>
  </si>
  <si>
    <t>$250,000</t>
  </si>
  <si>
    <t>Hurst Freeman and Nelson Inc</t>
  </si>
  <si>
    <t>Hurst Freeman And Nelson Inc</t>
  </si>
  <si>
    <t>Mr. Michael Yates</t>
  </si>
  <si>
    <t>Martin Mcdonald and Anderson BV</t>
  </si>
  <si>
    <t>Martin Mcdonald And Anderson Bv</t>
  </si>
  <si>
    <t>Alyssa Long</t>
  </si>
  <si>
    <t>Alvarado Miller and Patterson AG</t>
  </si>
  <si>
    <t>Alvarado Miller And Patterson Ag</t>
  </si>
  <si>
    <t>Catherine Green</t>
  </si>
  <si>
    <t>Lewis-Murphy GmbH</t>
  </si>
  <si>
    <t>Lewis-Murphy Gmbh</t>
  </si>
  <si>
    <t>Jamie Walton</t>
  </si>
  <si>
    <t>King-Miller</t>
  </si>
  <si>
    <t>Joshua Cooke</t>
  </si>
  <si>
    <t>Walker-Jones</t>
  </si>
  <si>
    <t>Amanda Johnson</t>
  </si>
  <si>
    <t>Gonzalez Inc BV</t>
  </si>
  <si>
    <t>Gonzalez Inc Bv</t>
  </si>
  <si>
    <t>Cynthia Wells</t>
  </si>
  <si>
    <t xml:space="preserve">  Elliott and Sons AG </t>
  </si>
  <si>
    <t>Elliott And Sons Ag</t>
  </si>
  <si>
    <t>David Wood</t>
  </si>
  <si>
    <t>Lawson Adkins and Wilson</t>
  </si>
  <si>
    <t>Lawson Adkins And Wilson</t>
  </si>
  <si>
    <t>Traci Rodriguez</t>
  </si>
  <si>
    <t>Hickman PLC LLC</t>
  </si>
  <si>
    <t>Hickman Plc Llc</t>
  </si>
  <si>
    <t>Tina Sanders</t>
  </si>
  <si>
    <t>Gonzalez Vargas and Rivas Co</t>
  </si>
  <si>
    <t>Gonzalez Vargas And Rivas Co</t>
  </si>
  <si>
    <t>Michael Turner</t>
  </si>
  <si>
    <t>Burke Martinez and Riggs Inc</t>
  </si>
  <si>
    <t>Burke Martinez And Riggs Inc</t>
  </si>
  <si>
    <t>Hannah Patterson</t>
  </si>
  <si>
    <t>Jones-Holland Co</t>
  </si>
  <si>
    <t>Jason Henry</t>
  </si>
  <si>
    <t>Yu-Reid</t>
  </si>
  <si>
    <t>Pharmaceuticals</t>
  </si>
  <si>
    <t>Michelle Graham</t>
  </si>
  <si>
    <t>Boyd Santos and Gilbert</t>
  </si>
  <si>
    <t>Boyd Santos And Gilbert</t>
  </si>
  <si>
    <t>Patricia Marshall</t>
  </si>
  <si>
    <t>vargas morris and sanchez pty ltd</t>
  </si>
  <si>
    <t>Vargas Morris And Sanchez Pty Ltd</t>
  </si>
  <si>
    <t>Diana Hayes</t>
  </si>
  <si>
    <t>Hudson-Barnett</t>
  </si>
  <si>
    <t>Johnny Nguyen</t>
  </si>
  <si>
    <t>Lewis-Salinas Corp</t>
  </si>
  <si>
    <t>Spencer Haynes</t>
  </si>
  <si>
    <t>Peters-Black Co</t>
  </si>
  <si>
    <t>David Russell</t>
  </si>
  <si>
    <t>Chang Vaughn and Brewer LLC</t>
  </si>
  <si>
    <t>Chang Vaughn And Brewer Llc</t>
  </si>
  <si>
    <t>Ricky Davis II</t>
  </si>
  <si>
    <t>Sanchez Beck and Wood SA</t>
  </si>
  <si>
    <t>Sanchez Beck And Wood Sa</t>
  </si>
  <si>
    <t>Inactive</t>
  </si>
  <si>
    <t>Hailey Barajas</t>
  </si>
  <si>
    <t>Rivera Warner and Nelson</t>
  </si>
  <si>
    <t>Rivera Warner And Nelson</t>
  </si>
  <si>
    <t>Bryan Lee</t>
  </si>
  <si>
    <t>Newton Ltd BV</t>
  </si>
  <si>
    <t>Newton Ltd Bv</t>
  </si>
  <si>
    <t>Daniel Washington</t>
  </si>
  <si>
    <t>Lawrence Wolf and Carlson</t>
  </si>
  <si>
    <t>Lawrence Wolf And Carlson</t>
  </si>
  <si>
    <t>Dr. Elizabeth Ward</t>
  </si>
  <si>
    <t xml:space="preserve">  Smith-Ferguson </t>
  </si>
  <si>
    <t>Smith-Ferguson</t>
  </si>
  <si>
    <t>William Tran</t>
  </si>
  <si>
    <t>Raymond Little and Mullins</t>
  </si>
  <si>
    <t>Raymond Little And Mullins</t>
  </si>
  <si>
    <t>Adam Mitchell</t>
  </si>
  <si>
    <t>Alexander-Lopez</t>
  </si>
  <si>
    <t>Todd Woods</t>
  </si>
  <si>
    <t>Morales Inc Corp</t>
  </si>
  <si>
    <t>Melissa Hernandez</t>
  </si>
  <si>
    <t>Avery Miller and Wright Co</t>
  </si>
  <si>
    <t>Avery Miller And Wright Co</t>
  </si>
  <si>
    <t>Jennifer Carlson</t>
  </si>
  <si>
    <t>Perez Mills and Hayes</t>
  </si>
  <si>
    <t>Perez Mills And Hayes</t>
  </si>
  <si>
    <t>Scott Branch</t>
  </si>
  <si>
    <t>carroll-brown</t>
  </si>
  <si>
    <t>Carroll-Brown</t>
  </si>
  <si>
    <t>Annette Farmer</t>
  </si>
  <si>
    <t>C-1115</t>
  </si>
  <si>
    <t>Clark Guerrero and Moore GmbH</t>
  </si>
  <si>
    <t>Clark Guerrero And Moore Gmbh</t>
  </si>
  <si>
    <t>Benjamin Smith</t>
  </si>
  <si>
    <t xml:space="preserve">  Norris-Harrison Pty Ltd </t>
  </si>
  <si>
    <t>Norris-Harrison Pty Ltd</t>
  </si>
  <si>
    <t>Dwayne Campbell</t>
  </si>
  <si>
    <t xml:space="preserve">  Jones-Hall SA </t>
  </si>
  <si>
    <t>Jones-Hall Sa</t>
  </si>
  <si>
    <t>Rick Lawrence</t>
  </si>
  <si>
    <t>coleman plc</t>
  </si>
  <si>
    <t>Coleman Plc</t>
  </si>
  <si>
    <t>Chase Baker</t>
  </si>
  <si>
    <t>Jones and Sons BV</t>
  </si>
  <si>
    <t>Jones And Sons Bv</t>
  </si>
  <si>
    <t>Linda Holloway</t>
  </si>
  <si>
    <t>Gonzales-Harrison Corp</t>
  </si>
  <si>
    <t>James Nelson</t>
  </si>
  <si>
    <t>Snyder Miller and Williams</t>
  </si>
  <si>
    <t>Snyder Miller And Williams</t>
  </si>
  <si>
    <t>Frank Wright</t>
  </si>
  <si>
    <t>Perez Ltd SA</t>
  </si>
  <si>
    <t>Perez Ltd Sa</t>
  </si>
  <si>
    <t>Laura Sampson</t>
  </si>
  <si>
    <t>C-1123</t>
  </si>
  <si>
    <t>Underwood Johnston and Hines Inc</t>
  </si>
  <si>
    <t>Underwood Johnston And Hines Inc</t>
  </si>
  <si>
    <t>Joseph Ramos</t>
  </si>
  <si>
    <t>$500,000</t>
  </si>
  <si>
    <t>White-Richards Inc</t>
  </si>
  <si>
    <t>Katherine Davis</t>
  </si>
  <si>
    <t xml:space="preserve">  Ortiz-Morris LLC </t>
  </si>
  <si>
    <t>Ortiz-Morris Llc</t>
  </si>
  <si>
    <t>Christopher Jenkins</t>
  </si>
  <si>
    <t>Roberts-Landry AG</t>
  </si>
  <si>
    <t>Roberts-Landry Ag</t>
  </si>
  <si>
    <t>Krista Gibson</t>
  </si>
  <si>
    <t xml:space="preserve">  king-wilson </t>
  </si>
  <si>
    <t>King-Wilson</t>
  </si>
  <si>
    <t>Sharon Bryan</t>
  </si>
  <si>
    <t xml:space="preserve">  Sandoval PLC </t>
  </si>
  <si>
    <t>Sandoval Plc</t>
  </si>
  <si>
    <t>Anthony Stone</t>
  </si>
  <si>
    <t>Avila Garrett and Wolf</t>
  </si>
  <si>
    <t>Avila Garrett And Wolf</t>
  </si>
  <si>
    <t>Joshua Pennington</t>
  </si>
  <si>
    <t>Gilmore-Washington</t>
  </si>
  <si>
    <t>Mark Lloyd</t>
  </si>
  <si>
    <t>Moore Pierce and Tran SA</t>
  </si>
  <si>
    <t>Moore Pierce And Tran Sa</t>
  </si>
  <si>
    <t>Willie Durham</t>
  </si>
  <si>
    <t>Valentine-Holland</t>
  </si>
  <si>
    <t>Timothy Carter</t>
  </si>
  <si>
    <t>Hill Davenport and Baird Corp</t>
  </si>
  <si>
    <t>Hill Davenport And Baird Corp</t>
  </si>
  <si>
    <t>Juan Reyes</t>
  </si>
  <si>
    <t>Romero Suarez and Shields</t>
  </si>
  <si>
    <t>Romero Suarez And Shields</t>
  </si>
  <si>
    <t>Richard Perry</t>
  </si>
  <si>
    <t>Adams Smith and Barber BV</t>
  </si>
  <si>
    <t>Adams Smith And Barber Bv</t>
  </si>
  <si>
    <t>Lauren Keller</t>
  </si>
  <si>
    <t>Griffin Group LLC</t>
  </si>
  <si>
    <t>Griffin Group Llc</t>
  </si>
  <si>
    <t>Juan Daniels</t>
  </si>
  <si>
    <t>cantu-kane llc</t>
  </si>
  <si>
    <t>Cantu-Kane Llc</t>
  </si>
  <si>
    <t>Mrs. Janet Chase</t>
  </si>
  <si>
    <t xml:space="preserve">  Williams-Garner Corp </t>
  </si>
  <si>
    <t>Williams-Garner Corp</t>
  </si>
  <si>
    <t>Roberta Hughes</t>
  </si>
  <si>
    <t>Sparks Pearson and Hernandez AG</t>
  </si>
  <si>
    <t>Sparks Pearson And Hernandez Ag</t>
  </si>
  <si>
    <t>Beth Sanford</t>
  </si>
  <si>
    <t>Kane-Sawyer</t>
  </si>
  <si>
    <t>Joseph Bryant</t>
  </si>
  <si>
    <t>Thomas Pitts and Booker</t>
  </si>
  <si>
    <t>Thomas Pitts And Booker</t>
  </si>
  <si>
    <t>Richard Baker</t>
  </si>
  <si>
    <t>Schwartz Santos and Christian</t>
  </si>
  <si>
    <t>Schwartz Santos And Christian</t>
  </si>
  <si>
    <t>Shannon James</t>
  </si>
  <si>
    <t>Sims-Clay GmbH</t>
  </si>
  <si>
    <t>Sims-Clay Gmbh</t>
  </si>
  <si>
    <t>Joshua Williamson II</t>
  </si>
  <si>
    <t>Mccall Bright and Francis Pty Ltd</t>
  </si>
  <si>
    <t>Mccall Bright And Francis Pty Ltd</t>
  </si>
  <si>
    <t>Brett Schultz</t>
  </si>
  <si>
    <t xml:space="preserve">  Wallace Ltd </t>
  </si>
  <si>
    <t>Wallace Ltd</t>
  </si>
  <si>
    <t>Allen Nguyen</t>
  </si>
  <si>
    <t>Carter LLC AG</t>
  </si>
  <si>
    <t>Carter Llc Ag</t>
  </si>
  <si>
    <t>David Jenkins</t>
  </si>
  <si>
    <t>Sparks Jackson and Miller Co</t>
  </si>
  <si>
    <t>Sparks Jackson And Miller Co</t>
  </si>
  <si>
    <t>Lisa Allen</t>
  </si>
  <si>
    <t>Thomas Murray and King...</t>
  </si>
  <si>
    <t>Thomas Murray And King...</t>
  </si>
  <si>
    <t>Adam Ballard</t>
  </si>
  <si>
    <t>Byrd-Moore AG</t>
  </si>
  <si>
    <t>Byrd-Moore Ag</t>
  </si>
  <si>
    <t>Gregory Matthews</t>
  </si>
  <si>
    <t>Hayden Vaughn and Bryant Corp</t>
  </si>
  <si>
    <t>Hayden Vaughn And Bryant Corp</t>
  </si>
  <si>
    <t>Zachary Castaneda</t>
  </si>
  <si>
    <t>Young PLC</t>
  </si>
  <si>
    <t>Young Plc</t>
  </si>
  <si>
    <t>Edward Lyons</t>
  </si>
  <si>
    <t xml:space="preserve">  Spence Ltd </t>
  </si>
  <si>
    <t>Spence Ltd</t>
  </si>
  <si>
    <t>Adam Grimes</t>
  </si>
  <si>
    <t xml:space="preserve">  Beltran Lozano and Mcgee Pty Ltd </t>
  </si>
  <si>
    <t>Beltran Lozano And Mcgee Pty Ltd</t>
  </si>
  <si>
    <t>Stephanie Parsons</t>
  </si>
  <si>
    <t>Lawson LLC GmbH</t>
  </si>
  <si>
    <t>Lawson Llc Gmbh</t>
  </si>
  <si>
    <t>Connor King</t>
  </si>
  <si>
    <t>Saunders Becker and Taylor Pty Ltd</t>
  </si>
  <si>
    <t>Saunders Becker And Taylor Pty Ltd</t>
  </si>
  <si>
    <t>Mark Williams</t>
  </si>
  <si>
    <t>Johnson-Diaz</t>
  </si>
  <si>
    <t>Theodore Murphy</t>
  </si>
  <si>
    <t xml:space="preserve">  Thompson-Anderson Inc </t>
  </si>
  <si>
    <t>Thompson-Anderson Inc</t>
  </si>
  <si>
    <t>Valerie Schmidt</t>
  </si>
  <si>
    <t>Rivas-Scott Pty Ltd</t>
  </si>
  <si>
    <t>Karen Drake</t>
  </si>
  <si>
    <t>Harrell Brock and Mcdonald BV</t>
  </si>
  <si>
    <t>Harrell Brock And Mcdonald Bv</t>
  </si>
  <si>
    <t>Paul Perez</t>
  </si>
  <si>
    <t>Ramsey Whitney and Coffey Ltd</t>
  </si>
  <si>
    <t>Ramsey Whitney And Coffey Ltd</t>
  </si>
  <si>
    <t>Holly Gibbs</t>
  </si>
  <si>
    <t>Baker Inc Co</t>
  </si>
  <si>
    <t>Michael Chambers</t>
  </si>
  <si>
    <t>James Little and Watson LLC</t>
  </si>
  <si>
    <t>James Little And Watson Llc</t>
  </si>
  <si>
    <t>Kaitlyn Harvey</t>
  </si>
  <si>
    <t>Murphy Bishop and Holland LLC</t>
  </si>
  <si>
    <t>Murphy Bishop And Holland Llc</t>
  </si>
  <si>
    <t>Julie Haynes</t>
  </si>
  <si>
    <t>ortiz taylor and shah llc</t>
  </si>
  <si>
    <t>Ortiz Taylor And Shah Llc</t>
  </si>
  <si>
    <t>Johnathan Davis</t>
  </si>
  <si>
    <t>Taylor Chavez and Santiago</t>
  </si>
  <si>
    <t>Taylor Chavez And Santiago</t>
  </si>
  <si>
    <t>Theresa Barnes</t>
  </si>
  <si>
    <t xml:space="preserve">  Barber Mcclure and Pena Co </t>
  </si>
  <si>
    <t>Barber Mcclure And Pena Co</t>
  </si>
  <si>
    <t>Lisa Crosby</t>
  </si>
  <si>
    <t xml:space="preserve">  Johnson-Wood </t>
  </si>
  <si>
    <t>Johnson-Wood</t>
  </si>
  <si>
    <t>Trevor Foley</t>
  </si>
  <si>
    <t>Pollard LLC LLC</t>
  </si>
  <si>
    <t>Pollard Llc Llc</t>
  </si>
  <si>
    <t>Vanessa Howard</t>
  </si>
  <si>
    <t>Hill-Donaldson</t>
  </si>
  <si>
    <t>Samantha Davis</t>
  </si>
  <si>
    <t>May PLC</t>
  </si>
  <si>
    <t>May Plc</t>
  </si>
  <si>
    <t>Amber Cook</t>
  </si>
  <si>
    <t>Buchanan and Sons</t>
  </si>
  <si>
    <t>Buchanan And Sons</t>
  </si>
  <si>
    <t>Phillip Clark</t>
  </si>
  <si>
    <t>Li and Sons AG</t>
  </si>
  <si>
    <t>Li And Sons Ag</t>
  </si>
  <si>
    <t>Charles Lester</t>
  </si>
  <si>
    <t>Ramirez and Sons LLC</t>
  </si>
  <si>
    <t>Ramirez And Sons Llc</t>
  </si>
  <si>
    <t>Ms. Rebecca Rodriguez</t>
  </si>
  <si>
    <t>Anderson LLC BV</t>
  </si>
  <si>
    <t>Anderson Llc Bv</t>
  </si>
  <si>
    <t>Cynthia Morris</t>
  </si>
  <si>
    <t>Baker and Sons</t>
  </si>
  <si>
    <t>Baker And Sons</t>
  </si>
  <si>
    <t>Kelly Reese</t>
  </si>
  <si>
    <t>West-Cox</t>
  </si>
  <si>
    <t>Jodi Walker</t>
  </si>
  <si>
    <t xml:space="preserve">  williams logan and camacho </t>
  </si>
  <si>
    <t>Williams Logan And Camacho</t>
  </si>
  <si>
    <t>Judith Maynard</t>
  </si>
  <si>
    <t>Lutz Group</t>
  </si>
  <si>
    <t>Brian Joseph</t>
  </si>
  <si>
    <t>Jones-Miller LLC</t>
  </si>
  <si>
    <t>Jones-Miller Llc</t>
  </si>
  <si>
    <t>Ana Hill</t>
  </si>
  <si>
    <t xml:space="preserve">  Richards Joseph and James </t>
  </si>
  <si>
    <t>Richards Joseph And James</t>
  </si>
  <si>
    <t>Elizabeth Wagner</t>
  </si>
  <si>
    <t>Garcia-Miles</t>
  </si>
  <si>
    <t>Marilyn Mack</t>
  </si>
  <si>
    <t>Glenn Jordan and Beasley GmbH</t>
  </si>
  <si>
    <t>Glenn Jordan And Beasley Gmbh</t>
  </si>
  <si>
    <t>Ronald Ross</t>
  </si>
  <si>
    <t>Davis Simmons and Ortega SA</t>
  </si>
  <si>
    <t>Davis Simmons And Ortega Sa</t>
  </si>
  <si>
    <t>Christian Leblanc</t>
  </si>
  <si>
    <t>Davis Inc LLC</t>
  </si>
  <si>
    <t>Davis Inc Llc</t>
  </si>
  <si>
    <t>Brent Rodgers</t>
  </si>
  <si>
    <t>Hawkins PLC</t>
  </si>
  <si>
    <t>Hawkins Plc</t>
  </si>
  <si>
    <t>Kristina Santiago</t>
  </si>
  <si>
    <t>ProductName</t>
  </si>
  <si>
    <t>ProductName_Clean</t>
  </si>
  <si>
    <t>Category</t>
  </si>
  <si>
    <t>Category_Clean</t>
  </si>
  <si>
    <t>Family</t>
  </si>
  <si>
    <t>Family_Clean</t>
  </si>
  <si>
    <t>BU</t>
  </si>
  <si>
    <t>StdVarCost_Clean</t>
  </si>
  <si>
    <t>StdFixedAlloc</t>
  </si>
  <si>
    <t xml:space="preserve"> On-Site Commissioning &amp; Calibration  </t>
  </si>
  <si>
    <t>On-Site Commissioning &amp; Calibration</t>
  </si>
  <si>
    <t>Services</t>
  </si>
  <si>
    <t>Commissioning</t>
  </si>
  <si>
    <t>Annual Maint. Contract - Standard</t>
  </si>
  <si>
    <t>Maintenance</t>
  </si>
  <si>
    <t xml:space="preserve"> Annual Maintenance Contract - Premium  </t>
  </si>
  <si>
    <t>Annual Maintenance Contract - Premium</t>
  </si>
  <si>
    <t>Emergency Response Call-Out</t>
  </si>
  <si>
    <t>SERVICES</t>
  </si>
  <si>
    <t>Emergency</t>
  </si>
  <si>
    <t>Training Workshop - Operator Level</t>
  </si>
  <si>
    <t>Training</t>
  </si>
  <si>
    <t>Remote Diagnostics Support (Annual)</t>
  </si>
  <si>
    <t>Support</t>
  </si>
  <si>
    <t xml:space="preserve"> AetherView Analytics Plat. - Std  </t>
  </si>
  <si>
    <t>Aetherview Analytics Plat. - Std</t>
  </si>
  <si>
    <t>Software</t>
  </si>
  <si>
    <t>Analytics Platform</t>
  </si>
  <si>
    <t>AetherView Analytics Platform Enterprise</t>
  </si>
  <si>
    <t>Aetherview Analytics Platform Enterprise</t>
  </si>
  <si>
    <t>ConditionIQ Predictive Module</t>
  </si>
  <si>
    <t>Conditioniq Predictive Module</t>
  </si>
  <si>
    <t>Predictive Modules</t>
  </si>
  <si>
    <t>AssetHealth Dashboard License</t>
  </si>
  <si>
    <t>Assethealth Dashboard License</t>
  </si>
  <si>
    <t>Dashboards</t>
  </si>
  <si>
    <t>AetherConnect API Integration Pack</t>
  </si>
  <si>
    <t>Aetherconnect Api Integration Pack</t>
  </si>
  <si>
    <t>Software / Integration</t>
  </si>
  <si>
    <t>Integration</t>
  </si>
  <si>
    <t>AetherProbe XT-200 Temp. Sensor</t>
  </si>
  <si>
    <t>Aetherprobe Xt-200 Temp. Sensor</t>
  </si>
  <si>
    <t>SENSORS</t>
  </si>
  <si>
    <t>Sensors</t>
  </si>
  <si>
    <t>Temperature</t>
  </si>
  <si>
    <t>AetherProbe XT450 Pressure Trans.</t>
  </si>
  <si>
    <t>Aetherprobe Xt450 Pressure Trans.</t>
  </si>
  <si>
    <t>Pressure</t>
  </si>
  <si>
    <t>VibraSense Pro Vibration Analyzer</t>
  </si>
  <si>
    <t>Vibrasense Pro Vibration Analyzer</t>
  </si>
  <si>
    <t>Instruments</t>
  </si>
  <si>
    <t>Vibration</t>
  </si>
  <si>
    <t>FlowMaster Ultrasonic Flow Meter</t>
  </si>
  <si>
    <t>Flowmaster Ultrasonic Flow Meter</t>
  </si>
  <si>
    <t>Flow</t>
  </si>
  <si>
    <t xml:space="preserve"> ThermoGuard Multi-Point RTD Array  </t>
  </si>
  <si>
    <t>Thermoguard Multi-Point Rtd Array</t>
  </si>
  <si>
    <t>AetherProbe XT100 Entry Temp Sensor</t>
  </si>
  <si>
    <t>Aetherprobe Xt100 Entry Temp Sensor</t>
  </si>
  <si>
    <t>PressureGuard Industrial DP Transmitter</t>
  </si>
  <si>
    <t>Pressureguard Industrial Dp Transmitter</t>
  </si>
  <si>
    <t>pressure</t>
  </si>
  <si>
    <t>VibraSense Lite Portable Analyzer</t>
  </si>
  <si>
    <t>Vibrasense Lite Portable Analyzer</t>
  </si>
  <si>
    <t>CostID</t>
  </si>
  <si>
    <t>Period</t>
  </si>
  <si>
    <t>Period_Clean</t>
  </si>
  <si>
    <t>CostCategory</t>
  </si>
  <si>
    <t>CostType</t>
  </si>
  <si>
    <t>StandardCost</t>
  </si>
  <si>
    <t>ActualCost_Clean</t>
  </si>
  <si>
    <t>CostCenter_Clean</t>
  </si>
  <si>
    <t>Notes</t>
  </si>
  <si>
    <t>COST-5025</t>
  </si>
  <si>
    <t>2025-01</t>
  </si>
  <si>
    <t>Variable COGS</t>
  </si>
  <si>
    <t>Variable</t>
  </si>
  <si>
    <t>SA</t>
  </si>
  <si>
    <t>COST-5039</t>
  </si>
  <si>
    <t>2025-02</t>
  </si>
  <si>
    <t>SI</t>
  </si>
  <si>
    <t>COST-5121</t>
  </si>
  <si>
    <t>2025-04</t>
  </si>
  <si>
    <t>COST-5200</t>
  </si>
  <si>
    <t>2025-06</t>
  </si>
  <si>
    <t>Fixed Allocation</t>
  </si>
  <si>
    <t>Fixed</t>
  </si>
  <si>
    <t>COST-5229</t>
  </si>
  <si>
    <t>Regional Sales Overhead</t>
  </si>
  <si>
    <t>North America overhead</t>
  </si>
  <si>
    <t>COST-5230</t>
  </si>
  <si>
    <t>Shared R&amp;D Allocation</t>
  </si>
  <si>
    <t>COST-5231</t>
  </si>
  <si>
    <t>Logistics &amp; Distribution</t>
  </si>
  <si>
    <t>COST-5232</t>
  </si>
  <si>
    <t>Quality Assurance</t>
  </si>
  <si>
    <t>COST-5233</t>
  </si>
  <si>
    <t>EM</t>
  </si>
  <si>
    <t>EMEA overhead</t>
  </si>
  <si>
    <t>COST-5234</t>
  </si>
  <si>
    <t>COST-5235</t>
  </si>
  <si>
    <t>COST-5236</t>
  </si>
  <si>
    <t>COST-5237</t>
  </si>
  <si>
    <t>AP</t>
  </si>
  <si>
    <t>APAC overhead</t>
  </si>
  <si>
    <t>COST-5238</t>
  </si>
  <si>
    <t>COST-5239</t>
  </si>
  <si>
    <t>COST-5240</t>
  </si>
  <si>
    <t>COST-5241</t>
  </si>
  <si>
    <t>LA</t>
  </si>
  <si>
    <t>Latin America overhead</t>
  </si>
  <si>
    <t>COST-5242</t>
  </si>
  <si>
    <t>COST-5243</t>
  </si>
  <si>
    <t>COST-5244</t>
  </si>
  <si>
    <t>COST-5245</t>
  </si>
  <si>
    <t>COST-5246</t>
  </si>
  <si>
    <t>COST-5247</t>
  </si>
  <si>
    <t>COST-5248</t>
  </si>
  <si>
    <t>COST-5249</t>
  </si>
  <si>
    <t>COST-5250</t>
  </si>
  <si>
    <t>COST-5251</t>
  </si>
  <si>
    <t>COST-5252</t>
  </si>
  <si>
    <t>COST-5253</t>
  </si>
  <si>
    <t>COST-5254</t>
  </si>
  <si>
    <t>COST-5255</t>
  </si>
  <si>
    <t>COST-5256</t>
  </si>
  <si>
    <t>COST-5257</t>
  </si>
  <si>
    <t>regional sales overhead</t>
  </si>
  <si>
    <t>COST-5258</t>
  </si>
  <si>
    <t>COST-5259</t>
  </si>
  <si>
    <t>COST-5260</t>
  </si>
  <si>
    <t>COST-5261</t>
  </si>
  <si>
    <t>2025-03</t>
  </si>
  <si>
    <t>COST-5262</t>
  </si>
  <si>
    <t>COST-5263</t>
  </si>
  <si>
    <t>logistics &amp; distribution</t>
  </si>
  <si>
    <t>COST-5264</t>
  </si>
  <si>
    <t>COST-5265</t>
  </si>
  <si>
    <t>COST-5266</t>
  </si>
  <si>
    <t>COST-5267</t>
  </si>
  <si>
    <t>COST-5268</t>
  </si>
  <si>
    <t>COST-5269</t>
  </si>
  <si>
    <t>COST-5270</t>
  </si>
  <si>
    <t>COST-5271</t>
  </si>
  <si>
    <t>COST-5272</t>
  </si>
  <si>
    <t>COST-5273</t>
  </si>
  <si>
    <t>COST-5274</t>
  </si>
  <si>
    <t>COST-5275</t>
  </si>
  <si>
    <t>COST-5276</t>
  </si>
  <si>
    <t>COST-5277</t>
  </si>
  <si>
    <t>COST-5278</t>
  </si>
  <si>
    <t>shared r&amp;d allocation</t>
  </si>
  <si>
    <t>COST-5279</t>
  </si>
  <si>
    <t>COST-5280</t>
  </si>
  <si>
    <t>COST-5281</t>
  </si>
  <si>
    <t>COST-5282</t>
  </si>
  <si>
    <t>COST-5283</t>
  </si>
  <si>
    <t>COST-5284</t>
  </si>
  <si>
    <t>COST-5285</t>
  </si>
  <si>
    <t>COST-5286</t>
  </si>
  <si>
    <t>COST-5287</t>
  </si>
  <si>
    <t>COST-5288</t>
  </si>
  <si>
    <t>quality assurance</t>
  </si>
  <si>
    <t>COST-5289</t>
  </si>
  <si>
    <t>COST-5290</t>
  </si>
  <si>
    <t>COST-5291</t>
  </si>
  <si>
    <t>COST-5292</t>
  </si>
  <si>
    <t>COST-5293</t>
  </si>
  <si>
    <t>2025-05</t>
  </si>
  <si>
    <t>COST-5294</t>
  </si>
  <si>
    <t>COST-5295</t>
  </si>
  <si>
    <t>COST-5296</t>
  </si>
  <si>
    <t>COST-5297</t>
  </si>
  <si>
    <t>COST-5298</t>
  </si>
  <si>
    <t>COST-5299</t>
  </si>
  <si>
    <t>COST-5300</t>
  </si>
  <si>
    <t>COST-5301</t>
  </si>
  <si>
    <t>COST-5302</t>
  </si>
  <si>
    <t>COST-5303</t>
  </si>
  <si>
    <t>COST-5304</t>
  </si>
  <si>
    <t>COST-5305</t>
  </si>
  <si>
    <t>COST-5306</t>
  </si>
  <si>
    <t>COST-5307</t>
  </si>
  <si>
    <t>COST-5308</t>
  </si>
  <si>
    <t>COST-5309</t>
  </si>
  <si>
    <t>COST-5310</t>
  </si>
  <si>
    <t>COST-5311</t>
  </si>
  <si>
    <t>COST-5312</t>
  </si>
  <si>
    <t>COST-5313</t>
  </si>
  <si>
    <t>COST-5314</t>
  </si>
  <si>
    <t>COST-5315</t>
  </si>
  <si>
    <t>COST-5316</t>
  </si>
  <si>
    <t>COST-5317</t>
  </si>
  <si>
    <t>COST-5318</t>
  </si>
  <si>
    <t>COST-5319</t>
  </si>
  <si>
    <t>COST-5320</t>
  </si>
  <si>
    <t>COST-5321</t>
  </si>
  <si>
    <t>COST-5322</t>
  </si>
  <si>
    <t>COST-5323</t>
  </si>
  <si>
    <t>COST-5324</t>
  </si>
  <si>
    <t>COST-5027</t>
  </si>
  <si>
    <t>FS</t>
  </si>
  <si>
    <t>COST-5028</t>
  </si>
  <si>
    <t>COST-5065</t>
  </si>
  <si>
    <t>COST-5066</t>
  </si>
  <si>
    <t>COST-5103</t>
  </si>
  <si>
    <t>COST-5104</t>
  </si>
  <si>
    <t>COST-5141</t>
  </si>
  <si>
    <t>COST-5142</t>
  </si>
  <si>
    <t>COST-5179</t>
  </si>
  <si>
    <t>COST-5180</t>
  </si>
  <si>
    <t>COST-5217</t>
  </si>
  <si>
    <t>COST-5218</t>
  </si>
  <si>
    <t>COST-5029</t>
  </si>
  <si>
    <t>COST-5030</t>
  </si>
  <si>
    <t>COST-5067</t>
  </si>
  <si>
    <t>COST-5068</t>
  </si>
  <si>
    <t>COST-5105</t>
  </si>
  <si>
    <t>COST-5106</t>
  </si>
  <si>
    <t>COST-5143</t>
  </si>
  <si>
    <t>COST-5144</t>
  </si>
  <si>
    <t>COST-5181</t>
  </si>
  <si>
    <t>COST-5182</t>
  </si>
  <si>
    <t>fixed allocation</t>
  </si>
  <si>
    <t>COST-5219</t>
  </si>
  <si>
    <t>COST-5220</t>
  </si>
  <si>
    <t>COST-5031</t>
  </si>
  <si>
    <t>COST-5032</t>
  </si>
  <si>
    <t>COST-5069</t>
  </si>
  <si>
    <t>COST-5070</t>
  </si>
  <si>
    <t>COST-5107</t>
  </si>
  <si>
    <t>COST-5108</t>
  </si>
  <si>
    <t>COST-5145</t>
  </si>
  <si>
    <t>COST-5146</t>
  </si>
  <si>
    <t>COST-5183</t>
  </si>
  <si>
    <t>COST-5184</t>
  </si>
  <si>
    <t>COST-5221</t>
  </si>
  <si>
    <t>COST-5222</t>
  </si>
  <si>
    <t>COST-5033</t>
  </si>
  <si>
    <t>COST-5034</t>
  </si>
  <si>
    <t>COST-5071</t>
  </si>
  <si>
    <t>COST-5072</t>
  </si>
  <si>
    <t>COST-5109</t>
  </si>
  <si>
    <t>COST-5110</t>
  </si>
  <si>
    <t>COST-5147</t>
  </si>
  <si>
    <t>COST-5148</t>
  </si>
  <si>
    <t>COST-5185</t>
  </si>
  <si>
    <t>COST-5186</t>
  </si>
  <si>
    <t>COST-5223</t>
  </si>
  <si>
    <t>variable cogs</t>
  </si>
  <si>
    <t>COST-5224</t>
  </si>
  <si>
    <t>COST-5035</t>
  </si>
  <si>
    <t>COST-5036</t>
  </si>
  <si>
    <t>COST-5073</t>
  </si>
  <si>
    <t>COST-5074</t>
  </si>
  <si>
    <t>COST-5111</t>
  </si>
  <si>
    <t>COST-5112</t>
  </si>
  <si>
    <t>COST-5149</t>
  </si>
  <si>
    <t>COST-5150</t>
  </si>
  <si>
    <t>COST-5187</t>
  </si>
  <si>
    <t>COST-5188</t>
  </si>
  <si>
    <t>COST-5225</t>
  </si>
  <si>
    <t>COST-5226</t>
  </si>
  <si>
    <t>COST-5037</t>
  </si>
  <si>
    <t>COST-5038</t>
  </si>
  <si>
    <t>COST-5075</t>
  </si>
  <si>
    <t>COST-5076</t>
  </si>
  <si>
    <t>COST-5113</t>
  </si>
  <si>
    <t>COST-5114</t>
  </si>
  <si>
    <t>COST-5151</t>
  </si>
  <si>
    <t>COST-5152</t>
  </si>
  <si>
    <t>COST-5189</t>
  </si>
  <si>
    <t>COST-5190</t>
  </si>
  <si>
    <t>COST-5227</t>
  </si>
  <si>
    <t>COST-5228</t>
  </si>
  <si>
    <t>COST-5017</t>
  </si>
  <si>
    <t>COST-5018</t>
  </si>
  <si>
    <t>COST-5055</t>
  </si>
  <si>
    <t>COST-5056</t>
  </si>
  <si>
    <t>COST-5093</t>
  </si>
  <si>
    <t>COST-5094</t>
  </si>
  <si>
    <t>COST-5131</t>
  </si>
  <si>
    <t>COST-5132</t>
  </si>
  <si>
    <t>COST-5169</t>
  </si>
  <si>
    <t>COST-5170</t>
  </si>
  <si>
    <t>COST-5207</t>
  </si>
  <si>
    <t>COST-5208</t>
  </si>
  <si>
    <t>COST-5019</t>
  </si>
  <si>
    <t>COST-5020</t>
  </si>
  <si>
    <t>COST-5057</t>
  </si>
  <si>
    <t>COST-5058</t>
  </si>
  <si>
    <t>COST-5095</t>
  </si>
  <si>
    <t>COST-5096</t>
  </si>
  <si>
    <t>COST-5133</t>
  </si>
  <si>
    <t>COST-5134</t>
  </si>
  <si>
    <t>COST-5171</t>
  </si>
  <si>
    <t>COST-5172</t>
  </si>
  <si>
    <t>COST-5209</t>
  </si>
  <si>
    <t>COST-5210</t>
  </si>
  <si>
    <t>COST-5021</t>
  </si>
  <si>
    <t>COST-5022</t>
  </si>
  <si>
    <t>COST-5059</t>
  </si>
  <si>
    <t>COST-5060</t>
  </si>
  <si>
    <t>COST-5097</t>
  </si>
  <si>
    <t>COST-5098</t>
  </si>
  <si>
    <t>COST-5135</t>
  </si>
  <si>
    <t>COST-5136</t>
  </si>
  <si>
    <t>COST-5173</t>
  </si>
  <si>
    <t>COST-5174</t>
  </si>
  <si>
    <t>COST-5211</t>
  </si>
  <si>
    <t>COST-5212</t>
  </si>
  <si>
    <t>COST-5023</t>
  </si>
  <si>
    <t>COST-5024</t>
  </si>
  <si>
    <t>COST-5061</t>
  </si>
  <si>
    <t>COST-5062</t>
  </si>
  <si>
    <t>COST-5099</t>
  </si>
  <si>
    <t>COST-5100</t>
  </si>
  <si>
    <t>COST-5137</t>
  </si>
  <si>
    <t>COST-5138</t>
  </si>
  <si>
    <t>COST-5175</t>
  </si>
  <si>
    <t>COST-5176</t>
  </si>
  <si>
    <t>COST-5213</t>
  </si>
  <si>
    <t>COST-5214</t>
  </si>
  <si>
    <t>COST-5026</t>
  </si>
  <si>
    <t>COST-5063</t>
  </si>
  <si>
    <t>COST-5064</t>
  </si>
  <si>
    <t>COST-5101</t>
  </si>
  <si>
    <t>COST-5102</t>
  </si>
  <si>
    <t>COST-5139</t>
  </si>
  <si>
    <t>COST-5140</t>
  </si>
  <si>
    <t>COST-5177</t>
  </si>
  <si>
    <t>COST-5178</t>
  </si>
  <si>
    <t>COST-5215</t>
  </si>
  <si>
    <t>COST-5216</t>
  </si>
  <si>
    <t>COST-5001</t>
  </si>
  <si>
    <t>COST-5002</t>
  </si>
  <si>
    <t>COST-5040</t>
  </si>
  <si>
    <t>COST-5077</t>
  </si>
  <si>
    <t>COST-5078</t>
  </si>
  <si>
    <t>COST-5115</t>
  </si>
  <si>
    <t>COST-5116</t>
  </si>
  <si>
    <t>COST-5153</t>
  </si>
  <si>
    <t>COST-5154</t>
  </si>
  <si>
    <t>COST-5191</t>
  </si>
  <si>
    <t>COST-5192</t>
  </si>
  <si>
    <t>COST-5003</t>
  </si>
  <si>
    <t>COST-5004</t>
  </si>
  <si>
    <t>COST-5041</t>
  </si>
  <si>
    <t>COST-5042</t>
  </si>
  <si>
    <t>COST-5079</t>
  </si>
  <si>
    <t>COST-5080</t>
  </si>
  <si>
    <t>COST-5117</t>
  </si>
  <si>
    <t>COST-5118</t>
  </si>
  <si>
    <t>COST-5155</t>
  </si>
  <si>
    <t>COST-5156</t>
  </si>
  <si>
    <t>COST-5193</t>
  </si>
  <si>
    <t>COST-5194</t>
  </si>
  <si>
    <t>COST-5005</t>
  </si>
  <si>
    <t>COST-5006</t>
  </si>
  <si>
    <t>COST-5043</t>
  </si>
  <si>
    <t>COST-5044</t>
  </si>
  <si>
    <t>COST-5081</t>
  </si>
  <si>
    <t>COST-5082</t>
  </si>
  <si>
    <t>COST-5119</t>
  </si>
  <si>
    <t>COST-5120</t>
  </si>
  <si>
    <t>COST-5157</t>
  </si>
  <si>
    <t>COST-5158</t>
  </si>
  <si>
    <t>COST-5195</t>
  </si>
  <si>
    <t>COST-5196</t>
  </si>
  <si>
    <t>COST-5007</t>
  </si>
  <si>
    <t>COST-5008</t>
  </si>
  <si>
    <t>COST-5045</t>
  </si>
  <si>
    <t>COST-5046</t>
  </si>
  <si>
    <t>COST-5083</t>
  </si>
  <si>
    <t>COST-5084</t>
  </si>
  <si>
    <t>COST-5122</t>
  </si>
  <si>
    <t>COST-5159</t>
  </si>
  <si>
    <t>COST-5160</t>
  </si>
  <si>
    <t>COST-5197</t>
  </si>
  <si>
    <t>COST-5198</t>
  </si>
  <si>
    <t>COST-5009</t>
  </si>
  <si>
    <t>COST-5010</t>
  </si>
  <si>
    <t>COST-5047</t>
  </si>
  <si>
    <t>COST-5048</t>
  </si>
  <si>
    <t>COST-5085</t>
  </si>
  <si>
    <t>COST-5086</t>
  </si>
  <si>
    <t>COST-5123</t>
  </si>
  <si>
    <t>COST-5124</t>
  </si>
  <si>
    <t>COST-5161</t>
  </si>
  <si>
    <t>COST-5162</t>
  </si>
  <si>
    <t>COST-5199</t>
  </si>
  <si>
    <t>COST-5011</t>
  </si>
  <si>
    <t>COST-5012</t>
  </si>
  <si>
    <t>COST-5049</t>
  </si>
  <si>
    <t>COST-5050</t>
  </si>
  <si>
    <t>COST-5087</t>
  </si>
  <si>
    <t>COST-5088</t>
  </si>
  <si>
    <t>COST-5125</t>
  </si>
  <si>
    <t>COST-5126</t>
  </si>
  <si>
    <t>COST-5163</t>
  </si>
  <si>
    <t>COST-5164</t>
  </si>
  <si>
    <t>COST-5201</t>
  </si>
  <si>
    <t>COST-5202</t>
  </si>
  <si>
    <t>COST-5013</t>
  </si>
  <si>
    <t>COST-5014</t>
  </si>
  <si>
    <t>COST-5051</t>
  </si>
  <si>
    <t>COST-5052</t>
  </si>
  <si>
    <t>COST-5089</t>
  </si>
  <si>
    <t>COST-5090</t>
  </si>
  <si>
    <t>COST-5127</t>
  </si>
  <si>
    <t>COST-5128</t>
  </si>
  <si>
    <t>COST-5165</t>
  </si>
  <si>
    <t>COST-5166</t>
  </si>
  <si>
    <t>COST-5203</t>
  </si>
  <si>
    <t>COST-5204</t>
  </si>
  <si>
    <t>COST-5015</t>
  </si>
  <si>
    <t>COST-5016</t>
  </si>
  <si>
    <t>COST-5053</t>
  </si>
  <si>
    <t>COST-5054</t>
  </si>
  <si>
    <t>COST-5091</t>
  </si>
  <si>
    <t>COST-5092</t>
  </si>
  <si>
    <t>COST-5129</t>
  </si>
  <si>
    <t>COST-5130</t>
  </si>
  <si>
    <t>COST-5167</t>
  </si>
  <si>
    <t>COST-5168</t>
  </si>
  <si>
    <t>COST-5205</t>
  </si>
  <si>
    <t>COST-5206</t>
  </si>
  <si>
    <t>BudgetID</t>
  </si>
  <si>
    <t>RevenueBudget</t>
  </si>
  <si>
    <t>VariableCostBudget</t>
  </si>
  <si>
    <t>FixedCostBudget</t>
  </si>
  <si>
    <t>ContributionProfitTarget</t>
  </si>
  <si>
    <t>OperatingProfitTarget</t>
  </si>
  <si>
    <t>Version</t>
  </si>
  <si>
    <t>BUD-2025-01-SI-NA</t>
  </si>
  <si>
    <t>Board Approved H1 2025</t>
  </si>
  <si>
    <t>BUD-2025-01-SI-EM</t>
  </si>
  <si>
    <t>BUD-2025-01-SI-AP</t>
  </si>
  <si>
    <t>BUD-2025-01-SI-LA</t>
  </si>
  <si>
    <t>BUD-2025-01-SA-NA</t>
  </si>
  <si>
    <t>BUD-2025-01-SA-EM</t>
  </si>
  <si>
    <t>BUD-2025-01-SA-AP</t>
  </si>
  <si>
    <t>BUD-2025-01-SA-LA</t>
  </si>
  <si>
    <t>BUD-2025-01-FS-NA</t>
  </si>
  <si>
    <t>BUD-2025-01-FS-EM</t>
  </si>
  <si>
    <t>BUD-2025-01-FS-AP</t>
  </si>
  <si>
    <t>BUD-2025-01-FS-LA</t>
  </si>
  <si>
    <t>BUD-2025-02-SI-NA</t>
  </si>
  <si>
    <t>BUD-2025-02-SI-EM</t>
  </si>
  <si>
    <t>BUD-2025-02-SI-AP</t>
  </si>
  <si>
    <t>BUD-2025-02-SI-LA</t>
  </si>
  <si>
    <t>BUD-2025-02-SA-NA</t>
  </si>
  <si>
    <t>BUD-2025-02-SA-EM</t>
  </si>
  <si>
    <t>BUD-2025-02-SA-AP</t>
  </si>
  <si>
    <t>BUD-2025-02-SA-LA</t>
  </si>
  <si>
    <t>BUD-2025-02-FS-NA</t>
  </si>
  <si>
    <t>BUD-2025-02-FS-EM</t>
  </si>
  <si>
    <t>BUD-2025-02-FS-AP</t>
  </si>
  <si>
    <t>BUD-2025-02-FS-LA</t>
  </si>
  <si>
    <t>BUD-2025-03-SI-NA</t>
  </si>
  <si>
    <t>BUD-2025-03-SI-EM</t>
  </si>
  <si>
    <t>BUD-2025-03-SI-AP</t>
  </si>
  <si>
    <t>BUD-2025-03-SI-LA</t>
  </si>
  <si>
    <t>BUD-2025-03-SA-NA</t>
  </si>
  <si>
    <t>BUD-2025-03-SA-EM</t>
  </si>
  <si>
    <t>BUD-2025-03-SA-AP</t>
  </si>
  <si>
    <t>BUD-2025-03-SA-LA</t>
  </si>
  <si>
    <t>BUD-2025-03-FS-NA</t>
  </si>
  <si>
    <t>BUD-2025-03-FS-EM</t>
  </si>
  <si>
    <t>BUD-2025-03-FS-AP</t>
  </si>
  <si>
    <t>BUD-2025-03-FS-LA</t>
  </si>
  <si>
    <t>BUD-2025-04-SI-NA</t>
  </si>
  <si>
    <t>Sensors and Instruments</t>
  </si>
  <si>
    <t>BUD-2025-04-SI-EM</t>
  </si>
  <si>
    <t>BUD-2025-04-SI-AP</t>
  </si>
  <si>
    <t>BUD-2025-04-SI-LA</t>
  </si>
  <si>
    <t>BUD-2025-04-SA-NA</t>
  </si>
  <si>
    <t>BUD-2025-04-SA-EM</t>
  </si>
  <si>
    <t>BUD-2025-04-SA-AP</t>
  </si>
  <si>
    <t>BUD-2025-04-SA-LA</t>
  </si>
  <si>
    <t>BUD-2025-04-FS-NA</t>
  </si>
  <si>
    <t>BUD-2025-04-FS-EM</t>
  </si>
  <si>
    <t>BUD-2025-04-FS-AP</t>
  </si>
  <si>
    <t>BUD-2025-04-FS-LA</t>
  </si>
  <si>
    <t>BUD-2025-05-SI-NA</t>
  </si>
  <si>
    <t>BUD-2025-05-SI-EM</t>
  </si>
  <si>
    <t>BUD-2025-05-SI-AP</t>
  </si>
  <si>
    <t>BUD-2025-05-SI-LA</t>
  </si>
  <si>
    <t>BUD-2025-05-SA-NA</t>
  </si>
  <si>
    <t>BUD-2025-05-SA-EM</t>
  </si>
  <si>
    <t>BUD-2025-05-SA-AP</t>
  </si>
  <si>
    <t>BUD-2025-05-SA-LA</t>
  </si>
  <si>
    <t>BUD-2025-05-FS-NA</t>
  </si>
  <si>
    <t>BUD-2025-05-FS-EM</t>
  </si>
  <si>
    <t>BUD-2025-05-FS-AP</t>
  </si>
  <si>
    <t>BUD-2025-05-FS-LA</t>
  </si>
  <si>
    <t>BUD-2025-06-SI-NA</t>
  </si>
  <si>
    <t>BUD-2025-06-SI-EM</t>
  </si>
  <si>
    <t>BUD-2025-06-SI-AP</t>
  </si>
  <si>
    <t>BUD-2025-06-SI-LA</t>
  </si>
  <si>
    <t>BUD-2025-06-SA-NA</t>
  </si>
  <si>
    <t>BUD-2025-06-SA-EM</t>
  </si>
  <si>
    <t>BUD-2025-06-SA-AP</t>
  </si>
  <si>
    <t>BUD-2025-06-SA-LA</t>
  </si>
  <si>
    <t>BUD-2025-06-FS-NA</t>
  </si>
  <si>
    <t>BUD-2025-06-FS-EM</t>
  </si>
  <si>
    <t>BUD-2025-06-FS-AP</t>
  </si>
  <si>
    <t>BUD-2025-06-FS-LA</t>
  </si>
  <si>
    <t>Michael Flynn</t>
  </si>
  <si>
    <t>Rebecca Herrera</t>
  </si>
  <si>
    <t>SI-NA</t>
  </si>
  <si>
    <t>Craig Wilson</t>
  </si>
  <si>
    <t>Katherine Church</t>
  </si>
  <si>
    <t>SI-EM</t>
  </si>
  <si>
    <t>James Long</t>
  </si>
  <si>
    <t>Harold Ellis</t>
  </si>
  <si>
    <t>SI-AP</t>
  </si>
  <si>
    <t>Michael Mcbride</t>
  </si>
  <si>
    <t>Leslie Powers</t>
  </si>
  <si>
    <t>SI-LA</t>
  </si>
  <si>
    <t>David Wilson</t>
  </si>
  <si>
    <t>Charles Price</t>
  </si>
  <si>
    <t>SA-NA</t>
  </si>
  <si>
    <t>Laura Henderson</t>
  </si>
  <si>
    <t>Mr. Thomas Arias</t>
  </si>
  <si>
    <t>SA-EM</t>
  </si>
  <si>
    <t>Christopher Roberts</t>
  </si>
  <si>
    <t>Ryan Harvey</t>
  </si>
  <si>
    <t>SA-AP</t>
  </si>
  <si>
    <t>Tiffany Washington</t>
  </si>
  <si>
    <t>James Hoffman</t>
  </si>
  <si>
    <t>SA-LA</t>
  </si>
  <si>
    <t>Jennifer Vasquez</t>
  </si>
  <si>
    <t>Jill Jackson</t>
  </si>
  <si>
    <t>FS-NA</t>
  </si>
  <si>
    <t>Rebecca Walker</t>
  </si>
  <si>
    <t>Danny Roberts</t>
  </si>
  <si>
    <t>FS-EM</t>
  </si>
  <si>
    <t>Krystal Barton</t>
  </si>
  <si>
    <t>Jorge Armstrong III</t>
  </si>
  <si>
    <t>FS-AP</t>
  </si>
  <si>
    <t>Wendy Weaver</t>
  </si>
  <si>
    <t>Olivia Alexander</t>
  </si>
  <si>
    <t>FS-LA</t>
  </si>
  <si>
    <t>RateToUSD</t>
  </si>
  <si>
    <t>RegionCode</t>
  </si>
  <si>
    <t>RegionCode_Clean</t>
  </si>
  <si>
    <t>RegionCode2</t>
  </si>
  <si>
    <t>PrimaryManager</t>
  </si>
  <si>
    <t>FinancePartner</t>
  </si>
  <si>
    <t>CostCenterPrefix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</si>
  <si>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</si>
  <si>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</si>
  <si>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</si>
  <si>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</si>
  <si>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</si>
  <si>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</si>
  <si>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</si>
  <si>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</si>
  <si>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Total</t>
  </si>
  <si>
    <t>Discount Rate</t>
  </si>
  <si>
    <t>Business Unit</t>
  </si>
  <si>
    <t>Gross Revenue</t>
  </si>
  <si>
    <t>Discount</t>
  </si>
  <si>
    <t>Discount Rate (%)</t>
  </si>
  <si>
    <t>Net Revenue</t>
  </si>
  <si>
    <t>Revenue Contribution (%)</t>
  </si>
  <si>
    <t xml:space="preserve">EMEA </t>
  </si>
  <si>
    <t>Customer Segment</t>
  </si>
  <si>
    <t>—</t>
  </si>
  <si>
    <t>Product Category</t>
  </si>
  <si>
    <t>Month</t>
  </si>
  <si>
    <t>Revenue Growth (%)</t>
  </si>
  <si>
    <t>Customer Type</t>
  </si>
  <si>
    <t>CustumerType</t>
  </si>
  <si>
    <t>Sales Channel</t>
  </si>
  <si>
    <t>ProductCategory</t>
  </si>
  <si>
    <t>Dimension</t>
  </si>
  <si>
    <t>Highest-Discount Cohort</t>
  </si>
  <si>
    <t>Revenue Contribution Rank</t>
  </si>
  <si>
    <t>3rd of 4</t>
  </si>
  <si>
    <t>2nd of 5</t>
  </si>
  <si>
    <t>2nd of 3</t>
  </si>
  <si>
    <t>Standard Variable Cost</t>
  </si>
  <si>
    <t>Actual Variable Cost</t>
  </si>
  <si>
    <t>Cost Variance vs Standard</t>
  </si>
  <si>
    <t>Cost Variance vs Standard %</t>
  </si>
  <si>
    <t>Negative = Unfavorable / Overrun; Positive = Favorable / Saving</t>
  </si>
  <si>
    <t>Cost Category</t>
  </si>
  <si>
    <t>Actual Cost</t>
  </si>
  <si>
    <t>% of Total Overhead</t>
  </si>
  <si>
    <t>Actual Overhead Cost</t>
  </si>
  <si>
    <t>Blank</t>
  </si>
  <si>
    <r>
      <t>Note:</t>
    </r>
    <r>
      <rPr>
        <sz val="11"/>
        <color theme="1"/>
        <rFont val="Aptos Narrow"/>
        <family val="2"/>
        <scheme val="minor"/>
      </rPr>
      <t xml:space="preserve"> P-SA-005 excluded from the cost-overrun ranking because January 2025 Variable COGS is missing. Complete monthly Actual Variable Cost data is required for a full H1 comparison.</t>
    </r>
  </si>
  <si>
    <t>H1 Quantity</t>
  </si>
  <si>
    <t>25-Jan</t>
  </si>
  <si>
    <t>25-Feb</t>
  </si>
  <si>
    <t>25-Mar</t>
  </si>
  <si>
    <t>25-Apr</t>
  </si>
  <si>
    <t>25-May</t>
  </si>
  <si>
    <t>25-Jun</t>
  </si>
  <si>
    <t>1/1/2025</t>
  </si>
  <si>
    <t>2/1/2025</t>
  </si>
  <si>
    <t>3/1/2025</t>
  </si>
  <si>
    <t>4/1/2025</t>
  </si>
  <si>
    <t>5/1/2025</t>
  </si>
  <si>
    <t>6/1/2025</t>
  </si>
  <si>
    <t>H1 Actual Variable Cost</t>
  </si>
  <si>
    <t>Three Product × Month Actual Variable Cost values were missing. The missing values were estimated using adjacent observed monthly costs: P-SA-005 (Jan-25) = average of Feb–Mar; P-SI-001 (Feb-25) = average of Jan–Mar; P-SI-004 (Apr-25) = average of Mar–May. Imputed values are estimates, not observed actuals.</t>
  </si>
  <si>
    <t>H1 Net Revenue</t>
  </si>
  <si>
    <t>Variable-Cost Intensity (%)</t>
  </si>
  <si>
    <t>Contribution Profit</t>
  </si>
  <si>
    <t>Contribution Margin %</t>
  </si>
  <si>
    <t>H1 COGS</t>
  </si>
  <si>
    <t>Gross Profit</t>
  </si>
  <si>
    <t>Gross Margin %</t>
  </si>
  <si>
    <t>H1 Variable Cost</t>
  </si>
  <si>
    <t>H1 Total</t>
  </si>
  <si>
    <t>RegionClean_</t>
  </si>
  <si>
    <t>H1 Fixed Cost</t>
  </si>
  <si>
    <t>B_Cat</t>
  </si>
  <si>
    <t>B_CAT</t>
  </si>
  <si>
    <t>\\</t>
  </si>
  <si>
    <t>Colonne1</t>
  </si>
  <si>
    <t>Net Contribution</t>
  </si>
  <si>
    <t>Net Revenue Contribution %</t>
  </si>
  <si>
    <t>01/01/2025</t>
  </si>
  <si>
    <t>02/01/25</t>
  </si>
  <si>
    <t>`</t>
  </si>
  <si>
    <t>Discount Rate %</t>
  </si>
  <si>
    <t>Revenue Contribution</t>
  </si>
  <si>
    <t>Metric</t>
  </si>
  <si>
    <t>H1 Actual</t>
  </si>
  <si>
    <t>H1 Budget</t>
  </si>
  <si>
    <t>Variance ($)</t>
  </si>
  <si>
    <t>Variance (%)</t>
  </si>
  <si>
    <t>Revenue</t>
  </si>
  <si>
    <t>Variable Cost</t>
  </si>
  <si>
    <t>Fixed Cost</t>
  </si>
  <si>
    <t>Operating Profit</t>
  </si>
  <si>
    <t>Actual Operating Profit</t>
  </si>
  <si>
    <t>Budget Operating Profit</t>
  </si>
  <si>
    <t>BusinessUnit_clean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</si>
</sst>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[$-409]mmm\-yy;@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50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16" fontId="0" fillId="0" borderId="0" xfId="0" applyNumberFormat="1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10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0" borderId="0" xfId="0" applyFont="1"/>
    <xf numFmtId="16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0" fillId="4" borderId="1" xfId="0" applyFill="1" applyBorder="1" applyAlignment="1">
      <alignment horizontal="right" vertical="center" wrapText="1"/>
    </xf>
    <xf numFmtId="0" fontId="4" fillId="4" borderId="1" xfId="0" applyFont="1" applyFill="1" applyBorder="1"/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horizontal="right" vertical="center" wrapText="1"/>
    </xf>
    <xf numFmtId="16" fontId="0" fillId="0" borderId="0" xfId="0" applyNumberFormat="1"/>
    <xf numFmtId="16" fontId="1" fillId="0" borderId="0" xfId="0" applyNumberFormat="1" applyFont="1" applyAlignment="1">
      <alignment horizontal="left" vertical="center" wrapText="1"/>
    </xf>
    <xf numFmtId="164" fontId="0" fillId="0" borderId="0" xfId="0" applyNumberFormat="1"/>
    <xf numFmtId="2" fontId="0" fillId="0" borderId="0" xfId="0" applyNumberFormat="1" applyAlignment="1">
      <alignment horizontal="right" vertical="center" wrapText="1"/>
    </xf>
    <xf numFmtId="0" fontId="5" fillId="0" borderId="0" xfId="1"/>
    <xf numFmtId="14" fontId="1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0" fontId="0" fillId="0" borderId="0" xfId="2" applyNumberFormat="1" applyFont="1" applyAlignment="1">
      <alignment horizontal="right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540">
    <dxf>
      <numFmt numFmtId="14" formatCode="0.00%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\-mmm"/>
      <alignment horizontal="left" vertical="center" textRotation="0" wrapText="1" indent="0" justifyLastLine="0" shrinkToFit="0" readingOrder="0"/>
    </dxf>
    <dxf>
      <numFmt numFmtId="165" formatCode="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m/d/yyyy"/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\-mmm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m/d/yyyy"/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\-mmm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166" formatCode="m/d/yyyy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"/>
    </dxf>
    <dxf>
      <numFmt numFmtId="0" formatCode="General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numFmt numFmtId="12" formatCode="&quot;$&quot;#,##0.00_);[Red]\(&quot;$&quot;#,##0.00\)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numFmt numFmtId="12" formatCode="&quot;$&quot;#,##0.00_);[Red]\(&quot;$&quot;#,##0.00\)"/>
      <alignment horizontal="right" vertical="center" textRotation="0" wrapText="1" indent="0" justifyLastLine="0" shrinkToFit="0" readingOrder="0"/>
    </dxf>
    <dxf>
      <numFmt numFmtId="10" formatCode="&quot;$&quot;#,##0_);[Red]\(&quot;$&quot;#,##0\)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\-mmm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66" formatCode="m/d/yyyy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14" formatCode="0.00%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988DA-C74A-4971-8104-3E245423DC52}" name="Table1" displayName="Table1" ref="A1:U1219" totalsRowCount="1">
  <autoFilter ref="A1:U1218" xr:uid="{B31988DA-C74A-4971-8104-3E245423DC52}">
    <filterColumn colId="4">
      <filters>
        <filter val="P-FS-001"/>
        <filter val="P-FS-002"/>
        <filter val="P-FS-003"/>
        <filter val="P-FS-004"/>
        <filter val="P-FS-005"/>
        <filter val="P-FS-006"/>
        <filter val="P-SA-001"/>
        <filter val="P-SA-002"/>
        <filter val="P-SA-003"/>
        <filter val="P-SA-004"/>
        <filter val="P-SA-005"/>
        <filter val="P-SI-001"/>
        <filter val="P-SI-002"/>
        <filter val="P-SI-003"/>
        <filter val="P-SI-004"/>
        <filter val="P-SI-005"/>
        <filter val="P-SI-006"/>
        <filter val="P-SI-007"/>
        <filter val="P-SI-008"/>
      </filters>
    </filterColumn>
  </autoFilter>
  <tableColumns count="21">
    <tableColumn id="1" xr3:uid="{2BDC618C-AE95-47D8-93C7-5E0B5BCDA77D}" name="TransactionID" totalsRowLabel="Total"/>
    <tableColumn id="2" xr3:uid="{020F6365-987B-487E-92A3-C086AF0115B1}" name="TransactionDate_Clean" dataDxfId="519"/>
    <tableColumn id="3" xr3:uid="{A44D1F88-A88D-4CCF-906E-AAA6469B1C78}" name="CustomerID_Check"/>
    <tableColumn id="20" xr3:uid="{1228DFC0-B8E4-4992-A981-380E6E2A131B}" name="ProductID" dataDxfId="518">
      <calculatedColumnFormula>UPPER(Table1[[#This Row],[ProductID_Clean]])</calculatedColumnFormula>
    </tableColumn>
    <tableColumn id="4" xr3:uid="{C521FAB8-AE9A-4A10-948B-8B50D24DB40D}" name="ProductID_Clean"/>
    <tableColumn id="5" xr3:uid="{9286E44F-859F-4846-984F-4DA106FBB2A9}" name="Region_Clean"/>
    <tableColumn id="17" xr3:uid="{31ABF5FC-B65C-402A-80D0-057C8844D88D}" name="RegionClean_" dataDxfId="517">
      <calculatedColumnFormula>TRIM(Table1[[#This Row],[Region_Clean]])</calculatedColumnFormula>
    </tableColumn>
    <tableColumn id="6" xr3:uid="{56C91F43-ECA8-45B9-BC67-AA3383B37454}" name="BusinessUnit_Clean"/>
    <tableColumn id="7" xr3:uid="{AE1AD886-A1CE-468A-BD83-56BD4652A209}" name="SalesChannelClean"/>
    <tableColumn id="8" xr3:uid="{7ED8A01F-271C-4DD2-8A30-A0479414A4FA}" name="Quantity" totalsRowFunction="sum" dataDxfId="516" totalsRowDxfId="515"/>
    <tableColumn id="9" xr3:uid="{1E842946-F626-48CD-9763-A11CE9B8B3C3}" name="UnitPrice_Clean" dataDxfId="514"/>
    <tableColumn id="10" xr3:uid="{EE071C9E-90DA-4CEF-9540-380964DD858F}" name="ListPrice"/>
    <tableColumn id="11" xr3:uid="{6F411B2D-295A-417F-9865-33D92168D0CB}" name="GrossRevenue_Analytical" totalsRowFunction="sum"/>
    <tableColumn id="12" xr3:uid="{0BC35DA0-D2E6-445C-97AC-C0F61D6963A4}" name="DiscountAmount_Analytical" totalsRowFunction="sum"/>
    <tableColumn id="13" xr3:uid="{1E0318A6-D119-4C75-A9E5-D8EB4B81BB5A}" name="NetRevenue_Analytical" totalsRowFunction="sum"/>
    <tableColumn id="14" xr3:uid="{934462DD-7D17-4FBE-9747-5BAA2C4539B2}" name="Currency"/>
    <tableColumn id="15" xr3:uid="{C458734A-A53D-4CF5-B8FD-0679C7313A9B}" name="ContractType_Clean"/>
    <tableColumn id="16" xr3:uid="{8B0AAABA-166B-4427-846C-DC37B58FDF6B}" name="CustomerSegment"/>
    <tableColumn id="18" xr3:uid="{7E72194C-7E77-4A4F-B155-C59321C87AA0}" name="ProductCategory" dataDxfId="513">
      <calculatedColumnFormula>TRIM(PROPER(_xlfn.XLOOKUP(Table1[[#This Row],[ProductID_Clean]],Table3[ProductID],Table3[Category],"Missing Value",0)))</calculatedColumnFormula>
    </tableColumn>
    <tableColumn id="19" xr3:uid="{D989F6DE-2D82-46FD-BA4E-F1AACB6AB045}" name="CustumerType" dataDxfId="512">
      <calculatedColumnFormula>_xlfn.XLOOKUP(Table1[[#This Row],[CustomerID_Check]],Table2[CustomerID],Table2[CustomerType],"Missing Value",0)</calculatedColumnFormula>
    </tableColumn>
    <tableColumn id="21" xr3:uid="{F8A6658F-B76B-4268-A5AE-71267D2A434A}" name="Column1" dataDxfId="5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DF8B9D-71DF-425D-BFF9-7F9EA125FD36}" name="Table8" displayName="Table8" ref="O1222:U1226" totalsRowCount="1" headerRowDxfId="510" dataDxfId="509">
  <autoFilter ref="O1222:U1225" xr:uid="{90DF8B9D-71DF-425D-BFF9-7F9EA125FD36}"/>
  <tableColumns count="7">
    <tableColumn id="1" xr3:uid="{6EE98021-63F6-46C8-ABA4-340CE61D1164}" name="Business Unit" totalsRowLabel="Total" dataDxfId="508" totalsRowDxfId="507"/>
    <tableColumn id="2" xr3:uid="{6FE6F81C-B944-4EE2-B99B-87D1E8985827}" name="Gross Revenue" totalsRowFunction="sum" dataDxfId="506" totalsRowDxfId="505">
      <calculatedColumnFormula>SUMIF(Table1[BusinessUnit_Clean],Table8[[#This Row],[Business Unit]],Table1[GrossRevenue_Analytical])</calculatedColumnFormula>
    </tableColumn>
    <tableColumn id="3" xr3:uid="{52157E86-781F-403F-B92D-3FDD4F34C525}" name="Discount" totalsRowFunction="sum" dataDxfId="504" totalsRowDxfId="503">
      <calculatedColumnFormula>SUMIF(Table1[BusinessUnit_Clean],Table8[[#This Row],[Business Unit]],Table1[DiscountAmount_Analytical])</calculatedColumnFormula>
    </tableColumn>
    <tableColumn id="4" xr3:uid="{56E2D2D3-5659-4A59-AAB7-926141B8314A}" name="Discount Rate (%)" dataDxfId="502" totalsRowDxfId="501">
      <calculatedColumnFormula>Table8[[#This Row],[Discount]]/Table8[[#This Row],[Gross Revenue]]</calculatedColumnFormula>
    </tableColumn>
    <tableColumn id="5" xr3:uid="{81D71F51-A4CD-43B9-9A47-E8B9BBAFCA48}" name="Net Revenue" totalsRowFunction="sum" dataDxfId="500" totalsRowDxfId="499">
      <calculatedColumnFormula>SUMIF(Table1[BusinessUnit_Clean],Table8[[#This Row],[Business Unit]],Table1[NetRevenue_Analytical])</calculatedColumnFormula>
    </tableColumn>
    <tableColumn id="6" xr3:uid="{220E787B-287D-430B-B55C-C27F8087BEB4}" name="Revenue Contribution (%)" totalsRowFunction="sum" dataDxfId="498" totalsRowDxfId="497">
      <calculatedColumnFormula>Table8[[#This Row],[Net Revenue]]/Table8[[#Totals],[Net Revenue]]</calculatedColumnFormula>
    </tableColumn>
    <tableColumn id="7" xr3:uid="{EBCE361B-EBF2-4131-B498-30B431DA285C}" name="Quantity" totalsRowFunction="sum" dataDxfId="496" totalsRowDxfId="495">
      <calculatedColumnFormula>SUMIF(Table1[BusinessUnit_Clean],Table8[[#This Row],[Business Unit]],Table1[Quantity])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25FFCC-3FA1-4264-A22C-E803F6023900}" name="Table9" displayName="Table9" ref="O1235:U1240" totalsRowCount="1" headerRowDxfId="494" dataDxfId="493">
  <autoFilter ref="O1235:U1239" xr:uid="{2325FFCC-3FA1-4264-A22C-E803F6023900}"/>
  <tableColumns count="7">
    <tableColumn id="1" xr3:uid="{3A06230D-EFD1-47B0-B59C-D5D9D81D2230}" name="Region" totalsRowLabel="Total" dataDxfId="492"/>
    <tableColumn id="2" xr3:uid="{026244C5-6CD3-43F9-933B-E4571AE692FB}" name="Gross Revenue" totalsRowFunction="sum" dataDxfId="491">
      <calculatedColumnFormula>SUMIF(Table1[RegionClean_],Table9[[#This Row],[Region]],Table1[GrossRevenue_Analytical])</calculatedColumnFormula>
    </tableColumn>
    <tableColumn id="3" xr3:uid="{9C7FF5BC-9698-40E2-B042-7A07E31C3165}" name="Discount" totalsRowFunction="sum" dataDxfId="490">
      <calculatedColumnFormula>SUMIF(Table1[RegionClean_],Table9[[#This Row],[Region]],Table1[DiscountAmount_Analytical])</calculatedColumnFormula>
    </tableColumn>
    <tableColumn id="4" xr3:uid="{7DC1E5EF-6C4B-4F32-8EF1-0D73652F97A7}" name="Discount Rate (%)" dataDxfId="489" totalsRowDxfId="488">
      <calculatedColumnFormula>Table9[[#This Row],[Discount]]/Table9[[#This Row],[Gross Revenue]]</calculatedColumnFormula>
    </tableColumn>
    <tableColumn id="5" xr3:uid="{42798BE3-D329-4F4F-9FA7-4F6B1C503B01}" name="Net Revenue" totalsRowFunction="sum" dataDxfId="487" totalsRowDxfId="486">
      <calculatedColumnFormula>SUMIF(Table1[RegionClean_],Table9[[#This Row],[Region]],Table1[NetRevenue_Analytical])</calculatedColumnFormula>
    </tableColumn>
    <tableColumn id="6" xr3:uid="{9CC5BA79-F451-4469-9FCC-09DF30C4D4C6}" name="Revenue Contribution (%)" totalsRowFunction="sum" dataDxfId="485">
      <calculatedColumnFormula>Table9[[#This Row],[Net Revenue]]/Table9[[#Totals],[Net Revenue]]</calculatedColumnFormula>
    </tableColumn>
    <tableColumn id="7" xr3:uid="{F58ED7FD-5F3B-43AF-A0AE-F6030F23F3E4}" name="Quantity" totalsRowFunction="sum" dataDxfId="484" totalsRowDxfId="483">
      <calculatedColumnFormula>SUMIF(Table1[RegionClean_],Table9[[#This Row],[Region]],Table1[Quantity])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06AC95-36C7-4298-A659-4CA0CA0EE1FD}" name="Table10" displayName="Table10" ref="O1260:U1266" totalsRowCount="1" headerRowDxfId="482" dataDxfId="481">
  <autoFilter ref="O1260:U1265" xr:uid="{DC06AC95-36C7-4298-A659-4CA0CA0EE1FD}"/>
  <tableColumns count="7">
    <tableColumn id="1" xr3:uid="{FC7CCBD4-563D-49D8-985F-0AB5E9034893}" name="Customer Segment" totalsRowLabel="Total" dataDxfId="480"/>
    <tableColumn id="2" xr3:uid="{32794BE1-09FD-43CF-A91F-E5F8F1B0FA48}" name="Gross Revenue" totalsRowFunction="sum" dataDxfId="479">
      <calculatedColumnFormula>SUMIF(Table1[CustomerSegment],Table10[[#This Row],[Customer Segment]],Table1[GrossRevenue_Analytical])</calculatedColumnFormula>
    </tableColumn>
    <tableColumn id="3" xr3:uid="{E51F04C1-DE57-4417-A70D-96E067901DF7}" name="Discount" totalsRowFunction="sum" dataDxfId="478" totalsRowDxfId="477">
      <calculatedColumnFormula>SUMIF(Table1[CustomerSegment],Table10[[#This Row],[Customer Segment]],Table1[DiscountAmount_Analytical])</calculatedColumnFormula>
    </tableColumn>
    <tableColumn id="4" xr3:uid="{5F0EEF62-56BB-42B4-A4F6-042320AE6281}" name="Discount Rate (%)" dataDxfId="476" totalsRowDxfId="475">
      <calculatedColumnFormula>Table10[[#This Row],[Discount]]/Table10[[#This Row],[Gross Revenue]]</calculatedColumnFormula>
    </tableColumn>
    <tableColumn id="5" xr3:uid="{DD74DC48-3845-4A81-BA35-F77B379CAF60}" name="Net Revenue" totalsRowFunction="sum" dataDxfId="474" totalsRowDxfId="473">
      <calculatedColumnFormula>SUMIF(Table1[CustomerSegment],Table10[[#This Row],[Customer Segment]],Table1[NetRevenue_Analytical])</calculatedColumnFormula>
    </tableColumn>
    <tableColumn id="6" xr3:uid="{1B6CC016-9DB7-4F44-B8C5-293491BF1563}" name="Revenue Contribution (%)" totalsRowFunction="sum" dataDxfId="472" totalsRowDxfId="471">
      <calculatedColumnFormula>Table10[[#This Row],[Net Revenue]]/Table10[[#Totals],[Net Revenue]]</calculatedColumnFormula>
    </tableColumn>
    <tableColumn id="7" xr3:uid="{C389B00F-6661-4DE0-9D82-EDB334D30C10}" name="Quantity" totalsRowFunction="sum" dataDxfId="470" totalsRowDxfId="469">
      <calculatedColumnFormula>SUMIF(Table1[CustomerSegment],Table10[[#This Row],[Customer Segment]],Table1[Quantity])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560E04-5B67-4B16-BFE8-111C782C7348}" name="Table11" displayName="Table11" ref="O1268:U1274" totalsRowCount="1" headerRowDxfId="468" dataDxfId="467">
  <autoFilter ref="O1268:U1273" xr:uid="{41560E04-5B67-4B16-BFE8-111C782C7348}"/>
  <tableColumns count="7">
    <tableColumn id="1" xr3:uid="{4618498A-5D5E-4CCE-A8F1-9D88BA243157}" name="Product Category" totalsRowLabel="Total" dataDxfId="466"/>
    <tableColumn id="2" xr3:uid="{095E8C05-F8E3-44B1-9878-45B9A52ACF57}" name="Gross Revenue" totalsRowFunction="sum" dataDxfId="465">
      <calculatedColumnFormula>SUMIF(Table1[ProductCategory],Table11[[#This Row],[Product Category]],Table1[GrossRevenue_Analytical])</calculatedColumnFormula>
    </tableColumn>
    <tableColumn id="3" xr3:uid="{562CC3E5-CBED-4B08-A7DB-A649FA299E8B}" name="Discount" totalsRowFunction="sum" dataDxfId="464" totalsRowDxfId="463">
      <calculatedColumnFormula>SUMIF(Table1[ProductCategory],Table11[[#This Row],[Product Category]],Table1[DiscountAmount_Analytical])</calculatedColumnFormula>
    </tableColumn>
    <tableColumn id="4" xr3:uid="{0BB8E543-09E9-467D-8A77-591DE685054D}" name="Discount Rate (%)" dataDxfId="462" totalsRowDxfId="461">
      <calculatedColumnFormula>Table11[[#This Row],[Discount]]/Table11[[#This Row],[Gross Revenue]]</calculatedColumnFormula>
    </tableColumn>
    <tableColumn id="5" xr3:uid="{290CFBB0-F39D-4DFF-98BB-87E8B4AA3475}" name="Net Revenue" totalsRowFunction="sum" dataDxfId="460" totalsRowDxfId="459">
      <calculatedColumnFormula>SUMIF(Table1[ProductCategory],Table11[[#This Row],[Product Category]],Table1[NetRevenue_Analytical])</calculatedColumnFormula>
    </tableColumn>
    <tableColumn id="6" xr3:uid="{83768789-030F-475E-B74E-38BDE1FDE720}" name="Revenue Contribution (%)" totalsRowFunction="sum" dataDxfId="458" totalsRowDxfId="457">
      <calculatedColumnFormula>Table11[[#This Row],[Net Revenue]]/Table11[[#Totals],[Net Revenue]]</calculatedColumnFormula>
    </tableColumn>
    <tableColumn id="7" xr3:uid="{2FF5E841-AFD8-44CE-9173-0AF5CE6C2423}" name="Quantity" totalsRowFunction="sum" dataDxfId="456" totalsRowDxfId="455">
      <calculatedColumnFormula>SUMIF(Table1[ProductCategory],Table11[[#This Row],[Product Category]],Table1[Quantity])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D4A674A-2E69-47EB-B92D-369BADE22F73}" name="Table12" displayName="Table12" ref="F1238:K1245" totalsRowCount="1" headerRowDxfId="454" dataDxfId="453">
  <autoFilter ref="F1238:K1244" xr:uid="{2D4A674A-2E69-47EB-B92D-369BADE22F73}"/>
  <tableColumns count="6">
    <tableColumn id="1" xr3:uid="{8DAB3F4F-C336-4F7F-9124-466E6538DFB6}" name="Month" totalsRowLabel="Total" dataDxfId="452" totalsRowDxfId="451"/>
    <tableColumn id="2" xr3:uid="{05C17DAF-A78C-4D16-9F13-65A7137BAB34}" name="Gross Revenue" totalsRowFunction="sum" dataDxfId="450" totalsRowDxfId="449">
      <calculatedColumnFormula>SUMIFS(Table1[GrossRevenue_Analytical],Table1[TransactionDate_Clean],"&gt;"&amp;EOMONTH(Table12[[#This Row],[Month]],-1),Table1[TransactionDate_Clean],"&lt;="&amp;Table12[[#This Row],[Month]])</calculatedColumnFormula>
    </tableColumn>
    <tableColumn id="3" xr3:uid="{9FBDFABF-5A64-406B-B904-136C2E64DB75}" name="Discount" totalsRowFunction="sum" dataDxfId="448" totalsRowDxfId="447">
      <calculatedColumnFormula>SUMIFS(Table1[DiscountAmount_Analytical],Table1[TransactionDate_Clean],"&gt;"&amp;EOMONTH(Table12[[#This Row],[Month]],-1),Table1[TransactionDate_Clean],"&lt;="&amp;Table12[[#This Row],[Month]])</calculatedColumnFormula>
    </tableColumn>
    <tableColumn id="4" xr3:uid="{9EEDD908-6CA6-4857-8390-ACC7B8228A12}" name="Net Revenue" totalsRowFunction="sum" dataDxfId="446" totalsRowDxfId="445">
      <calculatedColumnFormula>SUMIFS(Table1[NetRevenue_Analytical],Table1[TransactionDate_Clean],"&gt;"&amp;EOMONTH(Table12[[#This Row],[Month]],-1),Table1[TransactionDate_Clean],"&lt;="&amp;Table12[[#This Row],[Month]])</calculatedColumnFormula>
    </tableColumn>
    <tableColumn id="5" xr3:uid="{A3C70409-07D0-40BD-922A-4AEE19FB4100}" name="Revenue Growth (%)" dataDxfId="444" totalsRowDxfId="443"/>
    <tableColumn id="6" xr3:uid="{4B88047F-AEB6-4E39-B71A-0D5C373A0685}" name="Quantity" totalsRowFunction="sum" dataDxfId="442" totalsRowDxfId="441">
      <calculatedColumnFormula>SUMIFS(Table1[Quantity],Table1[TransactionDate_Clean],"&gt;"&amp;EOMONTH(Table12[[#This Row],[Month]],-1),Table1[TransactionDate_Clean],"&lt;="&amp;Table12[[#This Row],[Month]])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E90D0DA-55F5-4446-BAC7-CDC13D64CD61}" name="Table16" displayName="Table16" ref="O1277:U1282" totalsRowCount="1" headerRowDxfId="440" dataDxfId="439">
  <autoFilter ref="O1277:U1281" xr:uid="{9E90D0DA-55F5-4446-BAC7-CDC13D64CD61}"/>
  <tableColumns count="7">
    <tableColumn id="1" xr3:uid="{9D74A79D-D885-4EE7-9F01-746990DF4E7B}" name="Customer Type" totalsRowLabel="Total" dataDxfId="438" totalsRowDxfId="437"/>
    <tableColumn id="2" xr3:uid="{20A8D6EC-5C8B-4C90-816F-8272D29CE278}" name="Gross Revenue" totalsRowFunction="sum" dataDxfId="436" totalsRowDxfId="435">
      <calculatedColumnFormula>SUMIF(Table1[CustumerType],Table16[[#This Row],[Customer Type]],Table1[GrossRevenue_Analytical])</calculatedColumnFormula>
    </tableColumn>
    <tableColumn id="3" xr3:uid="{9C182267-734F-4F04-B117-16E7351FF34C}" name="Discount" totalsRowFunction="sum" dataDxfId="434" totalsRowDxfId="433">
      <calculatedColumnFormula>SUMIF(Table1[CustumerType],Table16[[#This Row],[Customer Type]],Table1[DiscountAmount_Analytical])</calculatedColumnFormula>
    </tableColumn>
    <tableColumn id="4" xr3:uid="{AED89F7F-AC5B-46D8-B88C-0AD9E2AD81A7}" name="Discount Rate (%)" dataDxfId="432" totalsRowDxfId="431">
      <calculatedColumnFormula>Table16[[#This Row],[Discount]]/Table16[[#This Row],[Gross Revenue]]</calculatedColumnFormula>
    </tableColumn>
    <tableColumn id="5" xr3:uid="{4C496B39-105D-441C-8CA9-115DBC52A919}" name="Net Revenue" totalsRowFunction="sum" dataDxfId="430" totalsRowDxfId="429">
      <calculatedColumnFormula>SUMIF(Table1[CustumerType],Table16[[#This Row],[Customer Type]],Table1[NetRevenue_Analytical])</calculatedColumnFormula>
    </tableColumn>
    <tableColumn id="6" xr3:uid="{53359935-8C32-4B39-ACD1-A2507EA669CA}" name="Revenue Contribution (%)" totalsRowFunction="sum" dataDxfId="428" totalsRowDxfId="427">
      <calculatedColumnFormula>Table16[[#This Row],[Net Revenue]]/Table16[[#Totals],[Net Revenue]]</calculatedColumnFormula>
    </tableColumn>
    <tableColumn id="7" xr3:uid="{C1B07DE1-A64C-477E-B996-47CA3A828B6A}" name="Quantity" totalsRowFunction="sum" dataDxfId="426" totalsRowDxfId="425">
      <calculatedColumnFormula>SUMIF(Table1[CustumerType],Table16[[#This Row],[Customer Type]],Table1[Quantity])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DCACFD-F1F8-4B03-94F5-D050FC1B62A9}" name="Table17" displayName="Table17" ref="O1285:U1289" totalsRowCount="1" headerRowDxfId="424" dataDxfId="423">
  <autoFilter ref="O1285:U1288" xr:uid="{FADCACFD-F1F8-4B03-94F5-D050FC1B62A9}"/>
  <tableColumns count="7">
    <tableColumn id="1" xr3:uid="{F926EBF3-9C10-4514-9D7E-91D60B4174D4}" name="Sales Channel" totalsRowLabel="Total" dataDxfId="422" totalsRowDxfId="421"/>
    <tableColumn id="2" xr3:uid="{801C96D2-B590-444C-BF6D-6346838680D4}" name="Gross Revenue" totalsRowFunction="sum" dataDxfId="420" totalsRowDxfId="419">
      <calculatedColumnFormula>SUMIF(Table1[SalesChannelClean],Table17[[#This Row],[Sales Channel]],Table1[GrossRevenue_Analytical])</calculatedColumnFormula>
    </tableColumn>
    <tableColumn id="3" xr3:uid="{46196CDB-5E73-447C-BD45-39EB80E5ABEF}" name="Discount" totalsRowFunction="sum" dataDxfId="418" totalsRowDxfId="417">
      <calculatedColumnFormula>SUMIF(Table1[SalesChannelClean],Table17[[#This Row],[Sales Channel]],Table1[DiscountAmount_Analytical])</calculatedColumnFormula>
    </tableColumn>
    <tableColumn id="4" xr3:uid="{30851E26-53E9-41DF-BAF6-32729AFB938F}" name="Discount Rate (%)" dataDxfId="416" totalsRowDxfId="415">
      <calculatedColumnFormula>Table17[[#This Row],[Discount]]/Table17[[#This Row],[Gross Revenue]]</calculatedColumnFormula>
    </tableColumn>
    <tableColumn id="5" xr3:uid="{1A649FB2-D76D-4485-B9E0-06C0F1533D11}" name="Net Revenue" totalsRowFunction="sum" dataDxfId="414" totalsRowDxfId="413">
      <calculatedColumnFormula>SUMIF(Table1[SalesChannelClean],Table17[[#This Row],[Sales Channel]],Table1[NetRevenue_Analytical])</calculatedColumnFormula>
    </tableColumn>
    <tableColumn id="6" xr3:uid="{508D9D0F-7140-477E-A9EB-35512AC3912D}" name="Revenue Contribution (%)" totalsRowFunction="sum" dataDxfId="412" totalsRowDxfId="411">
      <calculatedColumnFormula>Table17[[#This Row],[Net Revenue]]/Table17[[#Totals],[Net Revenue]]</calculatedColumnFormula>
    </tableColumn>
    <tableColumn id="7" xr3:uid="{CD751F48-1558-4C26-9BAF-CB4350AD84ED}" name="Quantity" totalsRowFunction="sum" dataDxfId="410" totalsRowDxfId="409">
      <calculatedColumnFormula>SUMIF(Table1[SalesChannelClean],Table17[[#This Row],[Sales Channel]],Table1[Quantity])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C8E31D3-93CF-4E2F-A10F-D256921BCCB0}" name="Table13" displayName="Table13" ref="O1293:W1297" totalsRowShown="0" headerRowDxfId="408">
  <autoFilter ref="O1293:W1297" xr:uid="{0C8E31D3-93CF-4E2F-A10F-D256921BCCB0}"/>
  <tableColumns count="9">
    <tableColumn id="1" xr3:uid="{7E1E9CED-542C-4992-96A4-94FAE434BACE}" name="Dimension" dataDxfId="407"/>
    <tableColumn id="2" xr3:uid="{41F3CBF6-4C41-4214-9159-99911B8A08C9}" name="Highest-Discount Cohort" dataDxfId="406"/>
    <tableColumn id="3" xr3:uid="{64A075A4-DAB1-4C2A-95F6-3BB53B8BECC6}" name="Gross Revenue" dataDxfId="405"/>
    <tableColumn id="4" xr3:uid="{BBE2A8D5-D87C-4498-BF42-E2494EA0C724}" name="Discount" dataDxfId="404"/>
    <tableColumn id="5" xr3:uid="{C5D9A8C7-5D6F-4A50-B0BA-E5C9F8B9EFE9}" name="Discount Rate (%)" dataDxfId="403"/>
    <tableColumn id="6" xr3:uid="{CC4EB9C6-01D3-49D7-97E1-51B097028CF2}" name="Net Revenue" dataDxfId="402"/>
    <tableColumn id="7" xr3:uid="{53192EFB-6AE7-4460-9989-7EAF2C03367C}" name="Revenue Contribution (%)" dataDxfId="401"/>
    <tableColumn id="8" xr3:uid="{0F139A9E-65AC-4FFF-9FC5-2814CFD56BFB}" name="Revenue Contribution Rank" dataDxfId="400"/>
    <tableColumn id="9" xr3:uid="{9E4C0343-892C-49E2-A7B3-EDE9B9A7A6CF}" name="Quantity" dataDxfId="39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0F62D-AADC-4204-80DD-A5993A91A9F0}" name="Table14" displayName="Table14" ref="F1263:L1283" totalsRowCount="1" headerRowDxfId="398" dataDxfId="397">
  <autoFilter ref="F1263:L1282" xr:uid="{3B10F62D-AADC-4204-80DD-A5993A91A9F0}"/>
  <sortState xmlns:xlrd2="http://schemas.microsoft.com/office/spreadsheetml/2017/richdata2" ref="F1264:L1282">
    <sortCondition ref="F1263:F1282"/>
  </sortState>
  <tableColumns count="7">
    <tableColumn id="1" xr3:uid="{748026C8-AC44-4776-80BC-4871E24E5E7E}" name="ProductID" totalsRowLabel="Total" dataDxfId="396" totalsRowDxfId="395"/>
    <tableColumn id="2" xr3:uid="{9E3213E0-D1F4-4DF3-87BF-06AC7D5E198C}" name="Gross Revenue" totalsRowFunction="sum" dataDxfId="394" totalsRowDxfId="393">
      <calculatedColumnFormula>SUMIF(Table1[ProductID_Clean],Table14[[#This Row],[ProductID]],Table1[GrossRevenue_Analytical])</calculatedColumnFormula>
    </tableColumn>
    <tableColumn id="3" xr3:uid="{388C7C51-D9A2-41C6-8085-FD7C89114226}" name="Discount" totalsRowFunction="sum" dataDxfId="392" totalsRowDxfId="391">
      <calculatedColumnFormula>SUMIF(Table1[ProductID_Clean],Table14[[#This Row],[ProductID]],Table1[DiscountAmount_Analytical])</calculatedColumnFormula>
    </tableColumn>
    <tableColumn id="4" xr3:uid="{7E130657-6C50-41C4-8A6F-67B08E697974}" name="Discount Rate (%)" dataDxfId="390" totalsRowDxfId="389">
      <calculatedColumnFormula>Table14[[#This Row],[Discount]]/Table14[[#This Row],[Gross Revenue]]</calculatedColumnFormula>
    </tableColumn>
    <tableColumn id="5" xr3:uid="{B19EBDFA-CA1F-447D-A373-C3711F96824E}" name="Net Revenue" totalsRowFunction="sum" dataDxfId="388" totalsRowDxfId="387">
      <calculatedColumnFormula>SUMIF(Table1[ProductID_Clean],Table14[[#This Row],[ProductID]],Table1[NetRevenue_Analytical])</calculatedColumnFormula>
    </tableColumn>
    <tableColumn id="6" xr3:uid="{C06477E3-DE94-49F0-A0AB-A3301B824349}" name="Revenue Contribution (%)" totalsRowFunction="sum" dataDxfId="386" totalsRowDxfId="385">
      <calculatedColumnFormula>Table14[[#This Row],[Net Revenue]]/Table14[[#Totals],[Net Revenue]]</calculatedColumnFormula>
    </tableColumn>
    <tableColumn id="7" xr3:uid="{8FF9339C-915D-4434-9731-655EEF4141B0}" name="Quantity" totalsRowFunction="sum" dataDxfId="384">
      <calculatedColumnFormula>SUMIF(Table1[ProductID_Clean],Table14[[#This Row],[ProductID]],Table1[Quantity])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C354CE2-79DD-44E9-AA83-5DE535255912}" name="Invalid_ProductID_Exclusion" displayName="Invalid_ProductID_Exclusion" ref="O1242:U1247" totalsRowCount="1" headerRowDxfId="383" dataDxfId="382">
  <autoFilter ref="O1242:U1246" xr:uid="{BC354CE2-79DD-44E9-AA83-5DE535255912}"/>
  <tableColumns count="7">
    <tableColumn id="1" xr3:uid="{61406638-57B3-48EB-9BE6-5D1412706A09}" name="Region" totalsRowLabel="Total" dataDxfId="381" totalsRowDxfId="380"/>
    <tableColumn id="2" xr3:uid="{F8231545-762F-4B44-867F-7BA4DCB5FD75}" name="Column1" dataDxfId="379" totalsRowDxfId="378"/>
    <tableColumn id="3" xr3:uid="{412BB69C-1500-404C-BE5F-58D14B082048}" name="Gross Revenue" totalsRowFunction="sum" dataDxfId="377" totalsRowDxfId="376">
      <calculatedColumnFormula array="1">SUMIFS(Table1[GrossRevenue_Analytical],Table1[RegionClean_],Invalid_ProductID_Exclusion[[#This Row],[Region]],Table1[ProductID_Clean],Table3[ProductID])</calculatedColumnFormula>
    </tableColumn>
    <tableColumn id="4" xr3:uid="{FA478734-8A3C-4E6A-90DE-28FAB3F8D0AE}" name="Discount" totalsRowFunction="sum" dataDxfId="375" totalsRowDxfId="374"/>
    <tableColumn id="5" xr3:uid="{0336C7B8-1369-4863-BEE8-CD771DA4612E}" name="Net Revenue" totalsRowFunction="sum" dataDxfId="373" totalsRowDxfId="372">
      <calculatedColumnFormula>Invalid_ProductID_Exclusion[[#This Row],[Gross Revenue]]-Invalid_ProductID_Exclusion[[#This Row],[Discount]]</calculatedColumnFormula>
    </tableColumn>
    <tableColumn id="6" xr3:uid="{B549E1BC-F161-42B7-9F98-1F023AA05516}" name="Net Contribution" totalsRowFunction="sum" dataDxfId="371" totalsRowDxfId="370">
      <calculatedColumnFormula>Invalid_ProductID_Exclusion[[#This Row],[Net Revenue]]/Invalid_ProductID_Exclusion[[#Totals],[Net Revenue]]</calculatedColumnFormula>
    </tableColumn>
    <tableColumn id="7" xr3:uid="{8111D5E8-648F-41D8-9994-1B7DF890420D}" name="Quantity" totalsRowFunction="sum" dataDxfId="369" totalsRowDxfId="36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F3F8631-6806-4E70-9643-7C8A13988793}" name="Business_Unit_Valid_Product_Revenue" displayName="Business_Unit_Valid_Product_Revenue" ref="O1228:T1232" totalsRowCount="1" headerRowDxfId="367" dataDxfId="366">
  <autoFilter ref="O1228:T1231" xr:uid="{2F3F8631-6806-4E70-9643-7C8A13988793}"/>
  <tableColumns count="6">
    <tableColumn id="1" xr3:uid="{59EE9693-BBB3-4B7A-B8D5-7A14E2C5CF68}" name="Business Unit" totalsRowLabel="Total" dataDxfId="365" totalsRowDxfId="364"/>
    <tableColumn id="2" xr3:uid="{02275D38-0CF7-4C79-A7B1-9CA64FB70C58}" name="Gross Revenue" totalsRowFunction="sum" dataDxfId="363" totalsRowDxfId="362"/>
    <tableColumn id="3" xr3:uid="{8755E7AA-584B-4EB6-9D47-CFF2D0545570}" name="Discount" dataDxfId="361" totalsRowDxfId="360"/>
    <tableColumn id="4" xr3:uid="{A8FFB204-5179-4FB5-B32F-88FD9A9BA49C}" name="Net Revenue" totalsRowFunction="sum" dataDxfId="359" totalsRowDxfId="358">
      <calculatedColumnFormula>Business_Unit_Valid_Product_Revenue[[#This Row],[Gross Revenue]]-Business_Unit_Valid_Product_Revenue[[#This Row],[Discount]]</calculatedColumnFormula>
    </tableColumn>
    <tableColumn id="5" xr3:uid="{ACFA8109-68AA-42B1-B0E1-1C204707001C}" name="Net Revenue Contribution %" totalsRowFunction="sum" dataDxfId="357" totalsRowDxfId="356">
      <calculatedColumnFormula>Business_Unit_Valid_Product_Revenue[[#This Row],[Net Revenue]]/Business_Unit_Valid_Product_Revenue[[#Totals],[Net Revenue]]</calculatedColumnFormula>
    </tableColumn>
    <tableColumn id="6" xr3:uid="{3AF02118-26ED-45C7-89A3-0D37DF796114}" name="Quantity" totalsRowFunction="sum" dataDxfId="355" totalsRowDxfId="35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EC32435-D7F6-45A2-9B8C-A93CE73B4248}" name="Product_Category_Valid_Product_Revenue" displayName="Product_Category_Valid_Product_Revenue" ref="O1249:U1255" totalsRowCount="1" headerRowDxfId="353" dataDxfId="352">
  <autoFilter ref="O1249:U1254" xr:uid="{AEC32435-D7F6-45A2-9B8C-A93CE73B4248}"/>
  <tableColumns count="7">
    <tableColumn id="1" xr3:uid="{F42D3420-C553-4E2A-9909-682DD829F9D2}" name="Product Category" dataDxfId="351" totalsRowDxfId="350"/>
    <tableColumn id="2" xr3:uid="{75DBBE0A-F2BF-4B04-B06B-F2E6DDCF5B38}" name="Gross Revenue" totalsRowFunction="sum" dataDxfId="349" totalsRowDxfId="348"/>
    <tableColumn id="3" xr3:uid="{F26C264D-9446-4312-8C6A-A0DEFFA7351B}" name="Discount" totalsRowFunction="sum" dataDxfId="347" totalsRowDxfId="346"/>
    <tableColumn id="4" xr3:uid="{3EB247BC-E3BF-4964-A773-F0D9721D4FEC}" name="Discount Rate %" dataDxfId="345" totalsRowDxfId="344">
      <calculatedColumnFormula>Product_Category_Valid_Product_Revenue[[#This Row],[Discount]]/Product_Category_Valid_Product_Revenue[[#This Row],[Gross Revenue]]</calculatedColumnFormula>
    </tableColumn>
    <tableColumn id="5" xr3:uid="{E21E50E7-48D6-491B-8E5E-36CC9B4B64D5}" name="Net Revenue" totalsRowFunction="sum" dataDxfId="343" totalsRowDxfId="342">
      <calculatedColumnFormula>Product_Category_Valid_Product_Revenue[[#This Row],[Gross Revenue]]-Product_Category_Valid_Product_Revenue[[#This Row],[Discount]]</calculatedColumnFormula>
    </tableColumn>
    <tableColumn id="6" xr3:uid="{7BBC5B6C-8654-4234-AC6C-FBB44EF55D70}" name="Net Revenue Contribution %" totalsRowFunction="sum" dataDxfId="341" totalsRowDxfId="340">
      <calculatedColumnFormula>Product_Category_Valid_Product_Revenue[[#This Row],[Net Revenue]]/Product_Category_Valid_Product_Revenue[[#Totals],[Net Revenue]]</calculatedColumnFormula>
    </tableColumn>
    <tableColumn id="7" xr3:uid="{AAFF0878-C5C7-4013-96EF-5CD8569E31FE}" name="Quantity" totalsRowFunction="sum" dataDxfId="339" totalsRowDxfId="33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A40B6DE-CC39-4E86-9973-189F3C781A86}" name="Table57" displayName="Table57" ref="F1286:L1292" totalsRowCount="1" headerRowDxfId="337" dataDxfId="336">
  <autoFilter ref="F1286:L1291" xr:uid="{9A40B6DE-CC39-4E86-9973-189F3C781A86}"/>
  <tableColumns count="7">
    <tableColumn id="1" xr3:uid="{94EFD3D9-9778-4C3F-A703-56A93B9A21D1}" name="Customer Segment" totalsRowLabel="Total" dataDxfId="335" totalsRowDxfId="334"/>
    <tableColumn id="2" xr3:uid="{7C67EAC6-3D41-4241-9B0D-ADE46C1DF32A}" name="Gross Revenue" totalsRowFunction="sum" dataDxfId="333" totalsRowDxfId="332"/>
    <tableColumn id="3" xr3:uid="{9345904F-3BBD-4AFB-9977-D35304FD1A73}" name="Discount" totalsRowFunction="sum" dataDxfId="331" totalsRowDxfId="330"/>
    <tableColumn id="4" xr3:uid="{081C38B8-88F7-475B-80C7-330ED021F360}" name="Discount Rate" dataDxfId="329" totalsRowDxfId="328">
      <calculatedColumnFormula>Table57[[#This Row],[Discount]]/Table57[[#This Row],[Gross Revenue]]</calculatedColumnFormula>
    </tableColumn>
    <tableColumn id="5" xr3:uid="{8CDD4A2C-A6C8-48CC-8147-A3E49F03A13F}" name="Net Revenue" totalsRowFunction="sum" dataDxfId="327" totalsRowDxfId="326">
      <calculatedColumnFormula>Table57[[#This Row],[Gross Revenue]]-Table57[[#This Row],[Discount]]</calculatedColumnFormula>
    </tableColumn>
    <tableColumn id="6" xr3:uid="{68642CBC-D42A-40DF-B66B-47DE4AC11546}" name="Revenue Contribution" totalsRowFunction="sum" dataDxfId="325" totalsRowDxfId="324">
      <calculatedColumnFormula>Table57[[#This Row],[Net Revenue]]/Table57[[#Totals],[Net Revenue]]</calculatedColumnFormula>
    </tableColumn>
    <tableColumn id="7" xr3:uid="{8408DED6-93E4-4BFF-B33B-55F0404E0CA4}" name="Quantity" totalsRowFunction="sum" dataDxfId="323" totalsRowDxfId="32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D1EAD7-EDF3-4794-9669-6B9DC09EEBC8}" name="Table2" displayName="Table2" ref="A1:N186" totalsRowShown="0">
  <autoFilter ref="A1:N186" xr:uid="{3DD1EAD7-EDF3-4794-9669-6B9DC09EEBC8}"/>
  <tableColumns count="14">
    <tableColumn id="1" xr3:uid="{D28967BA-DB06-456C-9C83-C9FB5C0439F7}" name="CustomerID"/>
    <tableColumn id="2" xr3:uid="{1F35F4FA-5183-4DEE-97A6-28CB48700AC5}" name="CustomerName"/>
    <tableColumn id="3" xr3:uid="{BACBE850-39B9-4D47-A933-8637E2A59BF2}" name="CustomerName_Clean"/>
    <tableColumn id="4" xr3:uid="{CC39CAFA-DAE7-4151-898D-FF009DD87660}" name="CustomerSegment"/>
    <tableColumn id="5" xr3:uid="{FE0CE86E-422F-41C2-BA9A-86B15B9382FA}" name="CustomerSegment_Clean"/>
    <tableColumn id="6" xr3:uid="{82E549ED-CD92-4F11-A697-7836B4739888}" name="CustomerType"/>
    <tableColumn id="7" xr3:uid="{CBB3DA74-CC53-4AD6-89F9-31134ED940CF}" name="Region"/>
    <tableColumn id="8" xr3:uid="{D101C0B1-F697-4728-9F50-F8DC8A9CFE92}" name="Region_Clean"/>
    <tableColumn id="9" xr3:uid="{5C0104AF-089F-4D08-B273-3427D44548C9}" name="Industry"/>
    <tableColumn id="10" xr3:uid="{D7FE7864-9190-447D-BD7B-0EE9D0837DCF}" name="AccountStatus"/>
    <tableColumn id="11" xr3:uid="{908BF504-ABC6-4AE9-9374-0F0865B1E3E8}" name="AccountStatus_Clean"/>
    <tableColumn id="12" xr3:uid="{E39F90FA-A4D1-47FC-BB55-3B61145FE01D}" name="PrimaryContact"/>
    <tableColumn id="13" xr3:uid="{0270FABD-BD31-4FC5-8AEF-C70D67D90D74}" name="CreditLimit"/>
    <tableColumn id="14" xr3:uid="{65441EE5-8E34-443C-8DEB-657686EC4143}" name="CreditLimit_Clea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ADB8D-F8DE-4CEC-9A4C-7F7878959EE2}" name="Table3" displayName="Table3" ref="A1:K20" totalsRowShown="0">
  <autoFilter ref="A1:K20" xr:uid="{ED5ADB8D-F8DE-4CEC-9A4C-7F7878959EE2}"/>
  <tableColumns count="11">
    <tableColumn id="1" xr3:uid="{21E7E63B-F886-4CAE-827D-9F590C37E2E4}" name="ProductID"/>
    <tableColumn id="2" xr3:uid="{C8C0F2EC-6366-4ED6-8A99-95A4EB27B265}" name="ProductName"/>
    <tableColumn id="3" xr3:uid="{34E1BF6A-9A34-4DEC-8720-4786A06DBB80}" name="ProductName_Clean"/>
    <tableColumn id="4" xr3:uid="{2CCF7EB0-742B-404F-9F9B-224B25790A49}" name="Category"/>
    <tableColumn id="5" xr3:uid="{F9F048FC-BDE4-478F-BB12-A96CEE73B830}" name="Category_Clean"/>
    <tableColumn id="6" xr3:uid="{0E0CEE84-9650-4296-801F-C31CB20294C4}" name="Family"/>
    <tableColumn id="7" xr3:uid="{9B8B30B1-0094-4209-8D78-A51DDBE9C002}" name="Family_Clean"/>
    <tableColumn id="8" xr3:uid="{0BF760A9-902D-41CC-8F07-7416C4F6CF0C}" name="BU"/>
    <tableColumn id="9" xr3:uid="{10D02DE0-E4C3-4E27-AF16-1DC822506AF8}" name="ListPrice"/>
    <tableColumn id="11" xr3:uid="{3A6A2B07-9C6C-484D-A40C-EF83064F24D6}" name="StdVarCost_Clean"/>
    <tableColumn id="12" xr3:uid="{B96BB99A-990A-4CA6-BBAB-75CF2EEF55DA}" name="StdFixedAlloc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8CF38F-D3C2-421D-AADD-266A135B6F9F}" name="Table4" displayName="Table4" ref="A1:K326" totalsRowCount="1">
  <autoFilter ref="A1:K325" xr:uid="{DD8CF38F-D3C2-421D-AADD-266A135B6F9F}"/>
  <sortState xmlns:xlrd2="http://schemas.microsoft.com/office/spreadsheetml/2017/richdata2" ref="A2:K325">
    <sortCondition ref="C1:C325"/>
  </sortState>
  <tableColumns count="11">
    <tableColumn id="1" xr3:uid="{035AF0D7-F942-4F50-8790-9FB6C3D762DE}" name="CostID" totalsRowLabel="Total"/>
    <tableColumn id="3" xr3:uid="{C0C03C93-620E-44FF-88B3-255669BE46E9}" name="Period_Clean"/>
    <tableColumn id="4" xr3:uid="{503C234A-382B-4805-8A33-9527809AEA51}" name="ProductID"/>
    <tableColumn id="5" xr3:uid="{AF9419E2-534C-41D4-9175-EACB11B6C3B3}" name="ProductID_Clean"/>
    <tableColumn id="6" xr3:uid="{F3FA0B0E-0196-465E-9442-67ED0BBF0FD0}" name="CostCategory"/>
    <tableColumn id="7" xr3:uid="{06184BF9-2397-428B-B741-DE5836546542}" name="CostType"/>
    <tableColumn id="8" xr3:uid="{ACBA33DA-527E-4766-B92A-088182432FC9}" name="StandardCost" totalsRowFunction="sum"/>
    <tableColumn id="10" xr3:uid="{E6A1E083-563A-411C-8EFA-5E26B30321FC}" name="ActualCost_Clean" totalsRowFunction="sum"/>
    <tableColumn id="12" xr3:uid="{07A3C4D7-8D8D-47E1-A816-D9AD2737F505}" name="CostCenter_Clean"/>
    <tableColumn id="13" xr3:uid="{822CBFBF-1492-43C5-9DC2-F6D3A45D048F}" name="Notes"/>
    <tableColumn id="2" xr3:uid="{DDA48531-947F-41F6-B491-340886640666}" name="BU" dataDxfId="321">
      <calculatedColumnFormula>_xlfn.XLOOKUP(Table4[[#This Row],[ProductID_Clean]],Table3[ProductID],Table3[BU],"Missing Value",0)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855409E-2B8D-4DBC-A76A-5FB06B3AB1B4}" name="Table15" displayName="Table15" ref="M2:Q21" totalsRowShown="0" headerRowDxfId="320">
  <autoFilter ref="M2:Q21" xr:uid="{8855409E-2B8D-4DBC-A76A-5FB06B3AB1B4}"/>
  <sortState xmlns:xlrd2="http://schemas.microsoft.com/office/spreadsheetml/2017/richdata2" ref="M3:Q21">
    <sortCondition ref="M2:M21"/>
  </sortState>
  <tableColumns count="5">
    <tableColumn id="1" xr3:uid="{78CDA96E-BF99-4C07-A2CD-BBCDE402AC8C}" name="ProductID" dataDxfId="319"/>
    <tableColumn id="2" xr3:uid="{444C588C-AFC7-4E04-84E6-0B16888809A3}" name="Standard Variable Cost" dataDxfId="318">
      <calculatedColumnFormula>_xlfn.XLOOKUP(Table15[[#This Row],[ProductID]],Table3[ProductID],Table3[StdVarCost_Clean])</calculatedColumnFormula>
    </tableColumn>
    <tableColumn id="3" xr3:uid="{87C7579E-F270-449A-892F-0E84D9BC03B3}" name="Actual Variable Cost" dataDxfId="317">
      <calculatedColumnFormula>_xlfn.XLOOKUP(Table15[[#This Row],[ProductID]],Table4[ProductID_Clean],Table4[ActualCost_Clean])</calculatedColumnFormula>
    </tableColumn>
    <tableColumn id="4" xr3:uid="{28184E0F-0C53-4BC8-AA70-379C3D826BBC}" name="Cost Variance vs Standard" dataDxfId="316">
      <calculatedColumnFormula>Table15[[#This Row],[Standard Variable Cost]]-Table15[[#This Row],[Actual Variable Cost]]</calculatedColumnFormula>
    </tableColumn>
    <tableColumn id="5" xr3:uid="{0F3B29BB-8869-4633-BA0C-492E347117CD}" name="Cost Variance vs Standard %" dataDxfId="315">
      <calculatedColumnFormula>Table15[[#This Row],[Cost Variance vs Standard]]/Table15[[#This Row],[Standard Variable Cost]]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9CD6D27-F82A-49A4-B84A-68D8DA0CF465}" name="Table18" displayName="Table18" ref="M29:O36" totalsRowCount="1">
  <autoFilter ref="M29:O35" xr:uid="{09CD6D27-F82A-49A4-B84A-68D8DA0CF465}"/>
  <sortState xmlns:xlrd2="http://schemas.microsoft.com/office/spreadsheetml/2017/richdata2" ref="M30:O35">
    <sortCondition descending="1" ref="O29:O35"/>
  </sortState>
  <tableColumns count="3">
    <tableColumn id="1" xr3:uid="{A57E2716-3C20-43FD-A957-E64C285D6FDD}" name="Cost Category" totalsRowLabel="Total" dataDxfId="314" totalsRowDxfId="313"/>
    <tableColumn id="2" xr3:uid="{C342A107-C8EF-4375-9717-B228CCE743D8}" name="Actual Cost" totalsRowFunction="sum" dataDxfId="312" totalsRowDxfId="311">
      <calculatedColumnFormula>SUMIF(Table4[CostCategory],Table18[[#This Row],[Cost Category]],Table4[ActualCost_Clean])</calculatedColumnFormula>
    </tableColumn>
    <tableColumn id="3" xr3:uid="{9DEF6AFA-2BD0-4CB6-93CA-C8DE3C94E1AF}" name="% of Total Overhead" totalsRowFunction="sum" dataDxfId="310" totalsRowDxfId="309">
      <calculatedColumnFormula>Table18[[#This Row],[Actual Cost]]/Table18[[#Totals],[Actual Cost]]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D465D32-893D-4098-B6F2-F255F4ED559B}" name="Table19" displayName="Table19" ref="M38:O44" totalsRowCount="1">
  <autoFilter ref="M38:O43" xr:uid="{6D465D32-893D-4098-B6F2-F255F4ED559B}"/>
  <sortState xmlns:xlrd2="http://schemas.microsoft.com/office/spreadsheetml/2017/richdata2" ref="M39:O43">
    <sortCondition descending="1" ref="O38:O43"/>
  </sortState>
  <tableColumns count="3">
    <tableColumn id="1" xr3:uid="{C4D05BA7-B4D7-499C-BB85-87A1B61859A5}" name="Notes" totalsRowLabel="Total" dataDxfId="308" totalsRowDxfId="307"/>
    <tableColumn id="2" xr3:uid="{AA60BA03-469B-4E23-86F7-3A48BC44FAC4}" name="Actual Overhead Cost" totalsRowFunction="sum" dataDxfId="306" totalsRowDxfId="305">
      <calculatedColumnFormula>SUMIF(Table4[Notes],Table19[[#This Row],[Notes]],Table4[ActualCost_Clean])</calculatedColumnFormula>
    </tableColumn>
    <tableColumn id="3" xr3:uid="{E07F0D87-F0FC-4F59-AD35-889C4A63992F}" name="% of Total Overhead" totalsRowFunction="sum" dataDxfId="304" totalsRowDxfId="303">
      <calculatedColumnFormula>Table19[[#This Row],[Actual Overhead Cost]]/Table19[[#Totals],[Actual Overhead Cost]]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8AF0DD-4DD8-4128-89B4-64B6FD31893D}" name="Table5" displayName="Table5" ref="A1:K74" totalsRowCount="1">
  <autoFilter ref="A1:K73" xr:uid="{858AF0DD-4DD8-4128-89B4-64B6FD31893D}"/>
  <tableColumns count="11">
    <tableColumn id="1" xr3:uid="{071DD190-0EB7-4316-A6F9-0FD886C75431}" name="BudgetID" totalsRowLabel="Total"/>
    <tableColumn id="2" xr3:uid="{10A5FA22-F020-40D3-8FBA-7E06BF512B30}" name="Period"/>
    <tableColumn id="3" xr3:uid="{E4C2A639-AE6D-411A-86E9-132934034941}" name="BusinessUnit"/>
    <tableColumn id="4" xr3:uid="{0DDE6C32-9EC6-4E77-9992-320919FE5AF1}" name="BusinessUnit_clean" dataDxfId="302">
      <calculatedColumnFormula>SUBSTITUTE(SUBSTITUTE(TRIM(Table5[[#This Row],[BusinessUnit]]),"Software and Analytics","Software &amp; Analytics"),"Sensors and Instruments","Sensors &amp; Instruments")</calculatedColumnFormula>
    </tableColumn>
    <tableColumn id="5" xr3:uid="{0009BC81-B2DC-4F97-B4F9-0CDE629D37EA}" name="Region_Clean"/>
    <tableColumn id="6" xr3:uid="{5DAF19D7-98B7-4C45-B4AC-E683F695003B}" name="RevenueBudget" totalsRowFunction="sum"/>
    <tableColumn id="7" xr3:uid="{D2D5726F-AFFC-4158-B4D8-3B54411BA614}" name="VariableCostBudget" totalsRowFunction="sum"/>
    <tableColumn id="8" xr3:uid="{2E5C720A-2F7C-442E-96C0-88529941E9F8}" name="FixedCostBudget" totalsRowFunction="sum"/>
    <tableColumn id="9" xr3:uid="{17B4E2B8-3356-4D81-843F-5801B5819554}" name="ContributionProfitTarget" totalsRowFunction="sum"/>
    <tableColumn id="10" xr3:uid="{78750865-5154-4F6F-949D-35B59C31F2B0}" name="OperatingProfitTarget" totalsRowFunction="sum"/>
    <tableColumn id="11" xr3:uid="{33838D13-7A26-4263-A94F-D036BA0A5ECC}" name="Version" totalsRowFunction="cou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901B5C-74F4-4922-9684-26F3C89B11FB}" name="Table6" displayName="Table6" ref="A1:H14" totalsRowShown="0">
  <autoFilter ref="A1:H14" xr:uid="{2B901B5C-74F4-4922-9684-26F3C89B11FB}"/>
  <tableColumns count="8">
    <tableColumn id="1" xr3:uid="{61852C73-9977-4CBE-BE3E-CFB1B25D7CDA}" name="Column1"/>
    <tableColumn id="2" xr3:uid="{D2914F85-F70C-4869-B76A-5A86D4FAA6F7}" name="Column2"/>
    <tableColumn id="3" xr3:uid="{9DA7FA88-BB4C-4007-8AB9-162E4D83AEAC}" name="Column3"/>
    <tableColumn id="4" xr3:uid="{45A823B6-7D68-4098-A72E-8C6A55E03BB6}" name="Column4"/>
    <tableColumn id="5" xr3:uid="{A2F5CF16-C296-4B9D-A816-B00FE5ECC00A}" name="Column5"/>
    <tableColumn id="6" xr3:uid="{0013C982-45B0-4F4D-B55D-F3D2E4FADD26}" name="Column6"/>
    <tableColumn id="7" xr3:uid="{2F81CAC3-5842-4CC9-92EC-65862064F4B1}" name="Column7"/>
    <tableColumn id="8" xr3:uid="{6E925C0F-8A55-451F-A18A-A8BFCE9656FF}" name="Column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142FCB-DC59-473D-A868-8E24F181F922}" name="Table7" displayName="Table7" ref="A1:C19" totalsRowShown="0">
  <autoFilter ref="A1:C19" xr:uid="{72142FCB-DC59-473D-A868-8E24F181F922}"/>
  <tableColumns count="3">
    <tableColumn id="1" xr3:uid="{AC27A8DC-A4EE-41BC-9C7F-CB7F8F020AF6}" name="Period"/>
    <tableColumn id="2" xr3:uid="{014C9E74-1567-4D32-A962-AE94AEB1A4F8}" name="Currency"/>
    <tableColumn id="3" xr3:uid="{326220C3-2DD4-4805-B79D-10A73CDCBD06}" name="RateToUS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5A57F24-0002-4450-8998-F7A4E8C5CC6D}" name="Table33" displayName="Table33" ref="A1:I78" totalsRowCount="1" headerRowDxfId="301">
  <autoFilter ref="A1:I77" xr:uid="{65A57F24-0002-4450-8998-F7A4E8C5CC6D}"/>
  <tableColumns count="9">
    <tableColumn id="1" xr3:uid="{CD1E1A74-4A5F-4906-B0B5-A8829971C9D2}" name="ProductID" totalsRowLabel="Total"/>
    <tableColumn id="2" xr3:uid="{90BBACE0-BCA2-4FAB-B112-F340FAD67266}" name="Region"/>
    <tableColumn id="3" xr3:uid="{0961DF21-5489-4E14-9E40-2968BB304BE5}" name="1/1/2025" totalsRowFunction="sum" dataDxfId="300">
      <calculatedColumnFormula>SUMIFS(Table1[Quantity],Table1[ProductID],Table33[[#This Row],[ProductID]],Table1[RegionClean_],Table33[[#This Row],[Region]],Table1[TransactionDate_Clean],"&gt;"&amp;EOMONTH($C$1,-1),Table1[TransactionDate_Clean],"&lt;="&amp;EOMONTH($C$1,0))</calculatedColumnFormula>
    </tableColumn>
    <tableColumn id="4" xr3:uid="{F3DD10E4-4627-4C08-A2E0-102564A0ACE7}" name="2/1/2025" totalsRowFunction="sum" dataDxfId="299">
      <calculatedColumnFormula>SUMIFS(Table1[Quantity],Table1[ProductID],Table33[[#This Row],[ProductID]],Table1[RegionClean_],Table33[[#This Row],[Region]],Table1[TransactionDate_Clean],"&gt;"&amp;EOMONTH($D$1,-1),Table1[TransactionDate_Clean],"&lt;="&amp;EOMONTH($D$1,0))</calculatedColumnFormula>
    </tableColumn>
    <tableColumn id="5" xr3:uid="{1F286D43-5E7A-48DA-ADFD-5A004A666F0B}" name="3/1/2025" totalsRowFunction="sum" dataDxfId="298">
      <calculatedColumnFormula>SUMIFS(Table1[Quantity],Table1[ProductID],Table33[[#This Row],[ProductID]],Table1[RegionClean_],Table33[[#This Row],[Region]],Table1[TransactionDate_Clean],"&gt;"&amp;EOMONTH($E$1,-1),Table1[TransactionDate_Clean],"&lt;="&amp;EOMONTH($E$1,0))</calculatedColumnFormula>
    </tableColumn>
    <tableColumn id="6" xr3:uid="{B4B7BBA0-80C7-48E2-B05A-97B8749BB475}" name="4/1/2025" totalsRowFunction="sum" dataDxfId="297">
      <calculatedColumnFormula>SUMIFS(Table1[Quantity],Table1[ProductID],Table33[[#This Row],[ProductID]],Table1[RegionClean_],Table33[[#This Row],[Region]],Table1[TransactionDate_Clean],"&gt;"&amp;EOMONTH($F$1,-1),Table1[TransactionDate_Clean],"&lt;="&amp;EOMONTH($F$1,0))</calculatedColumnFormula>
    </tableColumn>
    <tableColumn id="7" xr3:uid="{6876DAF9-1254-4C87-99B1-A2AAB71D3B0E}" name="5/1/2025" totalsRowFunction="sum" dataDxfId="296">
      <calculatedColumnFormula>SUMIFS(Table1[Quantity],Table1[ProductID],Table33[[#This Row],[ProductID]],Table1[RegionClean_],Table33[[#This Row],[Region]],Table1[TransactionDate_Clean],"&gt;"&amp;EOMONTH($G$1,-1),Table1[TransactionDate_Clean],"&lt;="&amp;EOMONTH($G$1,0))</calculatedColumnFormula>
    </tableColumn>
    <tableColumn id="8" xr3:uid="{6FC9C819-4BBE-4E9B-B633-4730E58A3651}" name="6/1/2025" totalsRowFunction="sum" dataDxfId="295">
      <calculatedColumnFormula>SUMIFS(Table1[Quantity],Table1[ProductID],Table33[[#This Row],[ProductID]],Table1[RegionClean_],Table33[[#This Row],[Region]],Table1[TransactionDate_Clean],"&gt;"&amp;EOMONTH($H$1,-1),Table1[TransactionDate_Clean],"&lt;="&amp;EOMONTH($H$1,0))</calculatedColumnFormula>
    </tableColumn>
    <tableColumn id="9" xr3:uid="{794550AA-64AE-4D4C-A067-D308D535A878}" name="H1 Total" totalsRowFunction="sum" dataDxfId="294">
      <calculatedColumnFormula>SUM(Table33[[#This Row],[1/1/2025]:[6/1/2025]])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F98F416-952F-4303-A477-FC7096B16EDF}" name="Product_Month_Actual_Variable_Cost" displayName="Product_Month_Actual_Variable_Cost" ref="L1:S77" totalsRowShown="0" headerRowDxfId="293">
  <autoFilter ref="L1:S77" xr:uid="{AF98F416-952F-4303-A477-FC7096B16EDF}"/>
  <tableColumns count="8">
    <tableColumn id="1" xr3:uid="{4BB8BC81-FD69-4ECF-A70E-8115D09FEF7E}" name="ProductID"/>
    <tableColumn id="2" xr3:uid="{04600559-DF63-4EF4-AB3B-60F642640CF6}" name="Region"/>
    <tableColumn id="3" xr3:uid="{5E883B40-C1F7-4578-B5BD-101D5B10BD89}" name="2025-01" dataDxfId="292">
      <calculatedColumnFormula>SUMIFS(Table4[ActualCost_Clean],Table4[ProductID_Clean],Product_Month_Actual_Variable_Cost[[#This Row],[ProductID]],Table4[Period_Clean],Product_Month_Actual_Variable_Cost[[#Headers],[2025-01]],Table4[CostType],"Variable")</calculatedColumnFormula>
    </tableColumn>
    <tableColumn id="4" xr3:uid="{D5F14830-4EF6-44E5-8D2A-D09347B1A778}" name="2025-02" dataDxfId="291">
      <calculatedColumnFormula>SUMIFS(Table4[ActualCost_Clean],Table4[ProductID_Clean],Product_Month_Actual_Variable_Cost[[#This Row],[ProductID]],Table4[Period_Clean],Product_Month_Actual_Variable_Cost[[#Headers],[2025-02]],Table4[CostType],"Variable")</calculatedColumnFormula>
    </tableColumn>
    <tableColumn id="5" xr3:uid="{2DD90DE3-E5C1-4F75-A4F2-0E90B75C57F2}" name="2025-03" dataDxfId="290">
      <calculatedColumnFormula>SUMIFS(Table4[ActualCost_Clean],Table4[ProductID_Clean],Product_Month_Actual_Variable_Cost[[#This Row],[ProductID]],Table4[Period_Clean],Product_Month_Actual_Variable_Cost[[#Headers],[2025-03]],Table4[CostType],"Variable")</calculatedColumnFormula>
    </tableColumn>
    <tableColumn id="6" xr3:uid="{46187589-4580-4307-A7FC-95556DEDF759}" name="2025-04" dataDxfId="289">
      <calculatedColumnFormula>SUMIFS(Table4[ActualCost_Clean],Table4[ProductID_Clean],Product_Month_Actual_Variable_Cost[[#This Row],[ProductID]],Table4[Period_Clean],Product_Month_Actual_Variable_Cost[[#Headers],[2025-04]],Table4[CostType],"Variable")</calculatedColumnFormula>
    </tableColumn>
    <tableColumn id="7" xr3:uid="{33F30BE4-81B8-4775-BDB3-156DFDAA0F9F}" name="2025-05" dataDxfId="288">
      <calculatedColumnFormula>SUMIFS(Table4[ActualCost_Clean],Table4[ProductID_Clean],Product_Month_Actual_Variable_Cost[[#This Row],[ProductID]],Table4[Period_Clean],Product_Month_Actual_Variable_Cost[[#Headers],[2025-05]],Table4[CostType],"Variable")</calculatedColumnFormula>
    </tableColumn>
    <tableColumn id="8" xr3:uid="{62B2FB40-E50C-4822-8E27-4773A5C83AB8}" name="2025-06" dataDxfId="287">
      <calculatedColumnFormula>SUMIFS(Table4[ActualCost_Clean],Table4[ProductID_Clean],Product_Month_Actual_Variable_Cost[[#This Row],[ProductID]],Table4[Period_Clean],Product_Month_Actual_Variable_Cost[[#Headers],[2025-06]],Table4[CostType],"Variable")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7103DA4-5518-461B-8214-8BD261EB82CD}" name="Product_Region_Monthly_Variable_Cost" displayName="Product_Region_Monthly_Variable_Cost" ref="V1:AD78" totalsRowCount="1" headerRowDxfId="286">
  <autoFilter ref="V1:AD77" xr:uid="{C7103DA4-5518-461B-8214-8BD261EB82CD}"/>
  <tableColumns count="9">
    <tableColumn id="1" xr3:uid="{99C54FCF-9C00-43DF-A1D3-3294188E2932}" name="ProductID" totalsRowLabel="Total"/>
    <tableColumn id="2" xr3:uid="{D1755FB8-D693-4F28-9708-1D89912A431B}" name="Region"/>
    <tableColumn id="3" xr3:uid="{79716664-C399-490F-9474-C7894EE469C0}" name="25-Jan" dataDxfId="285">
      <calculatedColumnFormula>Table33[[#This Row],[1/1/2025]]*Product_Month_Actual_Variable_Cost[[#This Row],[2025-01]]</calculatedColumnFormula>
    </tableColumn>
    <tableColumn id="4" xr3:uid="{96925ECC-61E4-4B61-AA63-4DA375DD6A46}" name="25-Feb">
      <calculatedColumnFormula>Table33[[#This Row],[2/1/2025]]*Product_Month_Actual_Variable_Cost[[#This Row],[2025-02]]</calculatedColumnFormula>
    </tableColumn>
    <tableColumn id="5" xr3:uid="{EF8A52C7-8AF5-44A5-9FD2-6B4D89F44D40}" name="25-Mar">
      <calculatedColumnFormula>Table33[[#This Row],[3/1/2025]]*Product_Month_Actual_Variable_Cost[[#This Row],[2025-03]]</calculatedColumnFormula>
    </tableColumn>
    <tableColumn id="6" xr3:uid="{F541FCBE-5E29-48D2-89FA-29BC0B63C5F9}" name="25-Apr">
      <calculatedColumnFormula>Table33[[#This Row],[4/1/2025]]*Product_Month_Actual_Variable_Cost[[#This Row],[2025-04]]</calculatedColumnFormula>
    </tableColumn>
    <tableColumn id="7" xr3:uid="{EDD5B775-0BAE-4780-8CA1-5301E742C284}" name="25-May">
      <calculatedColumnFormula>Table33[[#This Row],[5/1/2025]]*Product_Month_Actual_Variable_Cost[[#This Row],[2025-05]]</calculatedColumnFormula>
    </tableColumn>
    <tableColumn id="8" xr3:uid="{677ECCA0-ED92-49C3-A89D-CC62634D578E}" name="25-Jun">
      <calculatedColumnFormula>Table33[[#This Row],[6/1/2025]]*Product_Month_Actual_Variable_Cost[[#This Row],[2025-06]]</calculatedColumnFormula>
    </tableColumn>
    <tableColumn id="9" xr3:uid="{D8EBEF53-896B-4870-BADB-A62D3AF0B948}" name="H1 Variable Cost" totalsRowFunction="sum" dataDxfId="284">
      <calculatedColumnFormula>SUM(Product_Region_Monthly_Variable_Cost[[#This Row],[25-Jan]:[25-Jun]])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6ECA91D-109E-477B-AC20-BD619623B77A}" name="Product_Month_Actual_Fixed_Cost" displayName="Product_Month_Actual_Fixed_Cost" ref="AG1:AN77" totalsRowShown="0" headerRowDxfId="283">
  <autoFilter ref="AG1:AN77" xr:uid="{26ECA91D-109E-477B-AC20-BD619623B77A}"/>
  <tableColumns count="8">
    <tableColumn id="1" xr3:uid="{90F3FC82-BB72-4E53-9F2A-781081E19817}" name="ProductID"/>
    <tableColumn id="2" xr3:uid="{34C2E7D0-1999-4E35-AD8D-6171BAD214EA}" name="Region"/>
    <tableColumn id="3" xr3:uid="{811D2FCE-6761-4FA1-9946-0266A0DE7CF9}" name="2025-01">
      <calculatedColumnFormula>SUMIFS(Table4[ActualCost_Clean],Table4[ProductID_Clean],Product_Month_Actual_Fixed_Cost[[#This Row],[ProductID]],Table4[Period_Clean],Product_Month_Actual_Variable_Cost[[#Headers],[2025-01]],Table4[CostType],"Fixed")</calculatedColumnFormula>
    </tableColumn>
    <tableColumn id="4" xr3:uid="{BE836BF3-4F7C-498F-9A42-F12BFFF08C1B}" name="2025-02">
      <calculatedColumnFormula>SUMIFS(Table4[ActualCost_Clean],Table4[ProductID_Clean],Product_Month_Actual_Fixed_Cost[[#This Row],[ProductID]],Table4[Period_Clean],Product_Month_Actual_Variable_Cost[[#Headers],[2025-02]],Table4[CostType],"Fixed")</calculatedColumnFormula>
    </tableColumn>
    <tableColumn id="5" xr3:uid="{F6F2E425-4BBF-44D3-8B9D-63BDDDB8572F}" name="2025-03">
      <calculatedColumnFormula>SUMIFS(Table4[ActualCost_Clean],Table4[ProductID_Clean],Product_Month_Actual_Fixed_Cost[[#This Row],[ProductID]],Table4[Period_Clean],Product_Month_Actual_Variable_Cost[[#Headers],[2025-03]],Table4[CostType],"Fixed")</calculatedColumnFormula>
    </tableColumn>
    <tableColumn id="6" xr3:uid="{DC067795-CADE-46FE-9EA7-AEC3A6639566}" name="2025-04">
      <calculatedColumnFormula>SUMIFS(Table4[ActualCost_Clean],Table4[ProductID_Clean],Product_Month_Actual_Fixed_Cost[[#This Row],[ProductID]],Table4[Period_Clean],Product_Month_Actual_Variable_Cost[[#Headers],[2025-04]],Table4[CostType],"Fixed")</calculatedColumnFormula>
    </tableColumn>
    <tableColumn id="7" xr3:uid="{D045D11C-B81E-440A-808F-9838212A89B0}" name="2025-05">
      <calculatedColumnFormula>SUMIFS(Table4[ActualCost_Clean],Table4[ProductID_Clean],Product_Month_Actual_Fixed_Cost[[#This Row],[ProductID]],Table4[Period_Clean],Product_Month_Actual_Variable_Cost[[#Headers],[2025-05]],Table4[CostType],"Fixed")</calculatedColumnFormula>
    </tableColumn>
    <tableColumn id="8" xr3:uid="{029C8AED-CA7E-4A03-8156-0F0B2A230504}" name="2025-06">
      <calculatedColumnFormula>SUMIFS(Table4[ActualCost_Clean],Table4[ProductID_Clean],Product_Month_Actual_Fixed_Cost[[#This Row],[ProductID]],Table4[Period_Clean],Product_Month_Actual_Variable_Cost[[#Headers],[2025-06]],Table4[CostType],"Fixed")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409BD37-17F3-4A2F-A427-1202AB8B9392}" name="Product_Region_Monthly_Fixed_Cost" displayName="Product_Region_Monthly_Fixed_Cost" ref="AQ1:AY78" totalsRowCount="1" headerRowDxfId="282">
  <autoFilter ref="AQ1:AY77" xr:uid="{0409BD37-17F3-4A2F-A427-1202AB8B9392}"/>
  <tableColumns count="9">
    <tableColumn id="1" xr3:uid="{30BEA504-3E38-453D-ACA8-B6BA4D30401B}" name="ProductID" totalsRowLabel="Total"/>
    <tableColumn id="2" xr3:uid="{9990BF0E-5079-4237-A106-E78923D61BA8}" name="Region"/>
    <tableColumn id="3" xr3:uid="{C398D473-0164-48A7-AE01-411D8A53052E}" name="25-Jan" dataDxfId="281">
      <calculatedColumnFormula>Product_Month_Actual_Fixed_Cost[[#This Row],[2025-01]]*Table33[[#This Row],[1/1/2025]]</calculatedColumnFormula>
    </tableColumn>
    <tableColumn id="4" xr3:uid="{09242EEA-C6EB-4B13-A47B-B8D27D656178}" name="25-Feb" dataDxfId="280">
      <calculatedColumnFormula>Product_Month_Actual_Fixed_Cost[[#This Row],[2025-02]]*Table33[[#This Row],[2/1/2025]]</calculatedColumnFormula>
    </tableColumn>
    <tableColumn id="5" xr3:uid="{BF905EBE-4360-45D2-93E9-5570684C6DB7}" name="25-Mar" dataDxfId="279">
      <calculatedColumnFormula>Product_Month_Actual_Fixed_Cost[[#This Row],[2025-03]]*Table33[[#This Row],[3/1/2025]]</calculatedColumnFormula>
    </tableColumn>
    <tableColumn id="6" xr3:uid="{4B342E47-FCD8-47B4-84B4-735183D0B559}" name="25-Apr" dataDxfId="278">
      <calculatedColumnFormula>Product_Month_Actual_Fixed_Cost[[#This Row],[2025-04]]*Table33[[#This Row],[4/1/2025]]</calculatedColumnFormula>
    </tableColumn>
    <tableColumn id="7" xr3:uid="{C7889C17-27E8-4C7E-A6EB-021BB99BCF3D}" name="25-May" dataDxfId="277">
      <calculatedColumnFormula>Product_Month_Actual_Fixed_Cost[[#This Row],[2025-05]]*Table33[[#This Row],[5/1/2025]]</calculatedColumnFormula>
    </tableColumn>
    <tableColumn id="8" xr3:uid="{A16F5FEC-BDA7-4922-AA39-86BAC61BF844}" name="25-Jun">
      <calculatedColumnFormula>Product_Month_Actual_Fixed_Cost[[#This Row],[2025-06]]*Table33[[#This Row],[6/1/2025]]</calculatedColumnFormula>
    </tableColumn>
    <tableColumn id="9" xr3:uid="{6A1E6283-1490-4968-A417-78B3C547A2CC}" name="H1 Fixed Cost" totalsRowFunction="sum" dataDxfId="276">
      <calculatedColumnFormula>SUM(Product_Region_Monthly_Fixed_Cost[[#This Row],[25-Jan]:[25-Jun]])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D61367E-1443-49E9-9F6A-7FFB4019EEF0}" name="Product_Region_Monthly_COGS" displayName="Product_Region_Monthly_COGS" ref="BB1:BJ78" totalsRowCount="1" headerRowDxfId="275">
  <autoFilter ref="BB1:BJ77" xr:uid="{BD61367E-1443-49E9-9F6A-7FFB4019EEF0}"/>
  <tableColumns count="9">
    <tableColumn id="1" xr3:uid="{33C54700-584F-47B5-992B-3F1A3A9C1297}" name="ProductID" totalsRowLabel="Total"/>
    <tableColumn id="2" xr3:uid="{AC1152A0-0124-40B9-BDEB-41F39C94F6BA}" name="Region"/>
    <tableColumn id="3" xr3:uid="{78C0A4DE-A11F-4319-9DC7-6412A9578B0D}" name="25-Jan" dataDxfId="274">
      <calculatedColumnFormula>Product_Region_Monthly_Fixed_Cost[[#This Row],[25-Jan]]+Product_Region_Monthly_Variable_Cost[[#This Row],[25-Jan]]</calculatedColumnFormula>
    </tableColumn>
    <tableColumn id="4" xr3:uid="{9C4DBFF6-32AD-4A90-9F2D-926BBC04E687}" name="25-Feb" dataDxfId="273">
      <calculatedColumnFormula>Product_Region_Monthly_Fixed_Cost[[#This Row],[25-Feb]]+Product_Region_Monthly_Variable_Cost[[#This Row],[25-Feb]]</calculatedColumnFormula>
    </tableColumn>
    <tableColumn id="5" xr3:uid="{A713AB21-FF38-43E4-9CB0-A02CBD84688D}" name="25-Mar" dataDxfId="272">
      <calculatedColumnFormula>Product_Region_Monthly_Fixed_Cost[[#This Row],[25-Mar]]+Product_Region_Monthly_Variable_Cost[[#This Row],[25-Mar]]</calculatedColumnFormula>
    </tableColumn>
    <tableColumn id="6" xr3:uid="{3022EFE7-C3BB-4448-85B5-7A46CCDE0FE4}" name="25-Apr" dataDxfId="271">
      <calculatedColumnFormula>Product_Region_Monthly_Fixed_Cost[[#This Row],[25-Apr]]+Product_Region_Monthly_Variable_Cost[[#This Row],[25-Apr]]</calculatedColumnFormula>
    </tableColumn>
    <tableColumn id="7" xr3:uid="{08E6D9C1-3180-4D37-A6F0-7DF7C48FE231}" name="25-May" dataDxfId="270">
      <calculatedColumnFormula>Product_Region_Monthly_Fixed_Cost[[#This Row],[25-May]]+Product_Region_Monthly_Variable_Cost[[#This Row],[25-May]]</calculatedColumnFormula>
    </tableColumn>
    <tableColumn id="8" xr3:uid="{EC2C1FAC-0066-432B-9FDC-2F68B7725260}" name="25-Jun" dataDxfId="269">
      <calculatedColumnFormula>Product_Region_Monthly_Fixed_Cost[[#This Row],[25-Jun]]+Product_Region_Monthly_Variable_Cost[[#This Row],[25-Jun]]</calculatedColumnFormula>
    </tableColumn>
    <tableColumn id="9" xr3:uid="{3E83D6EE-9ADA-482A-ABD2-26C43BF19E6B}" name="H1 COGS" totalsRowFunction="sum" dataDxfId="268">
      <calculatedColumnFormula>Product_Region_Monthly_Fixed_Cost[[#This Row],[H1 Fixed Cost]]+Product_Region_Monthly_Variable_Cost[[#This Row],[H1 Variable Cost]]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73E7877-C3A8-49E9-A8D5-C915777CF4D7}" name="Region_Profitability" displayName="Region_Profitability" ref="AB82:AI87" totalsRowCount="1" headerRowDxfId="267" dataDxfId="266">
  <autoFilter ref="AB82:AI86" xr:uid="{473E7877-C3A8-49E9-A8D5-C915777CF4D7}"/>
  <tableColumns count="8">
    <tableColumn id="1" xr3:uid="{769DB416-1D85-485A-A2B6-4F13C6EC95A6}" name="Region" totalsRowLabel="Total" dataDxfId="265" totalsRowDxfId="264"/>
    <tableColumn id="2" xr3:uid="{00306D2B-98A8-4564-A876-D31A93308177}" name="H1 Net Revenue" totalsRowFunction="sum" dataDxfId="263" totalsRowDxfId="262">
      <calculatedColumnFormula>_xlfn.XLOOKUP(Region_Profitability[[#This Row],[Region]],Invalid_ProductID_Exclusion[Region],Invalid_ProductID_Exclusion[Net Revenue])</calculatedColumnFormula>
    </tableColumn>
    <tableColumn id="3" xr3:uid="{ED8158E5-3E5B-4CD7-B8F4-3D9B758D691B}" name="H1 Variable Cost" totalsRowFunction="sum" dataDxfId="261" totalsRowDxfId="260">
      <calculatedColumnFormula>SUMIF(Product_Region_Monthly_Variable_Cost[Region],Region_Profitability[[#This Row],[Region]],Product_Region_Monthly_Variable_Cost[H1 Variable Cost])</calculatedColumnFormula>
    </tableColumn>
    <tableColumn id="4" xr3:uid="{F76331C2-88D5-4A49-9A3C-17A8EE7F1CCA}" name="Contribution Profit" dataDxfId="259" totalsRowDxfId="258">
      <calculatedColumnFormula>Region_Profitability[[#This Row],[H1 Net Revenue]]-Region_Profitability[[#This Row],[H1 Variable Cost]]</calculatedColumnFormula>
    </tableColumn>
    <tableColumn id="5" xr3:uid="{B70DF251-29F2-41ED-A1B8-3189841FF254}" name="Contribution Margin %" dataDxfId="257" totalsRowDxfId="256">
      <calculatedColumnFormula>Region_Profitability[[#This Row],[Contribution Profit]]/Region_Profitability[[#This Row],[H1 Net Revenue]]</calculatedColumnFormula>
    </tableColumn>
    <tableColumn id="6" xr3:uid="{EAA2128F-9C90-43E2-9140-C4F7AA116A5C}" name="H1 COGS" totalsRowFunction="sum" dataDxfId="255" totalsRowDxfId="254">
      <calculatedColumnFormula>SUMIF(Product_Region_Monthly_COGS[Region],Region_Profitability[[#This Row],[Region]],Product_Region_Monthly_COGS[H1 COGS])</calculatedColumnFormula>
    </tableColumn>
    <tableColumn id="7" xr3:uid="{2C428A67-F778-4CB2-94AC-99726BCE85A8}" name="Gross Profit" dataDxfId="253" totalsRowDxfId="252">
      <calculatedColumnFormula>Region_Profitability[[#This Row],[H1 Net Revenue]]-Region_Profitability[[#This Row],[H1 COGS]]</calculatedColumnFormula>
    </tableColumn>
    <tableColumn id="8" xr3:uid="{A757AD04-876A-4510-8C29-FC6717D42C0C}" name="Gross Margin %" dataDxfId="251" totalsRowDxfId="250">
      <calculatedColumnFormula>Region_Profitability[[#This Row],[Gross Profit]]/Region_Profitability[[#This Row],[H1 Net Revenue]]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92A1ECA-CBFE-4A4C-9ECD-97597C51B7B7}" name="Table20" displayName="Table20" ref="B2:I22" totalsRowCount="1" headerRowDxfId="249" dataDxfId="248">
  <autoFilter ref="B2:I21" xr:uid="{692A1ECA-CBFE-4A4C-9ECD-97597C51B7B7}"/>
  <tableColumns count="8">
    <tableColumn id="1" xr3:uid="{645D1EF9-6E22-4DEA-8380-71BBF5C461E5}" name="ProductID" totalsRowLabel="Total" dataDxfId="247" totalsRowDxfId="246"/>
    <tableColumn id="2" xr3:uid="{DA215F98-FB3E-4DD8-B4F0-26366E34F437}" name="01/01/2025" dataDxfId="245" totalsRowDxfId="244">
      <calculatedColumnFormula>SUMIFS(Table1[Quantity],Table1[ProductID_Clean],Table20[[#This Row],[ProductID]],Table1[TransactionDate_Clean],"&gt;="&amp;C$2,Table1[TransactionDate_Clean],"&lt;"&amp;EDATE(C$2,1))</calculatedColumnFormula>
    </tableColumn>
    <tableColumn id="3" xr3:uid="{B32E4B94-1DE9-459D-99B0-695FB25BF597}" name="02/01/25" dataDxfId="243" totalsRowDxfId="242">
      <calculatedColumnFormula>SUMIFS(Table1[Quantity],Table1[ProductID_Clean],Table20[[#This Row],[ProductID]],Table1[TransactionDate_Clean],"&gt;="&amp;D$2,Table1[TransactionDate_Clean],"&lt;"&amp;EDATE(D$2,1))</calculatedColumnFormula>
    </tableColumn>
    <tableColumn id="4" xr3:uid="{CB5D9B41-940D-464A-A444-85B39DA6D66C}" name="3/1/2025" dataDxfId="241" totalsRowDxfId="240">
      <calculatedColumnFormula>SUMIFS(Table1[Quantity],Table1[ProductID_Clean],Table20[[#This Row],[ProductID]],Table1[TransactionDate_Clean],"&gt;"&amp;EOMONTH($E$2,-1),Table1[TransactionDate_Clean],"&lt;="&amp;EOMONTH($E$2,0))</calculatedColumnFormula>
    </tableColumn>
    <tableColumn id="5" xr3:uid="{FF9406CA-DB34-4A8D-9EA3-76966D8385B4}" name="4/1/2025" dataDxfId="239" totalsRowDxfId="238">
      <calculatedColumnFormula>SUMIFS(Table1[Quantity],Table1[ProductID_Clean],Table20[[#This Row],[ProductID]],Table1[TransactionDate_Clean],"&gt;"&amp;EOMONTH($F$2,-1),Table1[TransactionDate_Clean],"&lt;="&amp;EOMONTH($F$2,0))</calculatedColumnFormula>
    </tableColumn>
    <tableColumn id="6" xr3:uid="{FB08B765-667E-404E-8765-6D9852DB3DDB}" name="5/1/2025" dataDxfId="237" totalsRowDxfId="236">
      <calculatedColumnFormula>SUMIFS(Table1[Quantity],Table1[ProductID_Clean],Table20[[#This Row],[ProductID]],Table1[TransactionDate_Clean],"&gt;"&amp;EOMONTH($G$2,-1),Table1[TransactionDate_Clean],"&lt;="&amp;EOMONTH($G$2,0))</calculatedColumnFormula>
    </tableColumn>
    <tableColumn id="7" xr3:uid="{0F42AF29-1F3B-4C9A-A70C-183C8CE054DC}" name="6/1/2025" dataDxfId="235" totalsRowDxfId="234">
      <calculatedColumnFormula>SUMIFS(Table1[Quantity],Table1[ProductID_Clean],Table20[[#This Row],[ProductID]],Table1[TransactionDate_Clean],"&gt;"&amp;EOMONTH($H$2,-1),Table1[TransactionDate_Clean],"&lt;="&amp;EOMONTH($H$2,0))</calculatedColumnFormula>
    </tableColumn>
    <tableColumn id="8" xr3:uid="{F6A350D4-54AC-4958-BEB6-C640613FFDB7}" name="H1 Quantity" totalsRowFunction="sum" dataDxfId="233" totalsRowDxfId="232">
      <calculatedColumnFormula>SUM(Table20[[#This Row],[01/01/2025]:[6/1/2025]])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3F9F854-49A5-4985-80EB-4AEB54E85ED9}" name="Table21" displayName="Table21" ref="B25:I44" totalsRowShown="0" headerRowDxfId="231" dataDxfId="230">
  <autoFilter ref="B25:I44" xr:uid="{63F9F854-49A5-4985-80EB-4AEB54E85ED9}"/>
  <tableColumns count="8">
    <tableColumn id="1" xr3:uid="{139B1B40-2894-4A0E-B843-DF0DE1F2D1EB}" name="ProductID" dataDxfId="229"/>
    <tableColumn id="2" xr3:uid="{B2488FF3-6315-41DE-AF8B-D5AFB0EA67FB}" name="1/1/2025" dataDxfId="228">
      <calculatedColumnFormula>SUMIFS(Table4[ActualCost_Clean],Table4[ProductID_Clean],Business_Profitability!B3,Table4[Period_Clean],"2025-01",Table4[CostType],"Variable")</calculatedColumnFormula>
    </tableColumn>
    <tableColumn id="3" xr3:uid="{AD5DAD93-9EBB-4349-9B39-DB1A366136FD}" name="2/1/2025" dataDxfId="227">
      <calculatedColumnFormula>SUMIFS(Table4[ActualCost_Clean],Table4[ProductID_Clean],Table21[[#This Row],[ProductID]],Table4[Period_Clean],"2025-02",Table4[CostType],"Variable")</calculatedColumnFormula>
    </tableColumn>
    <tableColumn id="4" xr3:uid="{D8573CF6-2056-4554-BA63-83C3DFC536FB}" name="3/1/2025" dataDxfId="226">
      <calculatedColumnFormula>SUMIFS(Table4[ActualCost_Clean],Table4[ProductID_Clean],Table21[[#This Row],[ProductID]],Table4[Period_Clean],"2025-03",Table4[CostType],"Variable")</calculatedColumnFormula>
    </tableColumn>
    <tableColumn id="5" xr3:uid="{DE3A406B-7855-4315-842C-EAFF85547740}" name="4/1/2025" dataDxfId="225">
      <calculatedColumnFormula>SUMIFS(Table4[ActualCost_Clean],Table4[ProductID_Clean],Table21[[#This Row],[ProductID]],Table4[Period_Clean],"2025-04",Table4[CostType],"Variable")</calculatedColumnFormula>
    </tableColumn>
    <tableColumn id="6" xr3:uid="{76433DF8-555B-4A72-B689-17E2FCE0A1FC}" name="5/1/2025" dataDxfId="224">
      <calculatedColumnFormula>SUMIFS(Table4[ActualCost_Clean],Table4[ProductID_Clean],Table21[[#This Row],[ProductID]],Table4[Period_Clean],"2025-05",Table4[CostType],"Variable")</calculatedColumnFormula>
    </tableColumn>
    <tableColumn id="7" xr3:uid="{5AF30BCC-C7AF-421E-A7A2-DE718D2A83D0}" name="6/1/2025" dataDxfId="223">
      <calculatedColumnFormula>SUMIFS(Table4[ActualCost_Clean],Table4[ProductID_Clean],Table21[[#This Row],[ProductID]],Table4[Period_Clean],"2025-06",Table4[CostType],"Variable")</calculatedColumnFormula>
    </tableColumn>
    <tableColumn id="8" xr3:uid="{A9EFAD8F-8173-40FF-8FE8-F7482458B370}" name="Colonne1" dataDxfId="22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A79DA59-E70B-4CCF-AFCD-839BD68AB964}" name="Tbl_VariableCost" displayName="Tbl_VariableCost" ref="B48:K68" totalsRowCount="1" headerRowDxfId="221" dataDxfId="220">
  <autoFilter ref="B48:K67" xr:uid="{2A79DA59-E70B-4CCF-AFCD-839BD68AB964}"/>
  <tableColumns count="10">
    <tableColumn id="1" xr3:uid="{B48C661C-197A-4036-8F44-6C6782D35FAF}" name="ProductID" totalsRowLabel="Total" dataDxfId="219" totalsRowDxfId="218"/>
    <tableColumn id="2" xr3:uid="{22A386B8-0463-4010-84A4-6D5E3D644170}" name="25-Jan" totalsRowFunction="sum" dataDxfId="217" totalsRowDxfId="216">
      <calculatedColumnFormula>Business_Profitability!C3*Business_Profitability!C26</calculatedColumnFormula>
    </tableColumn>
    <tableColumn id="3" xr3:uid="{02600939-B399-4F07-B5F8-F8534DCD7A1C}" name="25-Feb" totalsRowFunction="sum" dataDxfId="215" totalsRowDxfId="214">
      <calculatedColumnFormula>Business_Profitability!D3*Business_Profitability!D26</calculatedColumnFormula>
    </tableColumn>
    <tableColumn id="4" xr3:uid="{71799ADD-AFF0-4512-9C1E-BC8AE5E01D55}" name="25-Mar" totalsRowFunction="sum" dataDxfId="213" totalsRowDxfId="212">
      <calculatedColumnFormula>Business_Profitability!E3*Business_Profitability!E26</calculatedColumnFormula>
    </tableColumn>
    <tableColumn id="5" xr3:uid="{30E52DC4-C27A-40AC-A165-C44103A1E5B7}" name="25-Apr" totalsRowFunction="sum" dataDxfId="211" totalsRowDxfId="210">
      <calculatedColumnFormula>Business_Profitability!F3*Business_Profitability!F26</calculatedColumnFormula>
    </tableColumn>
    <tableColumn id="6" xr3:uid="{031D9A8C-5BD9-4468-8D71-29824225F95D}" name="25-May" totalsRowFunction="sum" dataDxfId="209" totalsRowDxfId="208">
      <calculatedColumnFormula>Business_Profitability!G3*Business_Profitability!G26</calculatedColumnFormula>
    </tableColumn>
    <tableColumn id="7" xr3:uid="{6945869F-A05F-44B9-A110-C7DDEC936B2D}" name="25-Jun" totalsRowFunction="sum" dataDxfId="207" totalsRowDxfId="206">
      <calculatedColumnFormula>Business_Profitability!H3*Business_Profitability!H26</calculatedColumnFormula>
    </tableColumn>
    <tableColumn id="8" xr3:uid="{34121598-99F2-42DC-B84E-FB64036999A7}" name="H1 Actual Variable Cost" totalsRowFunction="sum" dataDxfId="205" totalsRowDxfId="204">
      <calculatedColumnFormula>SUM(Tbl_VariableCost[[#This Row],[25-Jan]:[25-Jun]])</calculatedColumnFormula>
    </tableColumn>
    <tableColumn id="9" xr3:uid="{A5B02B3A-67E4-4809-A290-18D20F123A22}" name="BU" dataDxfId="203" totalsRowDxfId="202">
      <calculatedColumnFormula>_xlfn.XLOOKUP(Tbl_VariableCost[[#This Row],[ProductID]],Table3[ProductID],Table3[BU],,0)</calculatedColumnFormula>
    </tableColumn>
    <tableColumn id="10" xr3:uid="{EABD998E-1FCB-4D9C-938D-47B90B786483}" name="B_Cat" dataDxfId="201" totalsRowDxfId="200">
      <calculatedColumnFormula>_xlfn.XLOOKUP(Tbl_VariableCost[[#This Row],[ProductID]],Table3[ProductID],Table3[Category_Clean],,0)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1272D16-EF25-4623-88D6-910C71BE9E2A}" name="Contribution_profit_BU" displayName="Contribution_profit_BU" ref="B78:F82" totalsRowCount="1" headerRowDxfId="199" dataDxfId="198">
  <autoFilter ref="B78:F81" xr:uid="{01272D16-EF25-4623-88D6-910C71BE9E2A}"/>
  <tableColumns count="5">
    <tableColumn id="1" xr3:uid="{73B34284-9BD6-4B78-B23A-B8C3FB654BEE}" name="Business Unit" totalsRowLabel="Total" dataDxfId="197" totalsRowDxfId="196"/>
    <tableColumn id="2" xr3:uid="{C9128822-7596-48FE-AB82-CD80E3AB780F}" name="H1 Net Revenue" totalsRowFunction="sum" dataDxfId="195" totalsRowDxfId="194">
      <calculatedColumnFormula>_xlfn.XLOOKUP(Contribution_profit_BU[[#This Row],[Business Unit]],Business_Unit_Valid_Product_Revenue[Business Unit],Business_Unit_Valid_Product_Revenue[Net Revenue])</calculatedColumnFormula>
    </tableColumn>
    <tableColumn id="3" xr3:uid="{C925BFF3-EB96-4DD8-AF76-B5D284CCC6FD}" name="H1 Actual Variable Cost" totalsRowFunction="sum" dataDxfId="193" totalsRowDxfId="192">
      <calculatedColumnFormula>_xlfn.XLOOKUP(Contribution_profit_BU[[#This Row],[Business Unit]],#REF!,#REF!)</calculatedColumnFormula>
    </tableColumn>
    <tableColumn id="4" xr3:uid="{54D17B20-1C07-4639-A5AF-F80D9A46E5BD}" name="Contribution Profit" totalsRowFunction="sum" dataDxfId="191" totalsRowDxfId="190">
      <calculatedColumnFormula>Contribution_profit_BU[[#This Row],[H1 Net Revenue]]-Contribution_profit_BU[[#This Row],[H1 Actual Variable Cost]]</calculatedColumnFormula>
    </tableColumn>
    <tableColumn id="5" xr3:uid="{9270311D-1CD1-46CF-AB10-ED502C78E370}" name="Contribution Margin %" dataDxfId="189" totalsRowDxfId="188">
      <calculatedColumnFormula>Contribution_profit_BU[[#This Row],[Contribution Profit]]/Contribution_profit_BU[[#This Row],[H1 Net Revenue]]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E35F6CE-CEC0-4F4B-B165-288ACD753A45}" name="Product_Fixed_Allocation" displayName="Product_Fixed_Allocation" ref="B85:H104" totalsRowShown="0" headerRowDxfId="187" dataDxfId="185" headerRowBorderDxfId="186" tableBorderDxfId="184" totalsRowBorderDxfId="183">
  <autoFilter ref="B85:H104" xr:uid="{8E35F6CE-CEC0-4F4B-B165-288ACD753A45}"/>
  <tableColumns count="7">
    <tableColumn id="1" xr3:uid="{5FB358A2-F335-466E-9F72-C3AEA88F84E0}" name="ProductID" dataDxfId="182"/>
    <tableColumn id="2" xr3:uid="{9BC55516-4107-4192-9B90-0AC16F388DE6}" name="1/1/2025" dataDxfId="181">
      <calculatedColumnFormula>_xlfn.XLOOKUP(B86,Table3[ProductID],Table3[StdFixedAlloc])</calculatedColumnFormula>
    </tableColumn>
    <tableColumn id="3" xr3:uid="{2C443357-EF99-4977-AEF4-E81735B969B4}" name="2/1/2025" dataDxfId="180">
      <calculatedColumnFormula>_xlfn.XLOOKUP(B86,Table3[ProductID],Table3[StdFixedAlloc])</calculatedColumnFormula>
    </tableColumn>
    <tableColumn id="4" xr3:uid="{8DF0EDC8-281B-46F6-B7DE-54F2FAB76D5E}" name="3/1/2025" dataDxfId="179">
      <calculatedColumnFormula>_xlfn.XLOOKUP(B86,Table3[ProductID],Table3[StdFixedAlloc])</calculatedColumnFormula>
    </tableColumn>
    <tableColumn id="5" xr3:uid="{A3B389BC-613F-4811-9DCE-77CBC77813BE}" name="4/1/2025" dataDxfId="178">
      <calculatedColumnFormula>_xlfn.XLOOKUP(B86,Table3[ProductID],Table3[StdFixedAlloc])</calculatedColumnFormula>
    </tableColumn>
    <tableColumn id="6" xr3:uid="{0F1E5C99-5DF2-4693-A620-D7E71204CC06}" name="5/1/2025" dataDxfId="177">
      <calculatedColumnFormula>_xlfn.XLOOKUP(B86,Table3[ProductID],Table3[StdFixedAlloc])</calculatedColumnFormula>
    </tableColumn>
    <tableColumn id="7" xr3:uid="{89ADE485-D0B7-4597-B114-134A43F060AD}" name="6/1/2025" dataDxfId="176">
      <calculatedColumnFormula>_xlfn.XLOOKUP(B86,Table3[ProductID],Table3[StdFixedAlloc])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6F8D63B-CD93-4A87-A6B6-2C77E1065EA4}" name="Product_Fixed_Cost" displayName="Product_Fixed_Cost" ref="B106:H125" totalsRowShown="0" headerRowDxfId="175">
  <autoFilter ref="B106:H125" xr:uid="{56F8D63B-CD93-4A87-A6B6-2C77E1065EA4}"/>
  <tableColumns count="7">
    <tableColumn id="1" xr3:uid="{536D36BC-9E4F-4898-930E-A89792990A9F}" name="ProductID"/>
    <tableColumn id="2" xr3:uid="{8BC55473-A79F-434C-820B-A94E57D7B981}" name="25-Jan">
      <calculatedColumnFormula>C86*Business_Profitability!C3</calculatedColumnFormula>
    </tableColumn>
    <tableColumn id="3" xr3:uid="{656E7B06-882D-4F0F-A4DE-2793B2353D9A}" name="25-Feb">
      <calculatedColumnFormula>D86*Business_Profitability!D3</calculatedColumnFormula>
    </tableColumn>
    <tableColumn id="4" xr3:uid="{C4485DAA-E031-42A3-BB21-F80DDF637BBB}" name="25-Mar">
      <calculatedColumnFormula>E86*Business_Profitability!E3</calculatedColumnFormula>
    </tableColumn>
    <tableColumn id="5" xr3:uid="{0BDAC5C1-DC78-4C0B-BBFB-64B83B21FF94}" name="25-Apr">
      <calculatedColumnFormula>F86*Business_Profitability!F3</calculatedColumnFormula>
    </tableColumn>
    <tableColumn id="6" xr3:uid="{1549FD3D-CEF0-4FFA-8509-C549B38B40D9}" name="25-May">
      <calculatedColumnFormula>G86*Business_Profitability!G3</calculatedColumnFormula>
    </tableColumn>
    <tableColumn id="7" xr3:uid="{A782D707-1297-4E0B-A180-6DE2707DF0B6}" name="25-Jun">
      <calculatedColumnFormula>H86*Business_Profitability!H3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43A39C5-77CB-4328-B34D-F68CFD5C7FF8}" name="Product_Monthly_COGS" displayName="Product_Monthly_COGS" ref="B127:K147" totalsRowCount="1" headerRowDxfId="174" dataDxfId="173">
  <autoFilter ref="B127:K146" xr:uid="{843A39C5-77CB-4328-B34D-F68CFD5C7FF8}"/>
  <tableColumns count="10">
    <tableColumn id="1" xr3:uid="{A3CA6946-529E-4545-A251-E3B95299E840}" name="ProductID" totalsRowLabel="Total" dataDxfId="172" totalsRowDxfId="171"/>
    <tableColumn id="2" xr3:uid="{67530B6F-45F8-4B49-B663-0AF007354CF9}" name="25-Jan" dataDxfId="170" totalsRowDxfId="169">
      <calculatedColumnFormula>C107+Business_Profitability!C49</calculatedColumnFormula>
    </tableColumn>
    <tableColumn id="3" xr3:uid="{A1CFAF9F-B9D6-4107-9D9D-0806B29844A1}" name="25-Feb" dataDxfId="168" totalsRowDxfId="167">
      <calculatedColumnFormula>D107+Business_Profitability!D49</calculatedColumnFormula>
    </tableColumn>
    <tableColumn id="4" xr3:uid="{8F2E351F-26C0-4CE1-B653-D0471F688D51}" name="25-Mar" dataDxfId="166" totalsRowDxfId="165">
      <calculatedColumnFormula>E107+Business_Profitability!E49</calculatedColumnFormula>
    </tableColumn>
    <tableColumn id="5" xr3:uid="{840B6F8D-9993-48A2-8024-D14D5B3D47DA}" name="25-Apr" dataDxfId="164" totalsRowDxfId="163">
      <calculatedColumnFormula>F107+Business_Profitability!F49</calculatedColumnFormula>
    </tableColumn>
    <tableColumn id="6" xr3:uid="{00F24968-50E1-4AD1-AA02-4E56F2A24510}" name="25-May" dataDxfId="162" totalsRowDxfId="161">
      <calculatedColumnFormula>G107+Business_Profitability!G49</calculatedColumnFormula>
    </tableColumn>
    <tableColumn id="7" xr3:uid="{8E7873BB-4700-4712-B4F7-17F41A2FDA46}" name="25-Jun" dataDxfId="160" totalsRowDxfId="159">
      <calculatedColumnFormula>H107+Business_Profitability!H49</calculatedColumnFormula>
    </tableColumn>
    <tableColumn id="8" xr3:uid="{A83FBBE6-8AC0-49F3-973D-09476092C119}" name="H1 COGS" totalsRowFunction="sum" dataDxfId="158" totalsRowDxfId="157">
      <calculatedColumnFormula>SUM(Product_Monthly_COGS[[#This Row],[25-Jan]:[25-Jun]])</calculatedColumnFormula>
    </tableColumn>
    <tableColumn id="9" xr3:uid="{DCE11FE8-C01F-42F0-A1F1-79003F5F6F18}" name="BU" dataDxfId="156" totalsRowDxfId="155">
      <calculatedColumnFormula>_xlfn.XLOOKUP(Product_Monthly_COGS[[#This Row],[ProductID]],Table3[ProductID],Table3[BU])</calculatedColumnFormula>
    </tableColumn>
    <tableColumn id="10" xr3:uid="{9E423AD7-BC38-4A58-B435-31F548FAE688}" name="B_CAT" dataDxfId="154" totalsRowDxfId="153">
      <calculatedColumnFormula>_xlfn.XLOOKUP(Product_Monthly_COGS[[#This Row],[ProductID]],Table3[ProductID],Table3[Category_Clean],,0)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D2B9D00-470F-4744-979A-B94CF58B3762}" name="Product_Region_Quantity" displayName="Product_Region_Quantity" ref="B158:G178" totalsRowCount="1" headerRowDxfId="152" dataDxfId="151">
  <autoFilter ref="B158:G177" xr:uid="{3D2B9D00-470F-4744-979A-B94CF58B3762}"/>
  <tableColumns count="6">
    <tableColumn id="1" xr3:uid="{30EFAA89-6A09-433F-8AAE-9A588085B633}" name="ProductID" totalsRowLabel="Total" dataDxfId="150" totalsRowDxfId="149"/>
    <tableColumn id="2" xr3:uid="{E981F69A-5588-489A-85F6-397BC61942AF}" name="N. AMERICA" dataDxfId="148" totalsRowDxfId="147">
      <calculatedColumnFormula>SUMIFS(Table1[Quantity],Table1[ProductID_Clean],Product_Region_Quantity[[#This Row],[ProductID]],Table1[RegionClean_],Product_Region_Quantity[[#Headers],[N. AMERICA]])</calculatedColumnFormula>
    </tableColumn>
    <tableColumn id="3" xr3:uid="{D47F0CC7-6829-437A-80ED-2D836EE50F60}" name="EMEA" dataDxfId="146" totalsRowDxfId="145">
      <calculatedColumnFormula>SUMIFS(Table1[Quantity],Table1[ProductID_Clean],Product_Region_Quantity[[#This Row],[ProductID]],Table1[RegionClean_],Product_Region_Quantity[[#Headers],[EMEA]])</calculatedColumnFormula>
    </tableColumn>
    <tableColumn id="4" xr3:uid="{FBCD425D-BE4F-48F0-B45C-CEF15C9E3A47}" name="APAC" dataDxfId="144" totalsRowDxfId="143">
      <calculatedColumnFormula>SUMIFS(Table1[Quantity],Table1[ProductID_Clean],Product_Region_Quantity[[#This Row],[ProductID]],Table1[RegionClean_],Product_Region_Quantity[[#Headers],[APAC]])</calculatedColumnFormula>
    </tableColumn>
    <tableColumn id="5" xr3:uid="{E63534E9-E789-46B9-982E-EAADBC8B3463}" name="LATIN AMERICA" dataDxfId="142" totalsRowDxfId="141">
      <calculatedColumnFormula>SUMIFS(Table1[Quantity],Table1[ProductID_Clean],Product_Region_Quantity[[#This Row],[ProductID]],Table1[RegionClean_],Product_Region_Quantity[[#Headers],[LATIN AMERICA]])</calculatedColumnFormula>
    </tableColumn>
    <tableColumn id="6" xr3:uid="{A6655365-42DF-4BE6-ADF1-2707DE6454C2}" name="H1 Total" totalsRowFunction="sum" dataDxfId="140" totalsRowDxfId="139">
      <calculatedColumnFormula>SUM(Product_Region_Quantity[[#This Row],[N. AMERICA]:[LATIN AMERICA]])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5A2DDB5-D0A4-4AFE-9986-7551D18B4259}" name="Table23" displayName="Table23" ref="B71:E75" totalsRowCount="1" headerRowDxfId="138" dataDxfId="137">
  <autoFilter ref="B71:E74" xr:uid="{25A2DDB5-D0A4-4AFE-9986-7551D18B4259}"/>
  <tableColumns count="4">
    <tableColumn id="1" xr3:uid="{059675C7-FD21-4320-88E0-0A9E0C377AC9}" name="Business Unit" totalsRowLabel="Total" dataDxfId="136" totalsRowDxfId="135"/>
    <tableColumn id="2" xr3:uid="{B67AC559-02E7-4379-B625-4860899CCA9B}" name="H1 Actual Variable Cost" totalsRowFunction="sum" dataDxfId="134" totalsRowDxfId="133">
      <calculatedColumnFormula>SUMIF(Tbl_VariableCost[BU],Table23[[#This Row],[Business Unit]],Tbl_VariableCost[H1 Actual Variable Cost])</calculatedColumnFormula>
    </tableColumn>
    <tableColumn id="3" xr3:uid="{2A7949A2-F361-4ECE-8C82-0751DD33CB3F}" name="H1 Net Revenue" totalsRowFunction="sum" dataDxfId="132" totalsRowDxfId="131">
      <calculatedColumnFormula>_xlfn.XLOOKUP(Table23[[#This Row],[Business Unit]],Business_Unit_Valid_Product_Revenue[Business Unit],Business_Unit_Valid_Product_Revenue[Net Revenue])</calculatedColumnFormula>
    </tableColumn>
    <tableColumn id="4" xr3:uid="{C471C692-5B16-4456-A778-0D2E796B3646}" name="Variable-Cost Intensity (%)" dataDxfId="130" totalsRowDxfId="129">
      <calculatedColumnFormula>Table23[[#This Row],[H1 Actual Variable Cost]]/Table23[[#This Row],[H1 Net Revenue]]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414CB22-9BED-4DFB-9F62-4C7DF2F05B3D}" name="Table48" displayName="Table48" ref="P51:W56" totalsRowShown="0" headerRowDxfId="128" dataDxfId="127">
  <autoFilter ref="P51:W56" xr:uid="{E414CB22-9BED-4DFB-9F62-4C7DF2F05B3D}"/>
  <tableColumns count="8">
    <tableColumn id="1" xr3:uid="{63176672-5849-4964-BF60-F7F21DD464DF}" name="Product Category" dataDxfId="126"/>
    <tableColumn id="2" xr3:uid="{558D5ED8-1138-412E-886D-CD115F9317F5}" name="H1 Net Revenue" dataDxfId="125"/>
    <tableColumn id="3" xr3:uid="{60796E38-8B42-4F87-864C-BF99FC98C2EF}" name="H1 Actual Variable Cost" dataDxfId="124"/>
    <tableColumn id="4" xr3:uid="{57F81AFE-C23D-4B0A-8792-08EC0A6FC724}" name="Contribution Profit" dataDxfId="123"/>
    <tableColumn id="5" xr3:uid="{FFE7E363-41B8-40C4-9809-C6FD0D80FA3E}" name="Contribution Margin %" dataDxfId="122"/>
    <tableColumn id="6" xr3:uid="{3932B267-0DCB-4409-AAB4-5490EF6503AB}" name="H1 COGS" dataDxfId="121"/>
    <tableColumn id="7" xr3:uid="{80B5CAE4-CD3F-492D-8833-06B3F4B233A1}" name="Gross Profit" dataDxfId="120"/>
    <tableColumn id="8" xr3:uid="{344D9EC0-6729-4A9C-B8D8-43D68E4BD7EA}" name="Gross Margin %" dataDxfId="119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EA50132-9180-42D5-A2D1-7DBF85A04CB7}" name="Table30" displayName="Table30" ref="B149:F153" totalsRowCount="1" headerRowDxfId="118" dataDxfId="117">
  <autoFilter ref="B149:F152" xr:uid="{5EA50132-9180-42D5-A2D1-7DBF85A04CB7}"/>
  <tableColumns count="5">
    <tableColumn id="1" xr3:uid="{5211400E-93A3-4023-9BAC-88BCD3D6E540}" name="Business Unit" totalsRowLabel="Total" dataDxfId="116" totalsRowDxfId="115"/>
    <tableColumn id="2" xr3:uid="{9B42E868-3CF9-4F4F-8B31-43E400BD9E76}" name="H1 Net Revenue" totalsRowFunction="sum" dataDxfId="114" totalsRowDxfId="113">
      <calculatedColumnFormula>Business_Profitability!D72</calculatedColumnFormula>
    </tableColumn>
    <tableColumn id="3" xr3:uid="{2744FD0C-7495-449C-8952-ECCAAD0A2884}" name="H1 COGS" totalsRowFunction="sum" dataDxfId="112" totalsRowDxfId="111">
      <calculatedColumnFormula>SUMIF(Product_Monthly_COGS[BU],Table30[[#This Row],[Business Unit]],Product_Monthly_COGS[H1 COGS])</calculatedColumnFormula>
    </tableColumn>
    <tableColumn id="4" xr3:uid="{83364AA2-CEDA-4652-8267-133DCB4DBC31}" name="Gross Profit" totalsRowFunction="sum" dataDxfId="110" totalsRowDxfId="109">
      <calculatedColumnFormula>Table30[[#This Row],[H1 Net Revenue]]-Table30[[#This Row],[H1 COGS]]</calculatedColumnFormula>
    </tableColumn>
    <tableColumn id="5" xr3:uid="{6920654C-A3B8-4063-9870-4A0F4FDC619C}" name="Gross Margin %" dataDxfId="108" totalsRowDxfId="107">
      <calculatedColumnFormula>Table30[[#This Row],[Gross Profit]]/Table30[[#This Row],[H1 Net Revenue]]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AA2B0A7-97D1-4C5F-845A-7A63B1E0BAA8}" name="Product_Category_Profitability" displayName="Product_Category_Profitability" ref="C3:J9" totalsRowCount="1" headerRowDxfId="106" dataDxfId="105">
  <autoFilter ref="C3:J8" xr:uid="{BAA2B0A7-97D1-4C5F-845A-7A63B1E0BAA8}"/>
  <tableColumns count="8">
    <tableColumn id="1" xr3:uid="{16F6BE07-3C78-4ED2-BBC7-6FC391E81A17}" name="`" totalsRowLabel="Total" dataDxfId="104" totalsRowDxfId="103"/>
    <tableColumn id="2" xr3:uid="{DF9E575B-437C-44ED-AF6D-2F06EB7AF8A4}" name="H1 Net Revenue" totalsRowFunction="sum" dataDxfId="102" totalsRowDxfId="101">
      <calculatedColumnFormula>_xlfn.XLOOKUP(Product_Category_Profitability[[#This Row],[`]],Product_Category_Valid_Product_Revenue[Product Category],Product_Category_Valid_Product_Revenue[Net Revenue])</calculatedColumnFormula>
    </tableColumn>
    <tableColumn id="3" xr3:uid="{8DEB60F9-0BC0-47CE-B669-94A742C52FD8}" name="H1 Variable Cost" totalsRowFunction="sum" dataDxfId="100" totalsRowDxfId="99">
      <calculatedColumnFormula>SUMIF(Tbl_VariableCost[B_Cat],Product_Category_Profitability[[#This Row],[`]],Tbl_VariableCost[H1 Actual Variable Cost])</calculatedColumnFormula>
    </tableColumn>
    <tableColumn id="4" xr3:uid="{117CA23A-E5FE-4D41-AF4B-25E9647BBE74}" name="Contribution Profit" dataDxfId="98" totalsRowDxfId="97">
      <calculatedColumnFormula>Product_Category_Profitability[[#This Row],[H1 Net Revenue]]-Product_Category_Profitability[[#This Row],[H1 Variable Cost]]</calculatedColumnFormula>
    </tableColumn>
    <tableColumn id="5" xr3:uid="{C59F773A-D92B-4680-B014-BD0C298057FF}" name="Contribution Margin %" dataDxfId="96" totalsRowDxfId="95">
      <calculatedColumnFormula>Product_Category_Profitability[[#This Row],[Contribution Profit]]/Product_Category_Profitability[[#This Row],[H1 Net Revenue]]</calculatedColumnFormula>
    </tableColumn>
    <tableColumn id="6" xr3:uid="{476AB7A1-061B-40B6-A9BA-C00CB9AC9884}" name="H1 COGS" totalsRowFunction="sum" dataDxfId="94" totalsRowDxfId="93">
      <calculatedColumnFormula>SUMIF(Product_Monthly_COGS[B_CAT],Product_Category_Profitability[[#This Row],[`]],Product_Monthly_COGS[H1 COGS])</calculatedColumnFormula>
    </tableColumn>
    <tableColumn id="7" xr3:uid="{D1396B8C-7289-4331-A331-537B1928B698}" name="Gross Profit" totalsRowFunction="sum" dataDxfId="92" totalsRowDxfId="91">
      <calculatedColumnFormula>Product_Category_Profitability[[#This Row],[H1 Net Revenue]]-Product_Category_Profitability[[#This Row],[H1 COGS]]</calculatedColumnFormula>
    </tableColumn>
    <tableColumn id="8" xr3:uid="{F9913C12-5837-4F4C-AD7E-51E06C865077}" name="Gross Margin %" dataDxfId="90" totalsRowDxfId="89">
      <calculatedColumnFormula>Product_Category_Profitability[[#This Row],[Gross Profit]]/Product_Category_Profitability[[#This Row],[H1 Net Revenue]]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FD49A73-1D02-40B5-90B9-2DDB33417FD3}" name="Major_Product_Profitability" displayName="Major_Product_Profitability" ref="D3:K23" totalsRowCount="1" headerRowDxfId="88" dataDxfId="87">
  <autoFilter ref="D3:K22" xr:uid="{8FD49A73-1D02-40B5-90B9-2DDB33417FD3}"/>
  <sortState xmlns:xlrd2="http://schemas.microsoft.com/office/spreadsheetml/2017/richdata2" ref="D4:K22">
    <sortCondition ref="E4:E22"/>
    <sortCondition descending="1" ref="H4:H22"/>
  </sortState>
  <tableColumns count="8">
    <tableColumn id="1" xr3:uid="{3D2AC4B4-CAD5-4985-8CCB-206E1D8BD4C7}" name="ProductID" totalsRowLabel="Total" dataDxfId="86" totalsRowDxfId="85"/>
    <tableColumn id="2" xr3:uid="{A90BF093-92B0-4793-B7E8-757A075D43BD}" name="H1 Net Revenue" totalsRowFunction="sum" dataDxfId="84" totalsRowDxfId="83">
      <calculatedColumnFormula>_xlfn.XLOOKUP(Major_Product_Profitability[[#This Row],[ProductID]],Table14[ProductID],Table14[Net Revenue])</calculatedColumnFormula>
    </tableColumn>
    <tableColumn id="3" xr3:uid="{4C728187-E3D3-4913-BEC2-8CE21F1F457E}" name="H1 Variable Cost" totalsRowFunction="sum" dataDxfId="82" totalsRowDxfId="81">
      <calculatedColumnFormula>_xlfn.XLOOKUP(Major_Product_Profitability[[#This Row],[ProductID]],Tbl_VariableCost[ProductID],Tbl_VariableCost[H1 Actual Variable Cost])</calculatedColumnFormula>
    </tableColumn>
    <tableColumn id="4" xr3:uid="{C92E7426-040C-408A-9700-1C35BD54E68F}" name="Contribution Profit" totalsRowFunction="sum" dataDxfId="80" totalsRowDxfId="79">
      <calculatedColumnFormula>Major_Product_Profitability[[#This Row],[H1 Net Revenue]]-Major_Product_Profitability[[#This Row],[H1 Variable Cost]]</calculatedColumnFormula>
    </tableColumn>
    <tableColumn id="5" xr3:uid="{43CEA959-3784-43FC-B925-EC44C24CEEB9}" name="Contribution Margin %" dataDxfId="78" totalsRowDxfId="77">
      <calculatedColumnFormula>Major_Product_Profitability[[#This Row],[Contribution Profit]]/Major_Product_Profitability[[#This Row],[H1 Net Revenue]]</calculatedColumnFormula>
    </tableColumn>
    <tableColumn id="6" xr3:uid="{57F94D96-A38B-4AF5-913A-0D28771D1880}" name="H1 COGS" totalsRowFunction="sum" dataDxfId="76" totalsRowDxfId="75">
      <calculatedColumnFormula>_xlfn.XLOOKUP(Major_Product_Profitability[[#This Row],[ProductID]],Product_Monthly_COGS[ProductID],Product_Monthly_COGS[H1 COGS])</calculatedColumnFormula>
    </tableColumn>
    <tableColumn id="7" xr3:uid="{07B58DCE-E134-4C55-9184-EB257538F5F8}" name="Gross Profit" dataDxfId="74" totalsRowDxfId="73">
      <calculatedColumnFormula>Major_Product_Profitability[[#This Row],[H1 Net Revenue]]-Major_Product_Profitability[[#This Row],[H1 COGS]]</calculatedColumnFormula>
    </tableColumn>
    <tableColumn id="8" xr3:uid="{2BE42C52-8501-4A5A-B043-941D0D4814C5}" name="Gross Margin %" dataDxfId="72" totalsRowDxfId="71">
      <calculatedColumnFormula>Major_Product_Profitability[[#This Row],[Gross Profit]]/Major_Product_Profitability[[#This Row],[H1 Net Revenue]]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9F5AE10-3C51-45D8-8E0F-CC0EEB43BCBA}" name="Product_Segment_Monthly_Quantity" displayName="Product_Segment_Monthly_Quantity" ref="A1:I97" totalsRowCount="1" headerRowDxfId="70">
  <autoFilter ref="A1:I96" xr:uid="{89F5AE10-3C51-45D8-8E0F-CC0EEB43BCBA}"/>
  <tableColumns count="9">
    <tableColumn id="1" xr3:uid="{ED92C440-3264-438C-80BC-860F4C90091A}" name="ProductID" totalsRowLabel="Total"/>
    <tableColumn id="2" xr3:uid="{2D446D46-58A3-4787-95BF-4CEAD76AC60F}" name="Customer Segment"/>
    <tableColumn id="3" xr3:uid="{B6C80303-4718-4B56-BE97-114B6710B718}" name="1/1/2025" dataDxfId="69">
      <calculatedColumnFormula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calculatedColumnFormula>
    </tableColumn>
    <tableColumn id="4" xr3:uid="{583B6AE7-F82A-45EB-ABA4-AA058FF8852F}" name="2/1/2025" dataDxfId="68">
      <calculatedColumnFormula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calculatedColumnFormula>
    </tableColumn>
    <tableColumn id="5" xr3:uid="{1962E934-3D5C-4F47-81D9-FAA67696E2F2}" name="3/1/2025" dataDxfId="67">
      <calculatedColumnFormula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calculatedColumnFormula>
    </tableColumn>
    <tableColumn id="6" xr3:uid="{270989CB-D86A-47E6-8671-314455EE9315}" name="4/1/2025" dataDxfId="66">
      <calculatedColumnFormula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calculatedColumnFormula>
    </tableColumn>
    <tableColumn id="7" xr3:uid="{BED80FCB-225D-4BDF-BFE7-3A81F4A40580}" name="5/1/2025" dataDxfId="65">
      <calculatedColumnFormula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calculatedColumnFormula>
    </tableColumn>
    <tableColumn id="8" xr3:uid="{91D2AD9A-2379-4C55-B92E-E6B09B8AA9E1}" name="6/1/2025" dataDxfId="64">
      <calculatedColumnFormula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calculatedColumnFormula>
    </tableColumn>
    <tableColumn id="9" xr3:uid="{C9991C9B-4F8B-42BE-9616-3561231AB664}" name="H1 Total" totalsRowFunction="sum" dataDxfId="63">
      <calculatedColumnFormula>SUM(Product_Segment_Monthly_Quantity[[#This Row],[1/1/2025]:[6/1/2025]])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89F4F2F-293F-43C2-BDC1-8E4D34C80AB6}" name="Product_CustomerSegment_Monthly_Variable_Cost" displayName="Product_CustomerSegment_Monthly_Variable_Cost" ref="L1:S96" totalsRowShown="0" headerRowDxfId="62">
  <autoFilter ref="L1:S96" xr:uid="{689F4F2F-293F-43C2-BDC1-8E4D34C80AB6}"/>
  <tableColumns count="8">
    <tableColumn id="1" xr3:uid="{4B140F32-5C5D-4EFA-9D10-B906D7808D88}" name="ProductID"/>
    <tableColumn id="2" xr3:uid="{10786961-120A-43B9-B00A-D52948B3E014}" name="Customer Segment"/>
    <tableColumn id="3" xr3:uid="{9F07685E-3310-41BC-A6DD-B7BADC29D644}" name="25-Jan" dataDxfId="61">
      <calculatedColumnFormula>SUMIFS(Table21[1/1/2025],Table21[ProductID],Product_CustomerSegment_Monthly_Variable_Cost[[#This Row],[ProductID]])</calculatedColumnFormula>
    </tableColumn>
    <tableColumn id="4" xr3:uid="{FC0CAA36-2FF2-4D05-81AC-914AF7B2C921}" name="25-Feb" dataDxfId="60">
      <calculatedColumnFormula>SUMIFS(Table21[2/1/2025],Table21[ProductID],Product_CustomerSegment_Monthly_Variable_Cost[[#This Row],[ProductID]])</calculatedColumnFormula>
    </tableColumn>
    <tableColumn id="5" xr3:uid="{B01AB8D4-8467-49BF-B233-8A89D9F0096D}" name="25-Mar" dataDxfId="59">
      <calculatedColumnFormula>SUMIFS(Table21[3/1/2025],Table21[ProductID],Product_CustomerSegment_Monthly_Variable_Cost[[#This Row],[ProductID]])</calculatedColumnFormula>
    </tableColumn>
    <tableColumn id="6" xr3:uid="{79BAB399-DCC3-4ECB-99BB-7F79B879B02D}" name="25-Apr" dataDxfId="58">
      <calculatedColumnFormula>SUMIFS(Table21[4/1/2025],Table21[ProductID],Product_CustomerSegment_Monthly_Variable_Cost[[#This Row],[ProductID]])</calculatedColumnFormula>
    </tableColumn>
    <tableColumn id="7" xr3:uid="{C24DBBB5-2A4F-4AF6-A704-C78A600765D7}" name="25-May" dataDxfId="57">
      <calculatedColumnFormula>SUMIFS(Table21[5/1/2025],Table21[ProductID],Product_CustomerSegment_Monthly_Variable_Cost[[#This Row],[ProductID]])</calculatedColumnFormula>
    </tableColumn>
    <tableColumn id="8" xr3:uid="{9F220047-9315-4DC6-938A-9565426A6401}" name="25-Jun" dataDxfId="56">
      <calculatedColumnFormula>SUMIFS(Table21[6/1/2025],Table21[ProductID],Product_CustomerSegment_Monthly_Variable_Cost[[#This Row],[ProductID]])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F68840F-1441-4AC5-A9BF-7BACFE602340}" name="Product_CustomerSegment_Monthly_Variable_Cost_Amount" displayName="Product_CustomerSegment_Monthly_Variable_Cost_Amount" ref="V1:AD97" totalsRowCount="1" headerRowDxfId="55">
  <autoFilter ref="V1:AD96" xr:uid="{7F68840F-1441-4AC5-A9BF-7BACFE602340}"/>
  <tableColumns count="9">
    <tableColumn id="1" xr3:uid="{26F76CD9-2978-4661-8006-4FDB9F7986C6}" name="ProductID" totalsRowLabel="Total"/>
    <tableColumn id="2" xr3:uid="{3FADBE12-903D-48DF-9E79-D4E81B57FA46}" name="Customer Segment"/>
    <tableColumn id="3" xr3:uid="{6C2684FA-75E9-462C-862F-A5C315C00943}" name="25-Jan" dataDxfId="54">
      <calculatedColumnFormula>Product_CustomerSegment_Monthly_Variable_Cost[[#This Row],[25-Jan]]*Product_Segment_Monthly_Quantity[[#This Row],[1/1/2025]]</calculatedColumnFormula>
    </tableColumn>
    <tableColumn id="4" xr3:uid="{BF8B9CEF-1AA3-4A71-A5B0-7204AFC01A1E}" name="25-Feb">
      <calculatedColumnFormula>Product_CustomerSegment_Monthly_Variable_Cost[[#This Row],[25-Feb]]*Product_Segment_Monthly_Quantity[[#This Row],[2/1/2025]]</calculatedColumnFormula>
    </tableColumn>
    <tableColumn id="5" xr3:uid="{C2200311-C870-43AE-8459-BC7636A58FE9}" name="25-Mar" dataDxfId="53">
      <calculatedColumnFormula>Product_CustomerSegment_Monthly_Variable_Cost[[#This Row],[25-Mar]]*Product_Segment_Monthly_Quantity[[#This Row],[3/1/2025]]</calculatedColumnFormula>
    </tableColumn>
    <tableColumn id="6" xr3:uid="{2E001892-916D-464A-A313-BA824F40B92D}" name="25-Apr" dataDxfId="52">
      <calculatedColumnFormula>Product_CustomerSegment_Monthly_Variable_Cost[[#This Row],[25-Apr]]*Product_Segment_Monthly_Quantity[[#This Row],[4/1/2025]]</calculatedColumnFormula>
    </tableColumn>
    <tableColumn id="7" xr3:uid="{E9376906-B143-4B1C-AFDA-419FE507D59E}" name="25-May" dataDxfId="51">
      <calculatedColumnFormula>Product_CustomerSegment_Monthly_Variable_Cost[[#This Row],[25-May]]*Product_Segment_Monthly_Quantity[[#This Row],[5/1/2025]]</calculatedColumnFormula>
    </tableColumn>
    <tableColumn id="8" xr3:uid="{9769270C-3306-4C41-99CC-484C6CA0B43A}" name="25-Jun" dataDxfId="50">
      <calculatedColumnFormula>Product_CustomerSegment_Monthly_Variable_Cost[[#This Row],[25-Jun]]*Product_Segment_Monthly_Quantity[[#This Row],[6/1/2025]]</calculatedColumnFormula>
    </tableColumn>
    <tableColumn id="9" xr3:uid="{307A79AB-2D7A-4457-86C1-CA5FB6B82D9C}" name="H1 Variable Cost" totalsRowFunction="sum" dataDxfId="49">
      <calculatedColumnFormula>SUM(Product_CustomerSegment_Monthly_Variable_Cost_Amount[[#This Row],[25-Jan]:[25-Jun]])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364C551-D667-4557-AFBD-0560822CFD60}" name="Product_CustomerSegment_Monthly_Actual_Fixed_Cost" displayName="Product_CustomerSegment_Monthly_Actual_Fixed_Cost" ref="AG1:AO97" totalsRowCount="1" headerRowDxfId="48">
  <autoFilter ref="AG1:AO96" xr:uid="{F364C551-D667-4557-AFBD-0560822CFD60}"/>
  <tableColumns count="9">
    <tableColumn id="1" xr3:uid="{C61EE1B9-5EEC-40E8-BCBD-9DF32882B03E}" name="ProductID" totalsRowLabel="Total"/>
    <tableColumn id="2" xr3:uid="{BC054EF6-DEF8-4227-9A89-9C567D694675}" name="Customer Segment"/>
    <tableColumn id="3" xr3:uid="{18CAC56C-354B-4F23-AABD-0567A0739321}" name="25-Jan" dataDxfId="47">
      <calculatedColumnFormula>SUMIFS(Product_Fixed_Allocation[1/1/2025],Product_Fixed_Allocation[ProductID],Product_CustomerSegment_Monthly_Actual_Fixed_Cost[[#This Row],[ProductID]])</calculatedColumnFormula>
    </tableColumn>
    <tableColumn id="4" xr3:uid="{5918A477-C69C-4D30-BFE0-22270F07DC24}" name="25-Feb" dataDxfId="46">
      <calculatedColumnFormula>SUMIFS(Product_Fixed_Allocation[2/1/2025],Product_Fixed_Allocation[ProductID],Product_CustomerSegment_Monthly_Actual_Fixed_Cost[[#This Row],[ProductID]])</calculatedColumnFormula>
    </tableColumn>
    <tableColumn id="5" xr3:uid="{7D7801E8-FA59-4E93-9DE2-F41765E67172}" name="25-Mar" dataDxfId="45">
      <calculatedColumnFormula>SUMIFS(Product_Fixed_Allocation[3/1/2025],Product_Fixed_Allocation[ProductID],Product_CustomerSegment_Monthly_Actual_Fixed_Cost[[#This Row],[ProductID]])</calculatedColumnFormula>
    </tableColumn>
    <tableColumn id="6" xr3:uid="{4AD4CBAA-3038-467A-8CCB-8C34BD9C5A90}" name="25-Apr" dataDxfId="44">
      <calculatedColumnFormula>SUMIFS(Product_Fixed_Allocation[4/1/2025],Product_Fixed_Allocation[ProductID],Product_CustomerSegment_Monthly_Actual_Fixed_Cost[[#This Row],[ProductID]])</calculatedColumnFormula>
    </tableColumn>
    <tableColumn id="7" xr3:uid="{6CE0B372-2129-404F-9D44-5E55833EED05}" name="25-May" dataDxfId="43">
      <calculatedColumnFormula>SUMIFS(Product_Fixed_Allocation[5/1/2025],Product_Fixed_Allocation[ProductID],Product_CustomerSegment_Monthly_Actual_Fixed_Cost[[#This Row],[ProductID]])</calculatedColumnFormula>
    </tableColumn>
    <tableColumn id="8" xr3:uid="{5212CC12-1F03-43AA-99BF-10E561360173}" name="25-Jun" dataDxfId="42">
      <calculatedColumnFormula>SUMIFS(Product_Fixed_Allocation[6/1/2025],Product_Fixed_Allocation[ProductID],Product_CustomerSegment_Monthly_Actual_Fixed_Cost[[#This Row],[ProductID]])</calculatedColumnFormula>
    </tableColumn>
    <tableColumn id="9" xr3:uid="{60842D71-247E-4E30-A5E5-7A0D11148DD7}" name="H1 Fixed Cost" totalsRowFunction="sum" dataDxfId="41">
      <calculatedColumnFormula>SUM(Product_CustomerSegment_Monthly_Actual_Fixed_Cost[[#This Row],[25-Jan]:[25-Jun]])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B76890E-5556-42B2-9E19-8A44B293B6BE}" name="Product_CustomerSegment_Monthly_Fixed_Cost_Amount" displayName="Product_CustomerSegment_Monthly_Fixed_Cost_Amount" ref="AR1:AZ97" totalsRowCount="1" headerRowDxfId="40">
  <autoFilter ref="AR1:AZ96" xr:uid="{1B76890E-5556-42B2-9E19-8A44B293B6BE}"/>
  <tableColumns count="9">
    <tableColumn id="1" xr3:uid="{424F2F19-4B0C-4642-9B0E-6A062C2F5656}" name="ProductID" totalsRowLabel="Total"/>
    <tableColumn id="2" xr3:uid="{A4FEC6C8-9F79-441C-81BD-9B7B9731DA02}" name="Customer Segment"/>
    <tableColumn id="3" xr3:uid="{60B82023-C5BD-4CF8-AE8E-16A73DCF0F7E}" name="25-Jan" dataDxfId="39">
      <calculatedColumnFormula>Product_CustomerSegment_Monthly_Actual_Fixed_Cost[[#This Row],[25-Jan]]*Product_Segment_Monthly_Quantity[[#This Row],[1/1/2025]]</calculatedColumnFormula>
    </tableColumn>
    <tableColumn id="4" xr3:uid="{B61A73F4-7348-41A5-9EB0-E47633DACCB4}" name="25-Feb" dataDxfId="38">
      <calculatedColumnFormula>Product_CustomerSegment_Monthly_Actual_Fixed_Cost[[#This Row],[25-Feb]]*Product_Segment_Monthly_Quantity[[#This Row],[2/1/2025]]</calculatedColumnFormula>
    </tableColumn>
    <tableColumn id="5" xr3:uid="{B3CC8CDA-D9FD-4F14-AF3E-24BAC43C7553}" name="25-Mar" dataDxfId="37">
      <calculatedColumnFormula>Product_CustomerSegment_Monthly_Actual_Fixed_Cost[[#This Row],[25-Mar]]*Product_Segment_Monthly_Quantity[[#This Row],[3/1/2025]]</calculatedColumnFormula>
    </tableColumn>
    <tableColumn id="6" xr3:uid="{66AB0258-5221-47A4-9C5C-A7C282D6A779}" name="25-Apr" dataDxfId="36">
      <calculatedColumnFormula>Product_CustomerSegment_Monthly_Actual_Fixed_Cost[[#This Row],[25-Apr]]*Product_Segment_Monthly_Quantity[[#This Row],[4/1/2025]]</calculatedColumnFormula>
    </tableColumn>
    <tableColumn id="7" xr3:uid="{4B6E8210-CC4E-4D9C-8C84-67EC6012D9C2}" name="25-May" dataDxfId="35">
      <calculatedColumnFormula>Product_CustomerSegment_Monthly_Actual_Fixed_Cost[[#This Row],[25-May]]*Product_Segment_Monthly_Quantity[[#This Row],[5/1/2025]]</calculatedColumnFormula>
    </tableColumn>
    <tableColumn id="8" xr3:uid="{93DF4909-8A13-45E2-8CD7-8ECCB6649161}" name="25-Jun" dataDxfId="34">
      <calculatedColumnFormula>Product_CustomerSegment_Monthly_Actual_Fixed_Cost[[#This Row],[25-Jun]]*Product_Segment_Monthly_Quantity[[#This Row],[6/1/2025]]</calculatedColumnFormula>
    </tableColumn>
    <tableColumn id="9" xr3:uid="{D50E7C82-693D-4561-93E4-96909795FCB8}" name="H1 Fixed Cost" totalsRowFunction="sum" dataDxfId="33">
      <calculatedColumnFormula>SUM(Product_CustomerSegment_Monthly_Fixed_Cost_Amount[[#This Row],[25-Jan]:[25-Jun]])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2D8CC4B-35E7-4912-B289-4DD3496BC71A}" name="Product_CustomerSegment_Monthly_COGS" displayName="Product_CustomerSegment_Monthly_COGS" ref="BC1:BK97" totalsRowCount="1" headerRowDxfId="32">
  <autoFilter ref="BC1:BK96" xr:uid="{C2D8CC4B-35E7-4912-B289-4DD3496BC71A}"/>
  <tableColumns count="9">
    <tableColumn id="1" xr3:uid="{D58DC295-1F11-4068-8F47-96100578FA76}" name="ProductID" totalsRowLabel="Total"/>
    <tableColumn id="2" xr3:uid="{00920879-873A-4EA5-9E88-A573CE5CDA82}" name="Customer Segment"/>
    <tableColumn id="3" xr3:uid="{4039B676-B224-4677-BC35-454B6A1D001C}" name="25-Jan" dataDxfId="31">
      <calculatedColumnFormula>Product_CustomerSegment_Monthly_Fixed_Cost_Amount[[#This Row],[25-Jan]]+Product_CustomerSegment_Monthly_Variable_Cost_Amount[[#This Row],[25-Jan]]</calculatedColumnFormula>
    </tableColumn>
    <tableColumn id="4" xr3:uid="{E9D6D046-EE6D-4884-8975-3AD60BE88255}" name="25-Feb" dataDxfId="30">
      <calculatedColumnFormula>Product_CustomerSegment_Monthly_Fixed_Cost_Amount[[#This Row],[25-Feb]]+Product_CustomerSegment_Monthly_Variable_Cost_Amount[[#This Row],[25-Feb]]</calculatedColumnFormula>
    </tableColumn>
    <tableColumn id="5" xr3:uid="{00F9591D-22B3-426C-9137-69895A230526}" name="25-Mar" dataDxfId="29">
      <calculatedColumnFormula>Product_CustomerSegment_Monthly_Fixed_Cost_Amount[[#This Row],[25-Mar]]+Product_CustomerSegment_Monthly_Variable_Cost_Amount[[#This Row],[25-Mar]]</calculatedColumnFormula>
    </tableColumn>
    <tableColumn id="6" xr3:uid="{B767D81B-0B20-4826-AF1D-BF4E603E315F}" name="25-Apr" dataDxfId="28">
      <calculatedColumnFormula>Product_CustomerSegment_Monthly_Fixed_Cost_Amount[[#This Row],[25-Apr]]+Product_CustomerSegment_Monthly_Variable_Cost_Amount[[#This Row],[25-Apr]]</calculatedColumnFormula>
    </tableColumn>
    <tableColumn id="7" xr3:uid="{78AE6630-5120-4EF4-9B05-7ADF63597409}" name="25-May" dataDxfId="27">
      <calculatedColumnFormula>Product_CustomerSegment_Monthly_Fixed_Cost_Amount[[#This Row],[25-May]]+Product_CustomerSegment_Monthly_Variable_Cost_Amount[[#This Row],[25-May]]</calculatedColumnFormula>
    </tableColumn>
    <tableColumn id="8" xr3:uid="{5BF0D484-F678-4BF5-9F84-299FFBF2CD33}" name="25-Jun" dataDxfId="26">
      <calculatedColumnFormula>Product_CustomerSegment_Monthly_Fixed_Cost_Amount[[#This Row],[25-Jun]]+Product_CustomerSegment_Monthly_Variable_Cost_Amount[[#This Row],[25-Jun]]</calculatedColumnFormula>
    </tableColumn>
    <tableColumn id="9" xr3:uid="{FCB53771-36CE-4638-88BC-513C5CE7C962}" name="H1 COGS" totalsRowFunction="sum" dataDxfId="25">
      <calculatedColumnFormula>SUM(Product_CustomerSegment_Monthly_COGS[[#This Row],[25-Jan]:[25-Jun]])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FBC90FD-9161-4EA9-AE25-6AF77475AF5A}" name="Customer_Segment_Profitability" displayName="Customer_Segment_Profitability" ref="W102:AD108" totalsRowCount="1" headerRowDxfId="24" dataDxfId="23">
  <autoFilter ref="W102:AD107" xr:uid="{3FBC90FD-9161-4EA9-AE25-6AF77475AF5A}"/>
  <sortState xmlns:xlrd2="http://schemas.microsoft.com/office/spreadsheetml/2017/richdata2" ref="W103:AD107">
    <sortCondition ref="X103:X107"/>
    <sortCondition descending="1" ref="AA103:AA107"/>
  </sortState>
  <tableColumns count="8">
    <tableColumn id="1" xr3:uid="{EF74A369-AE45-4B74-B91E-3F206C942A8F}" name="Customer Segment" totalsRowLabel="Total" dataDxfId="22" totalsRowDxfId="21"/>
    <tableColumn id="2" xr3:uid="{74C7DDE5-EFD6-4935-B44B-4E73DA682436}" name="H1 Net Revenue" totalsRowFunction="sum" dataDxfId="20" totalsRowDxfId="19">
      <calculatedColumnFormula>_xlfn.XLOOKUP(Customer_Segment_Profitability[[#This Row],[Customer Segment]],Table57[Customer Segment],Table57[Net Revenue])</calculatedColumnFormula>
    </tableColumn>
    <tableColumn id="3" xr3:uid="{84A393DA-941A-4D0B-8B30-D0815FAEF66E}" name="H1 Variable Cost" totalsRowFunction="sum" dataDxfId="18" totalsRowDxfId="17">
      <calculatedColumnFormula>SUMIF(Product_CustomerSegment_Monthly_Variable_Cost_Amount[Customer Segment],Customer_Segment_Profitability[[#This Row],[Customer Segment]],Product_CustomerSegment_Monthly_Variable_Cost_Amount[H1 Variable Cost])</calculatedColumnFormula>
    </tableColumn>
    <tableColumn id="4" xr3:uid="{4F471033-306C-4484-A4D5-396AC6124CC4}" name="Contribution Profit" totalsRowFunction="sum" dataDxfId="16" totalsRowDxfId="15">
      <calculatedColumnFormula>Customer_Segment_Profitability[[#This Row],[H1 Net Revenue]]-Customer_Segment_Profitability[[#This Row],[H1 Variable Cost]]</calculatedColumnFormula>
    </tableColumn>
    <tableColumn id="5" xr3:uid="{234921B6-B98C-4A1E-9119-A54EED59CD19}" name="Contribution Margin %" dataDxfId="14" totalsRowDxfId="13"/>
    <tableColumn id="6" xr3:uid="{C877D2D7-47F5-4503-AEEA-82E8AF72B490}" name="H1 COGS" totalsRowFunction="sum" dataDxfId="12" totalsRowDxfId="11">
      <calculatedColumnFormula>SUMIF(Product_CustomerSegment_Monthly_COGS[Customer Segment],Customer_Segment_Profitability[[#This Row],[Customer Segment]],Product_CustomerSegment_Monthly_COGS[H1 COGS])</calculatedColumnFormula>
    </tableColumn>
    <tableColumn id="7" xr3:uid="{2233EB28-6131-42F7-AF00-299982ADBEA0}" name="Gross Profit" totalsRowFunction="sum" dataDxfId="10" totalsRowDxfId="9">
      <calculatedColumnFormula>Customer_Segment_Profitability[[#This Row],[H1 Net Revenue]]-Customer_Segment_Profitability[[#This Row],[H1 COGS]]</calculatedColumnFormula>
    </tableColumn>
    <tableColumn id="8" xr3:uid="{58436A7D-5464-4389-B96C-3E2ED6FFDD3D}" name="Gross Margin %" dataDxfId="8" totalsRowDxfId="7">
      <calculatedColumnFormula>Customer_Segment_Profitability[[#This Row],[Gross Profit]]/Customer_Segment_Profitability[[#This Row],[H1 Net Revenue]]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F3B2F59-3963-4AED-8969-DBA2F19385C7}" name="Actual_vs_Budget" displayName="Actual_vs_Budget" ref="C6:G11" totalsRowShown="0" headerRowDxfId="6" dataDxfId="5">
  <autoFilter ref="C6:G11" xr:uid="{BF3B2F59-3963-4AED-8969-DBA2F19385C7}"/>
  <tableColumns count="5">
    <tableColumn id="1" xr3:uid="{546BE77A-44C2-416C-918B-E4C01D6CEFDD}" name="Metric" dataDxfId="4"/>
    <tableColumn id="2" xr3:uid="{C7CE0F5A-B1B4-456D-AEEA-E6EDA2535097}" name="H1 Actual" dataDxfId="3"/>
    <tableColumn id="3" xr3:uid="{764F27EF-7528-4D28-A532-E899DF4C9DBE}" name="H1 Budget" dataDxfId="2"/>
    <tableColumn id="4" xr3:uid="{79A29CF9-98C0-403D-BAD3-D8A900575515}" name="Variance ($)" dataDxfId="1">
      <calculatedColumnFormula>Actual_vs_Budget[[#This Row],[H1 Actual]]-Actual_vs_Budget[[#This Row],[H1 Budget]]</calculatedColumnFormula>
    </tableColumn>
    <tableColumn id="5" xr3:uid="{8AE61F0F-BEC2-42AC-800D-92ADC1ECC0F0}" name="Variance (%)" dataDxfId="0" dataCellStyle="Percent">
      <calculatedColumnFormula>Actual_vs_Budget[[#This Row],[Variance ($)]]/Actual_vs_Budget[[#This Row],[H1 Budget]]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612750E-D0DB-440F-BDB7-00A6A6DF69DB}" name="Table56" displayName="Table56" ref="B3:F6" totalsRowShown="0" headerRowDxfId="539" dataDxfId="538">
  <autoFilter ref="B3:F6" xr:uid="{9612750E-D0DB-440F-BDB7-00A6A6DF69DB}"/>
  <tableColumns count="5">
    <tableColumn id="1" xr3:uid="{FFE83BE4-2F76-408C-A8EE-997DCEDF259D}" name="Business Unit" dataDxfId="537"/>
    <tableColumn id="2" xr3:uid="{21710B89-5681-4432-89EB-E419195BEBC6}" name="Actual Operating Profit" dataDxfId="536"/>
    <tableColumn id="3" xr3:uid="{FA66337B-D086-4CB4-9FA7-104289A9804F}" name="Budget Operating Profit" dataDxfId="535"/>
    <tableColumn id="4" xr3:uid="{DAAF13F3-F967-4C4F-B9B4-05A7E26B3BD3}" name="Variance ($)" dataDxfId="534">
      <calculatedColumnFormula>Table56[[#This Row],[Actual Operating Profit]]-Table56[[#This Row],[Budget Operating Profit]]</calculatedColumnFormula>
    </tableColumn>
    <tableColumn id="5" xr3:uid="{A2AC28AF-D9CD-442F-AAD0-67931D0B65B8}" name="Variance (%)" dataDxfId="533">
      <calculatedColumnFormula>Table56[[#This Row],[Variance ($)]]/D4</calculatedColumnFormula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45C2911-E295-4B7A-AD5A-4E49D6AC8574}" name="Table560" displayName="Table560" ref="A12:K85" totalsRowCount="1">
  <autoFilter ref="A12:K84" xr:uid="{445C2911-E295-4B7A-AD5A-4E49D6AC8574}">
    <filterColumn colId="3">
      <filters>
        <filter val="Field Services"/>
      </filters>
    </filterColumn>
  </autoFilter>
  <tableColumns count="11">
    <tableColumn id="1" xr3:uid="{8BEC706C-0340-4BA7-BF3D-96E34D3AB7B0}" name="BudgetID" totalsRowLabel="Total"/>
    <tableColumn id="2" xr3:uid="{0071EBEB-3ACE-4EE3-8046-3FF4DD78F4AE}" name="Period"/>
    <tableColumn id="3" xr3:uid="{B5133923-4E2A-4C2C-B75E-CE35DC174150}" name="BusinessUnit"/>
    <tableColumn id="4" xr3:uid="{7EB17D46-4FEE-4952-8BBE-3E851608990B}" name="BusinessUnit_clean" dataDxfId="532">
      <calculatedColumnFormula>SUBSTITUTE(SUBSTITUTE(TRIM(Table560[[#This Row],[BusinessUnit]]),"Software and Analytics","Software &amp; Analytics"),"Sensors and Instruments","Sensors &amp; Instruments")</calculatedColumnFormula>
    </tableColumn>
    <tableColumn id="5" xr3:uid="{230AD3F6-C5C4-49AD-B2A5-2CB7C3AB687E}" name="Region_Clean"/>
    <tableColumn id="6" xr3:uid="{A0F70CC3-991F-4ECA-8ADF-7DB96C7691F2}" name="RevenueBudget" totalsRowFunction="sum"/>
    <tableColumn id="7" xr3:uid="{EF7CDC8F-3F5E-4070-B66D-BE3CDE63C442}" name="VariableCostBudget" totalsRowFunction="sum"/>
    <tableColumn id="8" xr3:uid="{E048A953-FD18-4A90-B3E8-8A24FB5D0CF9}" name="FixedCostBudget" totalsRowFunction="sum"/>
    <tableColumn id="9" xr3:uid="{79FA596A-318E-4E88-86CE-D61666D431E9}" name="ContributionProfitTarget" totalsRowFunction="sum"/>
    <tableColumn id="10" xr3:uid="{C3EBE9C6-653B-4CF9-BC2B-FC2DCB0887A3}" name="OperatingProfitTarget" totalsRowFunction="sum"/>
    <tableColumn id="11" xr3:uid="{61773885-79E1-42A6-943D-B25FD9AB9317}" name="Version" totalsRowFunction="count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3CE397-7894-484B-BF23-4105A4210F9C}" name="Table3061" displayName="Table3061" ref="I3:M7" totalsRowCount="1" headerRowDxfId="531" dataDxfId="530">
  <autoFilter ref="I3:M6" xr:uid="{003CE397-7894-484B-BF23-4105A4210F9C}"/>
  <tableColumns count="5">
    <tableColumn id="1" xr3:uid="{E74EF267-DEC5-4D33-AC54-554A6A544830}" name="Business Unit" totalsRowLabel="Total" dataDxfId="529" totalsRowDxfId="528"/>
    <tableColumn id="2" xr3:uid="{DEFB86BC-6602-40C6-9B90-6321C40B8D9E}" name="H1 Net Revenue" totalsRowFunction="sum" dataDxfId="527" totalsRowDxfId="526">
      <calculatedColumnFormula>Business_Profitability!#REF!</calculatedColumnFormula>
    </tableColumn>
    <tableColumn id="3" xr3:uid="{8DE9857F-8259-4F89-B1C1-615C847AEF23}" name="H1 COGS" totalsRowFunction="sum" dataDxfId="525" totalsRowDxfId="524">
      <calculatedColumnFormula>SUMIF(Product_Monthly_COGS[BU],Table3061[[#This Row],[Business Unit]],Product_Monthly_COGS[H1 COGS])</calculatedColumnFormula>
    </tableColumn>
    <tableColumn id="4" xr3:uid="{7C62D245-FAE1-4E69-97F2-DC5A2E6FFB95}" name="Gross Profit" totalsRowFunction="sum" dataDxfId="523" totalsRowDxfId="522">
      <calculatedColumnFormula>Table3061[[#This Row],[H1 Net Revenue]]-Table3061[[#This Row],[H1 COGS]]</calculatedColumnFormula>
    </tableColumn>
    <tableColumn id="5" xr3:uid="{68D0B29F-FDA2-4F40-A83A-9D6211450CA6}" name="Gross Margin %" dataDxfId="521" totalsRowDxfId="520">
      <calculatedColumnFormula>Table3061[[#This Row],[Gross Profit]]/Table3061[[#This Row],[H1 Net Revenue]]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8.xml"/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11" Type="http://schemas.openxmlformats.org/officeDocument/2006/relationships/table" Target="../tables/table41.xml"/><Relationship Id="rId5" Type="http://schemas.openxmlformats.org/officeDocument/2006/relationships/table" Target="../tables/table35.xml"/><Relationship Id="rId10" Type="http://schemas.openxmlformats.org/officeDocument/2006/relationships/table" Target="../tables/table40.xml"/><Relationship Id="rId4" Type="http://schemas.openxmlformats.org/officeDocument/2006/relationships/table" Target="../tables/table34.xml"/><Relationship Id="rId9" Type="http://schemas.openxmlformats.org/officeDocument/2006/relationships/table" Target="../tables/table3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0.xml"/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hyperlink" Target="\" TargetMode="External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2B44-AF6E-4AA8-9CD0-3F453C1E23A5}">
  <dimension ref="A1:W1297"/>
  <sheetViews>
    <sheetView topLeftCell="B1267" zoomScale="85" zoomScaleNormal="85" workbookViewId="0">
      <selection activeCell="G1297" sqref="G1297"/>
    </sheetView>
  </sheetViews>
  <sheetFormatPr defaultColWidth="9.140625" defaultRowHeight="15"/>
  <cols>
    <col min="1" max="1" width="15.5703125" customWidth="1"/>
    <col min="2" max="2" width="24" customWidth="1"/>
    <col min="3" max="4" width="20.7109375" customWidth="1"/>
    <col min="5" max="5" width="24.85546875" customWidth="1"/>
    <col min="6" max="6" width="20.5703125" customWidth="1"/>
    <col min="7" max="7" width="16.85546875" customWidth="1"/>
    <col min="8" max="8" width="21.140625" customWidth="1"/>
    <col min="9" max="9" width="21.28515625" customWidth="1"/>
    <col min="10" max="10" width="14.85546875" customWidth="1"/>
    <col min="11" max="11" width="24.85546875" bestFit="1" customWidth="1"/>
    <col min="12" max="12" width="19.7109375" bestFit="1" customWidth="1"/>
    <col min="13" max="13" width="26" customWidth="1"/>
    <col min="14" max="14" width="27.85546875" customWidth="1"/>
    <col min="15" max="15" width="24" customWidth="1"/>
    <col min="16" max="16" width="23.42578125" customWidth="1"/>
    <col min="17" max="17" width="24" customWidth="1"/>
    <col min="18" max="18" width="20.5703125" bestFit="1" customWidth="1"/>
    <col min="19" max="20" width="28.85546875" customWidth="1"/>
    <col min="21" max="21" width="24" customWidth="1"/>
    <col min="22" max="22" width="25.5703125" customWidth="1"/>
    <col min="23" max="23" width="9.42578125" customWidth="1"/>
  </cols>
  <sheetData>
    <row r="1" spans="1:21">
      <c r="A1" t="s">
        <v>0</v>
      </c>
      <c r="B1" s="1" t="s">
        <v>1</v>
      </c>
      <c r="C1" t="s">
        <v>3</v>
      </c>
      <c r="D1" t="s">
        <v>4</v>
      </c>
      <c r="E1" t="s">
        <v>5</v>
      </c>
      <c r="F1" t="s">
        <v>6</v>
      </c>
      <c r="G1" t="s">
        <v>2656</v>
      </c>
      <c r="H1" t="s">
        <v>9</v>
      </c>
      <c r="I1" t="s">
        <v>10</v>
      </c>
      <c r="J1" t="s">
        <v>11</v>
      </c>
      <c r="K1" s="2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2614</v>
      </c>
      <c r="T1" t="s">
        <v>2612</v>
      </c>
      <c r="U1" t="s">
        <v>2589</v>
      </c>
    </row>
    <row r="2" spans="1:21">
      <c r="A2" t="s">
        <v>20</v>
      </c>
      <c r="B2" s="1">
        <v>45674</v>
      </c>
      <c r="C2" t="s">
        <v>21</v>
      </c>
      <c r="D2" t="str">
        <f>UPPER(Table1[[#This Row],[ProductID_Clean]])</f>
        <v>P-SI-004</v>
      </c>
      <c r="E2" t="s">
        <v>22</v>
      </c>
      <c r="F2" t="s">
        <v>23</v>
      </c>
      <c r="G2" t="str">
        <f>TRIM(Table1[[#This Row],[Region_Clean]])</f>
        <v>N. AMERICA</v>
      </c>
      <c r="H2" t="s">
        <v>24</v>
      </c>
      <c r="I2" t="s">
        <v>25</v>
      </c>
      <c r="J2" s="3">
        <v>3</v>
      </c>
      <c r="K2" s="3">
        <v>2165.11</v>
      </c>
      <c r="L2">
        <v>2450</v>
      </c>
      <c r="M2">
        <v>7350</v>
      </c>
      <c r="N2">
        <v>854.67</v>
      </c>
      <c r="O2">
        <v>6495.33</v>
      </c>
      <c r="P2" t="s">
        <v>26</v>
      </c>
      <c r="Q2" t="s">
        <v>27</v>
      </c>
      <c r="R2" t="s">
        <v>28</v>
      </c>
      <c r="S2" t="str">
        <f>TRIM(PROPER(_xlfn.XLOOKUP(Table1[[#This Row],[ProductID_Clean]],Table3[ProductID],Table3[Category],"Missing Value",0)))</f>
        <v>Instruments</v>
      </c>
      <c r="T2" t="str">
        <f>_xlfn.XLOOKUP(Table1[[#This Row],[CustomerID_Check]],Table2[CustomerID],Table2[CustomerType],"Missing Value",0)</f>
        <v>Standard</v>
      </c>
    </row>
    <row r="3" spans="1:21">
      <c r="A3" t="s">
        <v>29</v>
      </c>
      <c r="B3" s="1">
        <v>45762</v>
      </c>
      <c r="C3" t="s">
        <v>30</v>
      </c>
      <c r="D3" t="str">
        <f>UPPER(Table1[[#This Row],[ProductID_Clean]])</f>
        <v>P-SI-002</v>
      </c>
      <c r="E3" t="s">
        <v>31</v>
      </c>
      <c r="F3" t="s">
        <v>32</v>
      </c>
      <c r="G3" t="str">
        <f>TRIM(Table1[[#This Row],[Region_Clean]])</f>
        <v>LATIN AMERICA</v>
      </c>
      <c r="H3" t="s">
        <v>24</v>
      </c>
      <c r="I3" t="s">
        <v>34</v>
      </c>
      <c r="J3" s="3">
        <v>2</v>
      </c>
      <c r="K3" s="3">
        <v>601.29999999999995</v>
      </c>
      <c r="L3">
        <v>725</v>
      </c>
      <c r="M3">
        <v>1450</v>
      </c>
      <c r="N3">
        <v>247.4</v>
      </c>
      <c r="O3">
        <v>1202.5999999999999</v>
      </c>
      <c r="P3" t="s">
        <v>26</v>
      </c>
      <c r="Q3" t="s">
        <v>35</v>
      </c>
      <c r="R3" t="s">
        <v>36</v>
      </c>
      <c r="S3" t="str">
        <f>TRIM(PROPER(_xlfn.XLOOKUP(Table1[[#This Row],[ProductID_Clean]],Table3[ProductID],Table3[Category],"Missing Value",0)))</f>
        <v>Sensors</v>
      </c>
      <c r="T3" t="str">
        <f>_xlfn.XLOOKUP(Table1[[#This Row],[CustomerID_Check]],Table2[CustomerID],Table2[CustomerType],"Missing Value",0)</f>
        <v>Strategic</v>
      </c>
    </row>
    <row r="4" spans="1:21">
      <c r="A4" t="s">
        <v>37</v>
      </c>
      <c r="B4" s="1">
        <v>45796</v>
      </c>
      <c r="C4" t="s">
        <v>38</v>
      </c>
      <c r="D4" t="str">
        <f>UPPER(Table1[[#This Row],[ProductID_Clean]])</f>
        <v>P-SI-003</v>
      </c>
      <c r="E4" t="s">
        <v>39</v>
      </c>
      <c r="F4" t="s">
        <v>32</v>
      </c>
      <c r="G4" t="str">
        <f>TRIM(Table1[[#This Row],[Region_Clean]])</f>
        <v>LATIN AMERICA</v>
      </c>
      <c r="H4" t="s">
        <v>24</v>
      </c>
      <c r="I4" t="s">
        <v>40</v>
      </c>
      <c r="J4" s="3">
        <v>1</v>
      </c>
      <c r="K4" s="3">
        <v>1649.98</v>
      </c>
      <c r="L4">
        <v>1890</v>
      </c>
      <c r="M4">
        <v>1890</v>
      </c>
      <c r="N4">
        <v>240.02</v>
      </c>
      <c r="O4">
        <v>1649.98</v>
      </c>
      <c r="P4" t="s">
        <v>26</v>
      </c>
      <c r="Q4" t="s">
        <v>27</v>
      </c>
      <c r="R4" t="s">
        <v>36</v>
      </c>
      <c r="S4" t="str">
        <f>TRIM(PROPER(_xlfn.XLOOKUP(Table1[[#This Row],[ProductID_Clean]],Table3[ProductID],Table3[Category],"Missing Value",0)))</f>
        <v>Instruments</v>
      </c>
      <c r="T4" t="str">
        <f>_xlfn.XLOOKUP(Table1[[#This Row],[CustomerID_Check]],Table2[CustomerID],Table2[CustomerType],"Missing Value",0)</f>
        <v>Standard</v>
      </c>
    </row>
    <row r="5" spans="1:21">
      <c r="A5" t="s">
        <v>41</v>
      </c>
      <c r="B5" s="1">
        <v>45764</v>
      </c>
      <c r="C5" t="s">
        <v>42</v>
      </c>
      <c r="D5" t="str">
        <f>UPPER(Table1[[#This Row],[ProductID_Clean]])</f>
        <v>P-SI-006</v>
      </c>
      <c r="E5" t="s">
        <v>43</v>
      </c>
      <c r="F5" t="s">
        <v>32</v>
      </c>
      <c r="G5" t="str">
        <f>TRIM(Table1[[#This Row],[Region_Clean]])</f>
        <v>LATIN AMERICA</v>
      </c>
      <c r="H5" t="s">
        <v>24</v>
      </c>
      <c r="I5" t="s">
        <v>25</v>
      </c>
      <c r="J5" s="3">
        <v>2</v>
      </c>
      <c r="K5" s="3">
        <v>168.38</v>
      </c>
      <c r="L5">
        <v>215</v>
      </c>
      <c r="M5">
        <v>430</v>
      </c>
      <c r="N5">
        <v>93.24</v>
      </c>
      <c r="O5">
        <v>336.76</v>
      </c>
      <c r="P5" t="s">
        <v>26</v>
      </c>
      <c r="Q5" t="s">
        <v>27</v>
      </c>
      <c r="R5" t="s">
        <v>44</v>
      </c>
      <c r="S5" t="str">
        <f>TRIM(PROPER(_xlfn.XLOOKUP(Table1[[#This Row],[ProductID_Clean]],Table3[ProductID],Table3[Category],"Missing Value",0)))</f>
        <v>Sensors</v>
      </c>
      <c r="T5" t="str">
        <f>_xlfn.XLOOKUP(Table1[[#This Row],[CustomerID_Check]],Table2[CustomerID],Table2[CustomerType],"Missing Value",0)</f>
        <v>Standard</v>
      </c>
    </row>
    <row r="6" spans="1:21">
      <c r="A6" t="s">
        <v>45</v>
      </c>
      <c r="B6" s="1">
        <v>45710</v>
      </c>
      <c r="C6" t="s">
        <v>46</v>
      </c>
      <c r="D6" t="str">
        <f>UPPER(Table1[[#This Row],[ProductID_Clean]])</f>
        <v>P-SI-004</v>
      </c>
      <c r="E6" t="s">
        <v>22</v>
      </c>
      <c r="F6" t="s">
        <v>47</v>
      </c>
      <c r="G6" t="str">
        <f>TRIM(Table1[[#This Row],[Region_Clean]])</f>
        <v>EMEA</v>
      </c>
      <c r="H6" t="s">
        <v>24</v>
      </c>
      <c r="I6" t="s">
        <v>25</v>
      </c>
      <c r="J6" s="3">
        <v>2</v>
      </c>
      <c r="K6" s="3">
        <v>2012.7</v>
      </c>
      <c r="L6">
        <v>2450</v>
      </c>
      <c r="M6">
        <v>4900</v>
      </c>
      <c r="N6">
        <v>874.6</v>
      </c>
      <c r="O6">
        <v>4025.4</v>
      </c>
      <c r="P6" t="s">
        <v>26</v>
      </c>
      <c r="Q6" t="s">
        <v>35</v>
      </c>
      <c r="R6" t="s">
        <v>48</v>
      </c>
      <c r="S6" t="str">
        <f>TRIM(PROPER(_xlfn.XLOOKUP(Table1[[#This Row],[ProductID_Clean]],Table3[ProductID],Table3[Category],"Missing Value",0)))</f>
        <v>Instruments</v>
      </c>
      <c r="T6" t="str">
        <f>_xlfn.XLOOKUP(Table1[[#This Row],[CustomerID_Check]],Table2[CustomerID],Table2[CustomerType],"Missing Value",0)</f>
        <v>Strategic</v>
      </c>
    </row>
    <row r="7" spans="1:21">
      <c r="A7" t="s">
        <v>49</v>
      </c>
      <c r="B7" s="1">
        <v>45757</v>
      </c>
      <c r="C7" t="s">
        <v>50</v>
      </c>
      <c r="D7" t="str">
        <f>UPPER(Table1[[#This Row],[ProductID_Clean]])</f>
        <v>P-SA-003</v>
      </c>
      <c r="E7" t="s">
        <v>51</v>
      </c>
      <c r="F7" t="s">
        <v>52</v>
      </c>
      <c r="G7" t="str">
        <f>TRIM(Table1[[#This Row],[Region_Clean]])</f>
        <v>N. AMERICA</v>
      </c>
      <c r="H7" t="s">
        <v>53</v>
      </c>
      <c r="I7" t="s">
        <v>25</v>
      </c>
      <c r="J7" s="3">
        <v>1</v>
      </c>
      <c r="K7" s="3">
        <v>2753.57</v>
      </c>
      <c r="L7">
        <v>2750</v>
      </c>
      <c r="M7">
        <v>2750</v>
      </c>
      <c r="N7">
        <v>-3.57</v>
      </c>
      <c r="O7">
        <v>2753.57</v>
      </c>
      <c r="P7" t="s">
        <v>26</v>
      </c>
      <c r="Q7" t="s">
        <v>54</v>
      </c>
      <c r="R7" t="s">
        <v>36</v>
      </c>
      <c r="S7" t="str">
        <f>TRIM(PROPER(_xlfn.XLOOKUP(Table1[[#This Row],[ProductID_Clean]],Table3[ProductID],Table3[Category],"Missing Value",0)))</f>
        <v>Software</v>
      </c>
      <c r="T7" t="str">
        <f>_xlfn.XLOOKUP(Table1[[#This Row],[CustomerID_Check]],Table2[CustomerID],Table2[CustomerType],"Missing Value",0)</f>
        <v>Standard</v>
      </c>
    </row>
    <row r="8" spans="1:21">
      <c r="A8" t="s">
        <v>55</v>
      </c>
      <c r="B8" s="1">
        <v>45836</v>
      </c>
      <c r="C8" t="s">
        <v>56</v>
      </c>
      <c r="D8" t="str">
        <f>UPPER(Table1[[#This Row],[ProductID_Clean]])</f>
        <v>P-SI-005</v>
      </c>
      <c r="E8" t="s">
        <v>57</v>
      </c>
      <c r="F8" t="s">
        <v>58</v>
      </c>
      <c r="G8" t="str">
        <f>TRIM(Table1[[#This Row],[Region_Clean]])</f>
        <v>APAC</v>
      </c>
      <c r="H8" t="s">
        <v>24</v>
      </c>
      <c r="I8" t="s">
        <v>25</v>
      </c>
      <c r="J8" s="3">
        <v>5</v>
      </c>
      <c r="K8" s="3">
        <v>980.55</v>
      </c>
      <c r="L8">
        <v>1120</v>
      </c>
      <c r="M8">
        <v>5600</v>
      </c>
      <c r="N8">
        <v>697.25</v>
      </c>
      <c r="O8">
        <v>4902.75</v>
      </c>
      <c r="P8" t="s">
        <v>26</v>
      </c>
      <c r="Q8" t="s">
        <v>27</v>
      </c>
      <c r="R8" t="s">
        <v>59</v>
      </c>
      <c r="S8" t="str">
        <f>TRIM(PROPER(_xlfn.XLOOKUP(Table1[[#This Row],[ProductID_Clean]],Table3[ProductID],Table3[Category],"Missing Value",0)))</f>
        <v>Sensors</v>
      </c>
      <c r="T8" t="str">
        <f>_xlfn.XLOOKUP(Table1[[#This Row],[CustomerID_Check]],Table2[CustomerID],Table2[CustomerType],"Missing Value",0)</f>
        <v>Key Account</v>
      </c>
    </row>
    <row r="9" spans="1:21">
      <c r="A9" t="s">
        <v>60</v>
      </c>
      <c r="B9" s="1">
        <v>45755</v>
      </c>
      <c r="C9" t="s">
        <v>61</v>
      </c>
      <c r="D9" t="str">
        <f>UPPER(Table1[[#This Row],[ProductID_Clean]])</f>
        <v>P-SA-005</v>
      </c>
      <c r="E9" t="s">
        <v>62</v>
      </c>
      <c r="F9" t="s">
        <v>47</v>
      </c>
      <c r="G9" t="str">
        <f>TRIM(Table1[[#This Row],[Region_Clean]])</f>
        <v>EMEA</v>
      </c>
      <c r="H9" t="s">
        <v>53</v>
      </c>
      <c r="I9" t="s">
        <v>25</v>
      </c>
      <c r="J9" s="3">
        <v>1</v>
      </c>
      <c r="K9" s="3">
        <v>2642.28</v>
      </c>
      <c r="L9">
        <v>3200</v>
      </c>
      <c r="M9">
        <v>3200</v>
      </c>
      <c r="N9">
        <v>557.72</v>
      </c>
      <c r="O9">
        <v>2642.28</v>
      </c>
      <c r="P9" t="s">
        <v>26</v>
      </c>
      <c r="Q9" t="s">
        <v>54</v>
      </c>
      <c r="R9" t="s">
        <v>48</v>
      </c>
      <c r="S9" t="str">
        <f>TRIM(PROPER(_xlfn.XLOOKUP(Table1[[#This Row],[ProductID_Clean]],Table3[ProductID],Table3[Category],"Missing Value",0)))</f>
        <v>Software / Integration</v>
      </c>
      <c r="T9" t="str">
        <f>_xlfn.XLOOKUP(Table1[[#This Row],[CustomerID_Check]],Table2[CustomerID],Table2[CustomerType],"Missing Value",0)</f>
        <v>Strategic</v>
      </c>
    </row>
    <row r="10" spans="1:21">
      <c r="A10" t="s">
        <v>63</v>
      </c>
      <c r="B10" s="1">
        <v>45659</v>
      </c>
      <c r="C10" t="s">
        <v>64</v>
      </c>
      <c r="D10" t="str">
        <f>UPPER(Table1[[#This Row],[ProductID_Clean]])</f>
        <v>P-SI-002</v>
      </c>
      <c r="E10" t="s">
        <v>31</v>
      </c>
      <c r="F10" t="s">
        <v>47</v>
      </c>
      <c r="G10" t="str">
        <f>TRIM(Table1[[#This Row],[Region_Clean]])</f>
        <v>EMEA</v>
      </c>
      <c r="H10" t="s">
        <v>24</v>
      </c>
      <c r="I10" t="s">
        <v>25</v>
      </c>
      <c r="J10" s="3">
        <v>12</v>
      </c>
      <c r="K10" s="3">
        <v>657.51</v>
      </c>
      <c r="L10">
        <v>725</v>
      </c>
      <c r="M10">
        <v>8700</v>
      </c>
      <c r="N10">
        <v>809.88</v>
      </c>
      <c r="O10">
        <v>7890.12</v>
      </c>
      <c r="P10" t="s">
        <v>26</v>
      </c>
      <c r="Q10" t="s">
        <v>65</v>
      </c>
      <c r="R10" t="s">
        <v>36</v>
      </c>
      <c r="S10" t="str">
        <f>TRIM(PROPER(_xlfn.XLOOKUP(Table1[[#This Row],[ProductID_Clean]],Table3[ProductID],Table3[Category],"Missing Value",0)))</f>
        <v>Sensors</v>
      </c>
      <c r="T10" t="str">
        <f>_xlfn.XLOOKUP(Table1[[#This Row],[CustomerID_Check]],Table2[CustomerID],Table2[CustomerType],"Missing Value",0)</f>
        <v>Key Account</v>
      </c>
    </row>
    <row r="11" spans="1:21">
      <c r="A11" t="s">
        <v>66</v>
      </c>
      <c r="B11" s="1">
        <v>45734</v>
      </c>
      <c r="C11" t="s">
        <v>67</v>
      </c>
      <c r="D11" t="str">
        <f>UPPER(Table1[[#This Row],[ProductID_Clean]])</f>
        <v>P-SA-001</v>
      </c>
      <c r="E11" t="s">
        <v>68</v>
      </c>
      <c r="F11" t="s">
        <v>23</v>
      </c>
      <c r="G11" t="str">
        <f>TRIM(Table1[[#This Row],[Region_Clean]])</f>
        <v>N. AMERICA</v>
      </c>
      <c r="H11" t="s">
        <v>53</v>
      </c>
      <c r="I11" t="s">
        <v>25</v>
      </c>
      <c r="J11" s="3">
        <v>1</v>
      </c>
      <c r="K11" s="3">
        <v>3363.25</v>
      </c>
      <c r="L11">
        <v>4200</v>
      </c>
      <c r="M11">
        <v>4200</v>
      </c>
      <c r="N11">
        <v>836.75</v>
      </c>
      <c r="O11">
        <v>3363.25</v>
      </c>
      <c r="P11" t="s">
        <v>26</v>
      </c>
      <c r="Q11" t="s">
        <v>54</v>
      </c>
      <c r="R11" t="s">
        <v>59</v>
      </c>
      <c r="S11" t="str">
        <f>TRIM(PROPER(_xlfn.XLOOKUP(Table1[[#This Row],[ProductID_Clean]],Table3[ProductID],Table3[Category],"Missing Value",0)))</f>
        <v>Software</v>
      </c>
      <c r="T11" t="str">
        <f>_xlfn.XLOOKUP(Table1[[#This Row],[CustomerID_Check]],Table2[CustomerID],Table2[CustomerType],"Missing Value",0)</f>
        <v>Strategic</v>
      </c>
    </row>
    <row r="12" spans="1:21">
      <c r="A12" t="s">
        <v>70</v>
      </c>
      <c r="B12" s="1">
        <v>45765</v>
      </c>
      <c r="C12" t="s">
        <v>71</v>
      </c>
      <c r="D12" t="str">
        <f>UPPER(Table1[[#This Row],[ProductID_Clean]])</f>
        <v>P-SI-001</v>
      </c>
      <c r="E12" t="s">
        <v>72</v>
      </c>
      <c r="F12" t="s">
        <v>23</v>
      </c>
      <c r="G12" t="str">
        <f>TRIM(Table1[[#This Row],[Region_Clean]])</f>
        <v>N. AMERICA</v>
      </c>
      <c r="H12" t="s">
        <v>24</v>
      </c>
      <c r="I12" t="s">
        <v>25</v>
      </c>
      <c r="J12" s="3">
        <v>4</v>
      </c>
      <c r="K12" s="3">
        <v>417.01</v>
      </c>
      <c r="L12">
        <v>485</v>
      </c>
      <c r="M12">
        <v>1940</v>
      </c>
      <c r="N12">
        <v>271.95999999999998</v>
      </c>
      <c r="O12">
        <v>1668.04</v>
      </c>
      <c r="P12" t="s">
        <v>26</v>
      </c>
      <c r="Q12" t="s">
        <v>65</v>
      </c>
      <c r="R12" t="s">
        <v>48</v>
      </c>
      <c r="S12" t="str">
        <f>TRIM(PROPER(_xlfn.XLOOKUP(Table1[[#This Row],[ProductID_Clean]],Table3[ProductID],Table3[Category],"Missing Value",0)))</f>
        <v>Sensors</v>
      </c>
      <c r="T12" t="str">
        <f>_xlfn.XLOOKUP(Table1[[#This Row],[CustomerID_Check]],Table2[CustomerID],Table2[CustomerType],"Missing Value",0)</f>
        <v>Key Account</v>
      </c>
    </row>
    <row r="13" spans="1:21">
      <c r="A13" t="s">
        <v>73</v>
      </c>
      <c r="B13" s="1">
        <v>45797</v>
      </c>
      <c r="C13" t="s">
        <v>74</v>
      </c>
      <c r="D13" t="str">
        <f>UPPER(Table1[[#This Row],[ProductID_Clean]])</f>
        <v>P-SI-004</v>
      </c>
      <c r="E13" t="s">
        <v>22</v>
      </c>
      <c r="F13" t="s">
        <v>47</v>
      </c>
      <c r="G13" t="str">
        <f>TRIM(Table1[[#This Row],[Region_Clean]])</f>
        <v>EMEA</v>
      </c>
      <c r="H13" t="s">
        <v>24</v>
      </c>
      <c r="I13" t="s">
        <v>34</v>
      </c>
      <c r="J13" s="3">
        <v>10</v>
      </c>
      <c r="K13" s="3">
        <v>2036.06</v>
      </c>
      <c r="L13">
        <v>2450</v>
      </c>
      <c r="M13">
        <v>24500</v>
      </c>
      <c r="N13">
        <v>4139.3999999999996</v>
      </c>
      <c r="O13">
        <v>20360.599999999999</v>
      </c>
      <c r="P13" t="s">
        <v>26</v>
      </c>
      <c r="Q13" t="s">
        <v>27</v>
      </c>
      <c r="R13" t="s">
        <v>44</v>
      </c>
      <c r="S13" t="str">
        <f>TRIM(PROPER(_xlfn.XLOOKUP(Table1[[#This Row],[ProductID_Clean]],Table3[ProductID],Table3[Category],"Missing Value",0)))</f>
        <v>Instruments</v>
      </c>
      <c r="T13" t="str">
        <f>_xlfn.XLOOKUP(Table1[[#This Row],[CustomerID_Check]],Table2[CustomerID],Table2[CustomerType],"Missing Value",0)</f>
        <v>Standard</v>
      </c>
    </row>
    <row r="14" spans="1:21">
      <c r="A14" t="s">
        <v>75</v>
      </c>
      <c r="B14" s="1">
        <v>45714</v>
      </c>
      <c r="C14" t="s">
        <v>76</v>
      </c>
      <c r="D14" t="str">
        <f>UPPER(Table1[[#This Row],[ProductID_Clean]])</f>
        <v>P-SI-001</v>
      </c>
      <c r="E14" t="s">
        <v>72</v>
      </c>
      <c r="F14" t="s">
        <v>32</v>
      </c>
      <c r="G14" t="str">
        <f>TRIM(Table1[[#This Row],[Region_Clean]])</f>
        <v>LATIN AMERICA</v>
      </c>
      <c r="H14" t="s">
        <v>24</v>
      </c>
      <c r="I14" t="s">
        <v>25</v>
      </c>
      <c r="J14" s="3">
        <v>3</v>
      </c>
      <c r="K14" s="3">
        <v>467.78</v>
      </c>
      <c r="L14">
        <v>485</v>
      </c>
      <c r="M14">
        <v>1455</v>
      </c>
      <c r="N14">
        <v>51.66</v>
      </c>
      <c r="O14">
        <v>1403.34</v>
      </c>
      <c r="P14" t="s">
        <v>26</v>
      </c>
      <c r="Q14" t="s">
        <v>35</v>
      </c>
      <c r="R14" t="s">
        <v>36</v>
      </c>
      <c r="S14" t="str">
        <f>TRIM(PROPER(_xlfn.XLOOKUP(Table1[[#This Row],[ProductID_Clean]],Table3[ProductID],Table3[Category],"Missing Value",0)))</f>
        <v>Sensors</v>
      </c>
      <c r="T14" t="str">
        <f>_xlfn.XLOOKUP(Table1[[#This Row],[CustomerID_Check]],Table2[CustomerID],Table2[CustomerType],"Missing Value",0)</f>
        <v>Missing Value</v>
      </c>
    </row>
    <row r="15" spans="1:21">
      <c r="A15" t="s">
        <v>77</v>
      </c>
      <c r="B15" s="1">
        <v>45769</v>
      </c>
      <c r="C15" t="s">
        <v>78</v>
      </c>
      <c r="D15" t="str">
        <f>UPPER(Table1[[#This Row],[ProductID_Clean]])</f>
        <v>P-SI-005</v>
      </c>
      <c r="E15" t="s">
        <v>57</v>
      </c>
      <c r="F15" t="s">
        <v>58</v>
      </c>
      <c r="G15" t="str">
        <f>TRIM(Table1[[#This Row],[Region_Clean]])</f>
        <v>APAC</v>
      </c>
      <c r="H15" t="s">
        <v>24</v>
      </c>
      <c r="I15" t="s">
        <v>25</v>
      </c>
      <c r="J15" s="3">
        <v>3</v>
      </c>
      <c r="K15" s="3">
        <v>999.89</v>
      </c>
      <c r="L15">
        <v>1120</v>
      </c>
      <c r="M15">
        <v>3360</v>
      </c>
      <c r="N15">
        <v>360.33</v>
      </c>
      <c r="O15">
        <v>2999.67</v>
      </c>
      <c r="P15" t="s">
        <v>26</v>
      </c>
      <c r="Q15" t="s">
        <v>27</v>
      </c>
      <c r="R15" t="s">
        <v>59</v>
      </c>
      <c r="S15" t="str">
        <f>TRIM(PROPER(_xlfn.XLOOKUP(Table1[[#This Row],[ProductID_Clean]],Table3[ProductID],Table3[Category],"Missing Value",0)))</f>
        <v>Sensors</v>
      </c>
      <c r="T15" t="str">
        <f>_xlfn.XLOOKUP(Table1[[#This Row],[CustomerID_Check]],Table2[CustomerID],Table2[CustomerType],"Missing Value",0)</f>
        <v>Emerging</v>
      </c>
    </row>
    <row r="16" spans="1:21">
      <c r="A16" t="s">
        <v>79</v>
      </c>
      <c r="B16" s="1">
        <v>45665</v>
      </c>
      <c r="C16" t="s">
        <v>80</v>
      </c>
      <c r="D16" t="str">
        <f>UPPER(Table1[[#This Row],[ProductID_Clean]])</f>
        <v>P-FS-002</v>
      </c>
      <c r="E16" t="s">
        <v>81</v>
      </c>
      <c r="F16" t="s">
        <v>23</v>
      </c>
      <c r="G16" t="str">
        <f>TRIM(Table1[[#This Row],[Region_Clean]])</f>
        <v>N. AMERICA</v>
      </c>
      <c r="H16" t="s">
        <v>82</v>
      </c>
      <c r="I16" t="s">
        <v>25</v>
      </c>
      <c r="J16" s="3">
        <v>1</v>
      </c>
      <c r="K16" s="3">
        <v>1947.72</v>
      </c>
      <c r="L16">
        <v>2400</v>
      </c>
      <c r="M16">
        <v>2400</v>
      </c>
      <c r="N16">
        <v>452.28</v>
      </c>
      <c r="O16">
        <v>1947.72</v>
      </c>
      <c r="P16" t="s">
        <v>26</v>
      </c>
      <c r="Q16" t="s">
        <v>83</v>
      </c>
      <c r="R16" t="s">
        <v>48</v>
      </c>
      <c r="S16" t="str">
        <f>TRIM(PROPER(_xlfn.XLOOKUP(Table1[[#This Row],[ProductID_Clean]],Table3[ProductID],Table3[Category],"Missing Value",0)))</f>
        <v>Services</v>
      </c>
      <c r="T16" t="str">
        <f>_xlfn.XLOOKUP(Table1[[#This Row],[CustomerID_Check]],Table2[CustomerID],Table2[CustomerType],"Missing Value",0)</f>
        <v>Strategic</v>
      </c>
    </row>
    <row r="17" spans="1:20">
      <c r="A17" t="s">
        <v>84</v>
      </c>
      <c r="B17" s="1">
        <v>45744</v>
      </c>
      <c r="C17" t="s">
        <v>85</v>
      </c>
      <c r="D17" t="str">
        <f>UPPER(Table1[[#This Row],[ProductID_Clean]])</f>
        <v>P-SA-004</v>
      </c>
      <c r="E17" t="s">
        <v>86</v>
      </c>
      <c r="F17" t="s">
        <v>47</v>
      </c>
      <c r="G17" t="str">
        <f>TRIM(Table1[[#This Row],[Region_Clean]])</f>
        <v>EMEA</v>
      </c>
      <c r="H17" t="s">
        <v>53</v>
      </c>
      <c r="I17" t="s">
        <v>87</v>
      </c>
      <c r="J17" s="3">
        <v>1</v>
      </c>
      <c r="K17" s="3">
        <v>1347</v>
      </c>
      <c r="L17">
        <v>1650</v>
      </c>
      <c r="M17">
        <v>1650</v>
      </c>
      <c r="N17">
        <v>303</v>
      </c>
      <c r="O17">
        <v>1347</v>
      </c>
      <c r="P17" t="s">
        <v>26</v>
      </c>
      <c r="Q17" t="s">
        <v>88</v>
      </c>
      <c r="R17" t="s">
        <v>28</v>
      </c>
      <c r="S17" t="str">
        <f>TRIM(PROPER(_xlfn.XLOOKUP(Table1[[#This Row],[ProductID_Clean]],Table3[ProductID],Table3[Category],"Missing Value",0)))</f>
        <v>Software</v>
      </c>
      <c r="T17" t="str">
        <f>_xlfn.XLOOKUP(Table1[[#This Row],[CustomerID_Check]],Table2[CustomerID],Table2[CustomerType],"Missing Value",0)</f>
        <v>Standard</v>
      </c>
    </row>
    <row r="18" spans="1:20">
      <c r="A18" t="s">
        <v>90</v>
      </c>
      <c r="B18" s="1">
        <v>45690</v>
      </c>
      <c r="C18" t="s">
        <v>91</v>
      </c>
      <c r="D18" t="str">
        <f>UPPER(Table1[[#This Row],[ProductID_Clean]])</f>
        <v>P-FS-006</v>
      </c>
      <c r="E18" t="s">
        <v>92</v>
      </c>
      <c r="F18" t="s">
        <v>23</v>
      </c>
      <c r="G18" t="str">
        <f>TRIM(Table1[[#This Row],[Region_Clean]])</f>
        <v>N. AMERICA</v>
      </c>
      <c r="H18" t="s">
        <v>82</v>
      </c>
      <c r="I18" t="s">
        <v>87</v>
      </c>
      <c r="J18" s="3">
        <v>1</v>
      </c>
      <c r="K18" s="3">
        <v>1249.21</v>
      </c>
      <c r="L18">
        <v>1450</v>
      </c>
      <c r="M18">
        <v>1450</v>
      </c>
      <c r="N18">
        <v>200.79</v>
      </c>
      <c r="O18">
        <v>1249.21</v>
      </c>
      <c r="P18" t="s">
        <v>26</v>
      </c>
      <c r="Q18" t="s">
        <v>27</v>
      </c>
      <c r="R18" t="s">
        <v>48</v>
      </c>
      <c r="S18" t="str">
        <f>TRIM(PROPER(_xlfn.XLOOKUP(Table1[[#This Row],[ProductID_Clean]],Table3[ProductID],Table3[Category],"Missing Value",0)))</f>
        <v>Services</v>
      </c>
      <c r="T18" t="str">
        <f>_xlfn.XLOOKUP(Table1[[#This Row],[CustomerID_Check]],Table2[CustomerID],Table2[CustomerType],"Missing Value",0)</f>
        <v>Key Account</v>
      </c>
    </row>
    <row r="19" spans="1:20">
      <c r="A19" t="s">
        <v>93</v>
      </c>
      <c r="B19" s="1">
        <v>45794</v>
      </c>
      <c r="C19" t="s">
        <v>76</v>
      </c>
      <c r="D19" t="str">
        <f>UPPER(Table1[[#This Row],[ProductID_Clean]])</f>
        <v>P-FS-002</v>
      </c>
      <c r="E19" t="s">
        <v>81</v>
      </c>
      <c r="F19" t="s">
        <v>58</v>
      </c>
      <c r="G19" t="str">
        <f>TRIM(Table1[[#This Row],[Region_Clean]])</f>
        <v>APAC</v>
      </c>
      <c r="H19" t="s">
        <v>82</v>
      </c>
      <c r="I19" t="s">
        <v>87</v>
      </c>
      <c r="J19" s="3">
        <v>1</v>
      </c>
      <c r="K19" s="3">
        <v>1693.79</v>
      </c>
      <c r="L19">
        <v>2400</v>
      </c>
      <c r="M19">
        <v>2400</v>
      </c>
      <c r="N19">
        <v>706.21</v>
      </c>
      <c r="O19">
        <v>1693.79</v>
      </c>
      <c r="P19" t="s">
        <v>26</v>
      </c>
      <c r="Q19" t="s">
        <v>94</v>
      </c>
      <c r="R19" t="s">
        <v>36</v>
      </c>
      <c r="S19" t="str">
        <f>TRIM(PROPER(_xlfn.XLOOKUP(Table1[[#This Row],[ProductID_Clean]],Table3[ProductID],Table3[Category],"Missing Value",0)))</f>
        <v>Services</v>
      </c>
      <c r="T19" t="str">
        <f>_xlfn.XLOOKUP(Table1[[#This Row],[CustomerID_Check]],Table2[CustomerID],Table2[CustomerType],"Missing Value",0)</f>
        <v>Missing Value</v>
      </c>
    </row>
    <row r="20" spans="1:20">
      <c r="A20" t="s">
        <v>95</v>
      </c>
      <c r="B20" s="1">
        <v>45758</v>
      </c>
      <c r="C20" t="s">
        <v>96</v>
      </c>
      <c r="D20" t="str">
        <f>UPPER(Table1[[#This Row],[ProductID_Clean]])</f>
        <v>P-SI-007</v>
      </c>
      <c r="E20" t="s">
        <v>97</v>
      </c>
      <c r="F20" t="s">
        <v>52</v>
      </c>
      <c r="G20" t="str">
        <f>TRIM(Table1[[#This Row],[Region_Clean]])</f>
        <v>N. AMERICA</v>
      </c>
      <c r="H20" t="s">
        <v>24</v>
      </c>
      <c r="I20" t="s">
        <v>98</v>
      </c>
      <c r="J20" s="3">
        <v>1</v>
      </c>
      <c r="K20" s="3">
        <v>911.92</v>
      </c>
      <c r="L20">
        <v>980</v>
      </c>
      <c r="M20">
        <v>980</v>
      </c>
      <c r="N20">
        <v>68.08</v>
      </c>
      <c r="O20">
        <v>911.92</v>
      </c>
      <c r="P20" t="s">
        <v>26</v>
      </c>
      <c r="Q20" t="s">
        <v>27</v>
      </c>
      <c r="R20" t="s">
        <v>44</v>
      </c>
      <c r="S20" t="str">
        <f>TRIM(PROPER(_xlfn.XLOOKUP(Table1[[#This Row],[ProductID_Clean]],Table3[ProductID],Table3[Category],"Missing Value",0)))</f>
        <v>Sensors</v>
      </c>
      <c r="T20" t="str">
        <f>_xlfn.XLOOKUP(Table1[[#This Row],[CustomerID_Check]],Table2[CustomerID],Table2[CustomerType],"Missing Value",0)</f>
        <v>Standard</v>
      </c>
    </row>
    <row r="21" spans="1:20">
      <c r="A21" t="s">
        <v>99</v>
      </c>
      <c r="B21" s="1">
        <v>45802</v>
      </c>
      <c r="C21" t="s">
        <v>100</v>
      </c>
      <c r="D21" t="str">
        <f>UPPER(Table1[[#This Row],[ProductID_Clean]])</f>
        <v>P-FS-005</v>
      </c>
      <c r="E21" t="s">
        <v>101</v>
      </c>
      <c r="F21" t="s">
        <v>102</v>
      </c>
      <c r="G21" t="str">
        <f>TRIM(Table1[[#This Row],[Region_Clean]])</f>
        <v>EMEA</v>
      </c>
      <c r="H21" t="s">
        <v>82</v>
      </c>
      <c r="I21" t="s">
        <v>34</v>
      </c>
      <c r="J21" s="3">
        <v>1</v>
      </c>
      <c r="K21" s="3">
        <v>675.4</v>
      </c>
      <c r="L21">
        <v>950</v>
      </c>
      <c r="M21">
        <v>950</v>
      </c>
      <c r="N21">
        <v>274.60000000000002</v>
      </c>
      <c r="O21">
        <v>675.4</v>
      </c>
      <c r="P21" t="s">
        <v>26</v>
      </c>
      <c r="Q21" t="s">
        <v>27</v>
      </c>
      <c r="R21" t="s">
        <v>36</v>
      </c>
      <c r="S21" t="str">
        <f>TRIM(PROPER(_xlfn.XLOOKUP(Table1[[#This Row],[ProductID_Clean]],Table3[ProductID],Table3[Category],"Missing Value",0)))</f>
        <v>Services</v>
      </c>
      <c r="T21" t="str">
        <f>_xlfn.XLOOKUP(Table1[[#This Row],[CustomerID_Check]],Table2[CustomerID],Table2[CustomerType],"Missing Value",0)</f>
        <v>Strategic</v>
      </c>
    </row>
    <row r="22" spans="1:20">
      <c r="A22" t="s">
        <v>103</v>
      </c>
      <c r="B22" s="1">
        <v>45664</v>
      </c>
      <c r="C22" t="s">
        <v>104</v>
      </c>
      <c r="D22" t="str">
        <f>UPPER(Table1[[#This Row],[ProductID_Clean]])</f>
        <v>P-SI-003</v>
      </c>
      <c r="E22" t="s">
        <v>39</v>
      </c>
      <c r="F22" t="s">
        <v>58</v>
      </c>
      <c r="G22" t="str">
        <f>TRIM(Table1[[#This Row],[Region_Clean]])</f>
        <v>APAC</v>
      </c>
      <c r="H22" t="s">
        <v>24</v>
      </c>
      <c r="I22" t="s">
        <v>87</v>
      </c>
      <c r="J22" s="3">
        <v>1</v>
      </c>
      <c r="K22" s="3">
        <v>1613.39</v>
      </c>
      <c r="L22">
        <v>1890</v>
      </c>
      <c r="M22">
        <v>1890</v>
      </c>
      <c r="N22">
        <v>276.61</v>
      </c>
      <c r="O22">
        <v>1613.39</v>
      </c>
      <c r="P22" t="s">
        <v>26</v>
      </c>
      <c r="Q22" t="s">
        <v>35</v>
      </c>
      <c r="R22" t="s">
        <v>36</v>
      </c>
      <c r="S22" t="str">
        <f>TRIM(PROPER(_xlfn.XLOOKUP(Table1[[#This Row],[ProductID_Clean]],Table3[ProductID],Table3[Category],"Missing Value",0)))</f>
        <v>Instruments</v>
      </c>
      <c r="T22" t="str">
        <f>_xlfn.XLOOKUP(Table1[[#This Row],[CustomerID_Check]],Table2[CustomerID],Table2[CustomerType],"Missing Value",0)</f>
        <v>Standard</v>
      </c>
    </row>
    <row r="23" spans="1:20">
      <c r="A23" t="s">
        <v>105</v>
      </c>
      <c r="B23" s="1">
        <v>45822</v>
      </c>
      <c r="C23" t="s">
        <v>106</v>
      </c>
      <c r="D23" t="str">
        <f>UPPER(Table1[[#This Row],[ProductID_Clean]])</f>
        <v>P-FS-005</v>
      </c>
      <c r="E23" t="s">
        <v>101</v>
      </c>
      <c r="F23" t="s">
        <v>58</v>
      </c>
      <c r="G23" t="str">
        <f>TRIM(Table1[[#This Row],[Region_Clean]])</f>
        <v>APAC</v>
      </c>
      <c r="H23" t="s">
        <v>82</v>
      </c>
      <c r="I23" t="s">
        <v>87</v>
      </c>
      <c r="J23" s="3">
        <v>1</v>
      </c>
      <c r="K23" s="3">
        <v>658.47</v>
      </c>
      <c r="L23">
        <v>950</v>
      </c>
      <c r="M23">
        <v>950</v>
      </c>
      <c r="N23">
        <v>291.52999999999997</v>
      </c>
      <c r="O23">
        <v>658.47</v>
      </c>
      <c r="P23" t="s">
        <v>26</v>
      </c>
      <c r="Q23" t="s">
        <v>35</v>
      </c>
      <c r="R23" t="s">
        <v>59</v>
      </c>
      <c r="S23" t="str">
        <f>TRIM(PROPER(_xlfn.XLOOKUP(Table1[[#This Row],[ProductID_Clean]],Table3[ProductID],Table3[Category],"Missing Value",0)))</f>
        <v>Services</v>
      </c>
      <c r="T23" t="str">
        <f>_xlfn.XLOOKUP(Table1[[#This Row],[CustomerID_Check]],Table2[CustomerID],Table2[CustomerType],"Missing Value",0)</f>
        <v>Key Account</v>
      </c>
    </row>
    <row r="24" spans="1:20">
      <c r="A24" t="s">
        <v>107</v>
      </c>
      <c r="B24" s="1">
        <v>45692</v>
      </c>
      <c r="C24" t="s">
        <v>108</v>
      </c>
      <c r="D24" t="str">
        <f>UPPER(Table1[[#This Row],[ProductID_Clean]])</f>
        <v>P-SI-001</v>
      </c>
      <c r="E24" t="s">
        <v>72</v>
      </c>
      <c r="F24" t="s">
        <v>32</v>
      </c>
      <c r="G24" t="str">
        <f>TRIM(Table1[[#This Row],[Region_Clean]])</f>
        <v>LATIN AMERICA</v>
      </c>
      <c r="H24" t="s">
        <v>24</v>
      </c>
      <c r="I24" t="s">
        <v>25</v>
      </c>
      <c r="J24" s="3">
        <v>1</v>
      </c>
      <c r="K24" s="3">
        <v>423.94</v>
      </c>
      <c r="L24">
        <v>485</v>
      </c>
      <c r="M24">
        <v>485</v>
      </c>
      <c r="N24">
        <v>61.06</v>
      </c>
      <c r="O24">
        <v>423.94</v>
      </c>
      <c r="P24" t="s">
        <v>26</v>
      </c>
      <c r="Q24" t="s">
        <v>35</v>
      </c>
      <c r="R24" t="s">
        <v>36</v>
      </c>
      <c r="S24" t="str">
        <f>TRIM(PROPER(_xlfn.XLOOKUP(Table1[[#This Row],[ProductID_Clean]],Table3[ProductID],Table3[Category],"Missing Value",0)))</f>
        <v>Sensors</v>
      </c>
      <c r="T24" t="str">
        <f>_xlfn.XLOOKUP(Table1[[#This Row],[CustomerID_Check]],Table2[CustomerID],Table2[CustomerType],"Missing Value",0)</f>
        <v>Standard</v>
      </c>
    </row>
    <row r="25" spans="1:20">
      <c r="A25" t="s">
        <v>109</v>
      </c>
      <c r="B25" s="1">
        <v>45704</v>
      </c>
      <c r="C25" t="s">
        <v>110</v>
      </c>
      <c r="D25" t="str">
        <f>UPPER(Table1[[#This Row],[ProductID_Clean]])</f>
        <v>P-SI-005</v>
      </c>
      <c r="E25" t="s">
        <v>57</v>
      </c>
      <c r="F25" t="s">
        <v>23</v>
      </c>
      <c r="G25" t="str">
        <f>TRIM(Table1[[#This Row],[Region_Clean]])</f>
        <v>N. AMERICA</v>
      </c>
      <c r="H25" t="s">
        <v>24</v>
      </c>
      <c r="I25" t="s">
        <v>98</v>
      </c>
      <c r="J25" s="3">
        <v>4</v>
      </c>
      <c r="K25" s="3">
        <v>1085.51</v>
      </c>
      <c r="L25">
        <v>1120</v>
      </c>
      <c r="M25">
        <v>4480</v>
      </c>
      <c r="N25">
        <v>137.96</v>
      </c>
      <c r="O25">
        <v>4342.04</v>
      </c>
      <c r="P25" t="s">
        <v>26</v>
      </c>
      <c r="Q25" t="s">
        <v>27</v>
      </c>
      <c r="R25" t="s">
        <v>59</v>
      </c>
      <c r="S25" t="str">
        <f>TRIM(PROPER(_xlfn.XLOOKUP(Table1[[#This Row],[ProductID_Clean]],Table3[ProductID],Table3[Category],"Missing Value",0)))</f>
        <v>Sensors</v>
      </c>
      <c r="T25" t="str">
        <f>_xlfn.XLOOKUP(Table1[[#This Row],[CustomerID_Check]],Table2[CustomerID],Table2[CustomerType],"Missing Value",0)</f>
        <v>Standard</v>
      </c>
    </row>
    <row r="26" spans="1:20">
      <c r="A26" t="s">
        <v>111</v>
      </c>
      <c r="B26" s="1">
        <v>45724</v>
      </c>
      <c r="C26" t="s">
        <v>112</v>
      </c>
      <c r="D26" t="str">
        <f>UPPER(Table1[[#This Row],[ProductID_Clean]])</f>
        <v>P-FS-002</v>
      </c>
      <c r="E26" t="s">
        <v>81</v>
      </c>
      <c r="F26" t="s">
        <v>58</v>
      </c>
      <c r="G26" t="str">
        <f>TRIM(Table1[[#This Row],[Region_Clean]])</f>
        <v>APAC</v>
      </c>
      <c r="H26" t="s">
        <v>82</v>
      </c>
      <c r="I26" t="s">
        <v>87</v>
      </c>
      <c r="J26" s="3">
        <v>1</v>
      </c>
      <c r="K26" s="3">
        <v>1725.04</v>
      </c>
      <c r="L26">
        <v>2400</v>
      </c>
      <c r="M26">
        <v>2400</v>
      </c>
      <c r="N26">
        <v>674.96</v>
      </c>
      <c r="O26">
        <v>1725.04</v>
      </c>
      <c r="P26" t="s">
        <v>113</v>
      </c>
      <c r="Q26" t="s">
        <v>94</v>
      </c>
      <c r="R26" t="s">
        <v>36</v>
      </c>
      <c r="S26" t="str">
        <f>TRIM(PROPER(_xlfn.XLOOKUP(Table1[[#This Row],[ProductID_Clean]],Table3[ProductID],Table3[Category],"Missing Value",0)))</f>
        <v>Services</v>
      </c>
      <c r="T26" t="str">
        <f>_xlfn.XLOOKUP(Table1[[#This Row],[CustomerID_Check]],Table2[CustomerID],Table2[CustomerType],"Missing Value",0)</f>
        <v>Key Account</v>
      </c>
    </row>
    <row r="27" spans="1:20">
      <c r="A27" t="s">
        <v>115</v>
      </c>
      <c r="B27" s="1">
        <v>45774</v>
      </c>
      <c r="C27" t="s">
        <v>116</v>
      </c>
      <c r="D27" t="str">
        <f>UPPER(Table1[[#This Row],[ProductID_Clean]])</f>
        <v>P-SI-007</v>
      </c>
      <c r="E27" t="s">
        <v>97</v>
      </c>
      <c r="F27" t="s">
        <v>47</v>
      </c>
      <c r="G27" t="str">
        <f>TRIM(Table1[[#This Row],[Region_Clean]])</f>
        <v>EMEA</v>
      </c>
      <c r="H27" t="s">
        <v>24</v>
      </c>
      <c r="I27" t="s">
        <v>87</v>
      </c>
      <c r="J27" s="3">
        <v>1</v>
      </c>
      <c r="K27" s="3">
        <v>800.56</v>
      </c>
      <c r="L27">
        <v>980</v>
      </c>
      <c r="M27">
        <v>980</v>
      </c>
      <c r="N27">
        <v>179.44</v>
      </c>
      <c r="O27">
        <v>800.56</v>
      </c>
      <c r="P27" t="s">
        <v>26</v>
      </c>
      <c r="Q27" t="s">
        <v>35</v>
      </c>
      <c r="R27" t="s">
        <v>28</v>
      </c>
      <c r="S27" t="str">
        <f>TRIM(PROPER(_xlfn.XLOOKUP(Table1[[#This Row],[ProductID_Clean]],Table3[ProductID],Table3[Category],"Missing Value",0)))</f>
        <v>Sensors</v>
      </c>
      <c r="T27" t="str">
        <f>_xlfn.XLOOKUP(Table1[[#This Row],[CustomerID_Check]],Table2[CustomerID],Table2[CustomerType],"Missing Value",0)</f>
        <v>Standard</v>
      </c>
    </row>
    <row r="28" spans="1:20">
      <c r="A28" t="s">
        <v>117</v>
      </c>
      <c r="B28" s="1">
        <v>45729</v>
      </c>
      <c r="C28" t="s">
        <v>118</v>
      </c>
      <c r="D28" t="str">
        <f>UPPER(Table1[[#This Row],[ProductID_Clean]])</f>
        <v>P-SA-004</v>
      </c>
      <c r="E28" t="s">
        <v>86</v>
      </c>
      <c r="F28" t="s">
        <v>23</v>
      </c>
      <c r="G28" t="str">
        <f>TRIM(Table1[[#This Row],[Region_Clean]])</f>
        <v>N. AMERICA</v>
      </c>
      <c r="H28" t="s">
        <v>53</v>
      </c>
      <c r="I28" t="s">
        <v>98</v>
      </c>
      <c r="J28" s="3">
        <v>1</v>
      </c>
      <c r="K28" s="3">
        <v>1468.63</v>
      </c>
      <c r="L28">
        <v>1650</v>
      </c>
      <c r="M28">
        <v>1650</v>
      </c>
      <c r="N28">
        <v>181.37</v>
      </c>
      <c r="O28">
        <v>1468.63</v>
      </c>
      <c r="P28" t="s">
        <v>26</v>
      </c>
      <c r="Q28" t="s">
        <v>54</v>
      </c>
      <c r="R28" t="s">
        <v>59</v>
      </c>
      <c r="S28" t="str">
        <f>TRIM(PROPER(_xlfn.XLOOKUP(Table1[[#This Row],[ProductID_Clean]],Table3[ProductID],Table3[Category],"Missing Value",0)))</f>
        <v>Software</v>
      </c>
      <c r="T28" t="str">
        <f>_xlfn.XLOOKUP(Table1[[#This Row],[CustomerID_Check]],Table2[CustomerID],Table2[CustomerType],"Missing Value",0)</f>
        <v>Key Account</v>
      </c>
    </row>
    <row r="29" spans="1:20">
      <c r="A29" t="s">
        <v>120</v>
      </c>
      <c r="B29" s="1">
        <v>45722</v>
      </c>
      <c r="C29" t="s">
        <v>121</v>
      </c>
      <c r="D29" t="str">
        <f>UPPER(Table1[[#This Row],[ProductID_Clean]])</f>
        <v>P-SI-001</v>
      </c>
      <c r="E29" t="s">
        <v>72</v>
      </c>
      <c r="F29" t="s">
        <v>58</v>
      </c>
      <c r="G29" t="str">
        <f>TRIM(Table1[[#This Row],[Region_Clean]])</f>
        <v>APAC</v>
      </c>
      <c r="H29" t="s">
        <v>24</v>
      </c>
      <c r="I29" t="s">
        <v>25</v>
      </c>
      <c r="J29" s="3">
        <v>10</v>
      </c>
      <c r="K29" s="3">
        <v>412.33</v>
      </c>
      <c r="L29">
        <v>485</v>
      </c>
      <c r="M29">
        <v>4850</v>
      </c>
      <c r="N29">
        <v>726.7</v>
      </c>
      <c r="O29">
        <v>4123.3</v>
      </c>
      <c r="P29" t="s">
        <v>26</v>
      </c>
      <c r="Q29" t="s">
        <v>35</v>
      </c>
      <c r="R29" t="s">
        <v>36</v>
      </c>
      <c r="S29" t="str">
        <f>TRIM(PROPER(_xlfn.XLOOKUP(Table1[[#This Row],[ProductID_Clean]],Table3[ProductID],Table3[Category],"Missing Value",0)))</f>
        <v>Sensors</v>
      </c>
      <c r="T29" t="str">
        <f>_xlfn.XLOOKUP(Table1[[#This Row],[CustomerID_Check]],Table2[CustomerID],Table2[CustomerType],"Missing Value",0)</f>
        <v>Key Account</v>
      </c>
    </row>
    <row r="30" spans="1:20">
      <c r="A30" t="s">
        <v>123</v>
      </c>
      <c r="B30" s="1">
        <v>45796</v>
      </c>
      <c r="C30" t="s">
        <v>80</v>
      </c>
      <c r="D30" t="str">
        <f>UPPER(Table1[[#This Row],[ProductID_Clean]])</f>
        <v>P-SI-001</v>
      </c>
      <c r="E30" t="s">
        <v>72</v>
      </c>
      <c r="F30" t="s">
        <v>23</v>
      </c>
      <c r="G30" t="str">
        <f>TRIM(Table1[[#This Row],[Region_Clean]])</f>
        <v>N. AMERICA</v>
      </c>
      <c r="H30" t="s">
        <v>24</v>
      </c>
      <c r="I30" t="s">
        <v>87</v>
      </c>
      <c r="J30" s="3">
        <v>2</v>
      </c>
      <c r="K30" s="3">
        <v>364.78</v>
      </c>
      <c r="L30">
        <v>485</v>
      </c>
      <c r="M30">
        <v>970</v>
      </c>
      <c r="N30">
        <v>240.44</v>
      </c>
      <c r="O30">
        <v>729.56</v>
      </c>
      <c r="P30" t="s">
        <v>26</v>
      </c>
      <c r="Q30" t="s">
        <v>35</v>
      </c>
      <c r="R30" t="s">
        <v>48</v>
      </c>
      <c r="S30" t="str">
        <f>TRIM(PROPER(_xlfn.XLOOKUP(Table1[[#This Row],[ProductID_Clean]],Table3[ProductID],Table3[Category],"Missing Value",0)))</f>
        <v>Sensors</v>
      </c>
      <c r="T30" t="str">
        <f>_xlfn.XLOOKUP(Table1[[#This Row],[CustomerID_Check]],Table2[CustomerID],Table2[CustomerType],"Missing Value",0)</f>
        <v>Strategic</v>
      </c>
    </row>
    <row r="31" spans="1:20">
      <c r="A31" t="s">
        <v>124</v>
      </c>
      <c r="B31" s="1">
        <v>45747</v>
      </c>
      <c r="C31" t="s">
        <v>125</v>
      </c>
      <c r="D31" t="str">
        <f>UPPER(Table1[[#This Row],[ProductID_Clean]])</f>
        <v>P-SI-006</v>
      </c>
      <c r="E31" t="s">
        <v>43</v>
      </c>
      <c r="F31" t="s">
        <v>58</v>
      </c>
      <c r="G31" t="str">
        <f>TRIM(Table1[[#This Row],[Region_Clean]])</f>
        <v>APAC</v>
      </c>
      <c r="H31" t="s">
        <v>24</v>
      </c>
      <c r="I31" t="s">
        <v>87</v>
      </c>
      <c r="J31" s="3">
        <v>1</v>
      </c>
      <c r="K31" s="3">
        <v>140.61000000000001</v>
      </c>
      <c r="L31">
        <v>215</v>
      </c>
      <c r="M31">
        <v>215</v>
      </c>
      <c r="N31">
        <v>74.39</v>
      </c>
      <c r="O31">
        <v>140.61000000000001</v>
      </c>
      <c r="P31" t="s">
        <v>126</v>
      </c>
      <c r="Q31" t="s">
        <v>35</v>
      </c>
      <c r="R31" t="s">
        <v>36</v>
      </c>
      <c r="S31" t="str">
        <f>TRIM(PROPER(_xlfn.XLOOKUP(Table1[[#This Row],[ProductID_Clean]],Table3[ProductID],Table3[Category],"Missing Value",0)))</f>
        <v>Sensors</v>
      </c>
      <c r="T31" t="str">
        <f>_xlfn.XLOOKUP(Table1[[#This Row],[CustomerID_Check]],Table2[CustomerID],Table2[CustomerType],"Missing Value",0)</f>
        <v>Strategic</v>
      </c>
    </row>
    <row r="32" spans="1:20">
      <c r="A32" t="s">
        <v>127</v>
      </c>
      <c r="B32" s="1">
        <v>45824</v>
      </c>
      <c r="C32" t="s">
        <v>128</v>
      </c>
      <c r="D32" t="str">
        <f>UPPER(Table1[[#This Row],[ProductID_Clean]])</f>
        <v>P-SI-006</v>
      </c>
      <c r="E32" t="s">
        <v>43</v>
      </c>
      <c r="F32" t="s">
        <v>32</v>
      </c>
      <c r="G32" t="str">
        <f>TRIM(Table1[[#This Row],[Region_Clean]])</f>
        <v>LATIN AMERICA</v>
      </c>
      <c r="H32" t="s">
        <v>24</v>
      </c>
      <c r="I32" t="s">
        <v>87</v>
      </c>
      <c r="J32" s="3">
        <v>12</v>
      </c>
      <c r="K32" s="3">
        <v>148.85</v>
      </c>
      <c r="L32">
        <v>215</v>
      </c>
      <c r="M32">
        <v>2580</v>
      </c>
      <c r="N32">
        <v>793.8</v>
      </c>
      <c r="O32">
        <v>1786.2</v>
      </c>
      <c r="P32" t="s">
        <v>26</v>
      </c>
      <c r="Q32" t="s">
        <v>65</v>
      </c>
      <c r="R32" t="s">
        <v>28</v>
      </c>
      <c r="S32" t="str">
        <f>TRIM(PROPER(_xlfn.XLOOKUP(Table1[[#This Row],[ProductID_Clean]],Table3[ProductID],Table3[Category],"Missing Value",0)))</f>
        <v>Sensors</v>
      </c>
      <c r="T32" t="str">
        <f>_xlfn.XLOOKUP(Table1[[#This Row],[CustomerID_Check]],Table2[CustomerID],Table2[CustomerType],"Missing Value",0)</f>
        <v>Key Account</v>
      </c>
    </row>
    <row r="33" spans="1:20">
      <c r="A33" t="s">
        <v>129</v>
      </c>
      <c r="B33" s="1">
        <v>45665</v>
      </c>
      <c r="C33" t="s">
        <v>130</v>
      </c>
      <c r="D33" t="str">
        <f>UPPER(Table1[[#This Row],[ProductID_Clean]])</f>
        <v>P-SI-001</v>
      </c>
      <c r="E33" t="s">
        <v>72</v>
      </c>
      <c r="F33" t="s">
        <v>58</v>
      </c>
      <c r="G33" t="str">
        <f>TRIM(Table1[[#This Row],[Region_Clean]])</f>
        <v>APAC</v>
      </c>
      <c r="H33" t="s">
        <v>24</v>
      </c>
      <c r="I33" t="s">
        <v>34</v>
      </c>
      <c r="J33" s="3">
        <v>4</v>
      </c>
      <c r="K33" s="3">
        <v>406.47</v>
      </c>
      <c r="L33">
        <v>485</v>
      </c>
      <c r="M33">
        <v>1940</v>
      </c>
      <c r="N33">
        <v>314.12</v>
      </c>
      <c r="O33">
        <v>1625.88</v>
      </c>
      <c r="P33" t="s">
        <v>26</v>
      </c>
      <c r="Q33" t="s">
        <v>40</v>
      </c>
      <c r="R33" t="s">
        <v>48</v>
      </c>
      <c r="S33" t="str">
        <f>TRIM(PROPER(_xlfn.XLOOKUP(Table1[[#This Row],[ProductID_Clean]],Table3[ProductID],Table3[Category],"Missing Value",0)))</f>
        <v>Sensors</v>
      </c>
      <c r="T33" t="str">
        <f>_xlfn.XLOOKUP(Table1[[#This Row],[CustomerID_Check]],Table2[CustomerID],Table2[CustomerType],"Missing Value",0)</f>
        <v>Standard</v>
      </c>
    </row>
    <row r="34" spans="1:20">
      <c r="A34" t="s">
        <v>131</v>
      </c>
      <c r="B34" s="1">
        <v>45709</v>
      </c>
      <c r="C34" t="s">
        <v>132</v>
      </c>
      <c r="D34" t="str">
        <f>UPPER(Table1[[#This Row],[ProductID_Clean]])</f>
        <v>P-FS-001</v>
      </c>
      <c r="E34" t="s">
        <v>133</v>
      </c>
      <c r="F34" t="s">
        <v>47</v>
      </c>
      <c r="G34" t="str">
        <f>TRIM(Table1[[#This Row],[Region_Clean]])</f>
        <v>EMEA</v>
      </c>
      <c r="H34" t="s">
        <v>82</v>
      </c>
      <c r="I34" t="s">
        <v>40</v>
      </c>
      <c r="J34" s="3">
        <v>1</v>
      </c>
      <c r="K34" s="3">
        <v>1608.57</v>
      </c>
      <c r="L34">
        <v>1850</v>
      </c>
      <c r="M34">
        <v>1850</v>
      </c>
      <c r="N34">
        <v>241.43</v>
      </c>
      <c r="O34">
        <v>1608.57</v>
      </c>
      <c r="P34" t="s">
        <v>26</v>
      </c>
      <c r="Q34" t="s">
        <v>27</v>
      </c>
      <c r="R34" t="s">
        <v>48</v>
      </c>
      <c r="S34" t="str">
        <f>TRIM(PROPER(_xlfn.XLOOKUP(Table1[[#This Row],[ProductID_Clean]],Table3[ProductID],Table3[Category],"Missing Value",0)))</f>
        <v>Services</v>
      </c>
      <c r="T34" t="str">
        <f>_xlfn.XLOOKUP(Table1[[#This Row],[CustomerID_Check]],Table2[CustomerID],Table2[CustomerType],"Missing Value",0)</f>
        <v>Key Account</v>
      </c>
    </row>
    <row r="35" spans="1:20">
      <c r="A35" t="s">
        <v>134</v>
      </c>
      <c r="B35" s="1">
        <v>45817</v>
      </c>
      <c r="C35" t="s">
        <v>135</v>
      </c>
      <c r="D35" t="str">
        <f>UPPER(Table1[[#This Row],[ProductID_Clean]])</f>
        <v>P-SI-002</v>
      </c>
      <c r="E35" t="s">
        <v>31</v>
      </c>
      <c r="F35" t="s">
        <v>58</v>
      </c>
      <c r="G35" t="str">
        <f>TRIM(Table1[[#This Row],[Region_Clean]])</f>
        <v>APAC</v>
      </c>
      <c r="H35" t="s">
        <v>24</v>
      </c>
      <c r="I35" t="s">
        <v>98</v>
      </c>
      <c r="J35" s="3">
        <v>1</v>
      </c>
      <c r="K35" s="3">
        <v>574</v>
      </c>
      <c r="L35">
        <v>725</v>
      </c>
      <c r="M35">
        <v>725</v>
      </c>
      <c r="N35">
        <v>151</v>
      </c>
      <c r="O35">
        <v>574</v>
      </c>
      <c r="P35" t="s">
        <v>26</v>
      </c>
      <c r="Q35" t="s">
        <v>35</v>
      </c>
      <c r="R35" t="s">
        <v>28</v>
      </c>
      <c r="S35" t="str">
        <f>TRIM(PROPER(_xlfn.XLOOKUP(Table1[[#This Row],[ProductID_Clean]],Table3[ProductID],Table3[Category],"Missing Value",0)))</f>
        <v>Sensors</v>
      </c>
      <c r="T35" t="str">
        <f>_xlfn.XLOOKUP(Table1[[#This Row],[CustomerID_Check]],Table2[CustomerID],Table2[CustomerType],"Missing Value",0)</f>
        <v>Strategic</v>
      </c>
    </row>
    <row r="36" spans="1:20">
      <c r="A36" t="s">
        <v>136</v>
      </c>
      <c r="B36" s="1">
        <v>45719</v>
      </c>
      <c r="C36" t="s">
        <v>137</v>
      </c>
      <c r="D36" t="str">
        <f>UPPER(Table1[[#This Row],[ProductID_Clean]])</f>
        <v>P-SA-004</v>
      </c>
      <c r="E36" t="s">
        <v>86</v>
      </c>
      <c r="F36" t="s">
        <v>23</v>
      </c>
      <c r="G36" t="str">
        <f>TRIM(Table1[[#This Row],[Region_Clean]])</f>
        <v>N. AMERICA</v>
      </c>
      <c r="H36" t="s">
        <v>53</v>
      </c>
      <c r="I36" t="s">
        <v>25</v>
      </c>
      <c r="J36" s="3">
        <v>1</v>
      </c>
      <c r="K36" s="3">
        <v>1388.68</v>
      </c>
      <c r="L36">
        <v>1650</v>
      </c>
      <c r="M36">
        <v>1650</v>
      </c>
      <c r="N36">
        <v>261.32</v>
      </c>
      <c r="O36">
        <v>1388.68</v>
      </c>
      <c r="P36" t="s">
        <v>26</v>
      </c>
      <c r="Q36" t="s">
        <v>54</v>
      </c>
      <c r="R36" t="s">
        <v>28</v>
      </c>
      <c r="S36" t="str">
        <f>TRIM(PROPER(_xlfn.XLOOKUP(Table1[[#This Row],[ProductID_Clean]],Table3[ProductID],Table3[Category],"Missing Value",0)))</f>
        <v>Software</v>
      </c>
      <c r="T36" t="str">
        <f>_xlfn.XLOOKUP(Table1[[#This Row],[CustomerID_Check]],Table2[CustomerID],Table2[CustomerType],"Missing Value",0)</f>
        <v>Strategic</v>
      </c>
    </row>
    <row r="37" spans="1:20">
      <c r="A37" t="s">
        <v>138</v>
      </c>
      <c r="B37" s="1">
        <v>45779</v>
      </c>
      <c r="C37" t="s">
        <v>139</v>
      </c>
      <c r="D37" t="str">
        <f>UPPER(Table1[[#This Row],[ProductID_Clean]])</f>
        <v>P-SI-004</v>
      </c>
      <c r="E37" t="s">
        <v>22</v>
      </c>
      <c r="F37" t="s">
        <v>47</v>
      </c>
      <c r="G37" t="str">
        <f>TRIM(Table1[[#This Row],[Region_Clean]])</f>
        <v>EMEA</v>
      </c>
      <c r="H37" t="s">
        <v>24</v>
      </c>
      <c r="I37" t="s">
        <v>87</v>
      </c>
      <c r="J37" s="3">
        <v>4</v>
      </c>
      <c r="K37" s="3">
        <v>1985.93</v>
      </c>
      <c r="L37">
        <v>2450</v>
      </c>
      <c r="M37">
        <v>9800</v>
      </c>
      <c r="N37">
        <v>1856.28</v>
      </c>
      <c r="O37">
        <v>7943.72</v>
      </c>
      <c r="P37" t="s">
        <v>26</v>
      </c>
      <c r="Q37" t="s">
        <v>35</v>
      </c>
      <c r="R37" t="s">
        <v>59</v>
      </c>
      <c r="S37" t="str">
        <f>TRIM(PROPER(_xlfn.XLOOKUP(Table1[[#This Row],[ProductID_Clean]],Table3[ProductID],Table3[Category],"Missing Value",0)))</f>
        <v>Instruments</v>
      </c>
      <c r="T37" t="str">
        <f>_xlfn.XLOOKUP(Table1[[#This Row],[CustomerID_Check]],Table2[CustomerID],Table2[CustomerType],"Missing Value",0)</f>
        <v>Key Account</v>
      </c>
    </row>
    <row r="38" spans="1:20">
      <c r="A38" t="s">
        <v>140</v>
      </c>
      <c r="B38" s="1">
        <v>45687</v>
      </c>
      <c r="C38" t="s">
        <v>141</v>
      </c>
      <c r="D38" t="str">
        <f>UPPER(Table1[[#This Row],[ProductID_Clean]])</f>
        <v>P-SI-002</v>
      </c>
      <c r="E38" t="s">
        <v>31</v>
      </c>
      <c r="F38" t="s">
        <v>23</v>
      </c>
      <c r="G38" t="str">
        <f>TRIM(Table1[[#This Row],[Region_Clean]])</f>
        <v>N. AMERICA</v>
      </c>
      <c r="H38" t="s">
        <v>24</v>
      </c>
      <c r="I38" t="s">
        <v>87</v>
      </c>
      <c r="J38" s="3">
        <v>3</v>
      </c>
      <c r="K38" s="3">
        <v>567.91999999999996</v>
      </c>
      <c r="L38">
        <v>725</v>
      </c>
      <c r="M38">
        <v>2175</v>
      </c>
      <c r="N38">
        <v>471.24</v>
      </c>
      <c r="O38">
        <v>1703.76</v>
      </c>
      <c r="P38" t="s">
        <v>26</v>
      </c>
      <c r="Q38" t="s">
        <v>35</v>
      </c>
      <c r="R38" t="s">
        <v>36</v>
      </c>
      <c r="S38" t="str">
        <f>TRIM(PROPER(_xlfn.XLOOKUP(Table1[[#This Row],[ProductID_Clean]],Table3[ProductID],Table3[Category],"Missing Value",0)))</f>
        <v>Sensors</v>
      </c>
      <c r="T38" t="str">
        <f>_xlfn.XLOOKUP(Table1[[#This Row],[CustomerID_Check]],Table2[CustomerID],Table2[CustomerType],"Missing Value",0)</f>
        <v>Key Account</v>
      </c>
    </row>
    <row r="39" spans="1:20">
      <c r="A39" t="s">
        <v>142</v>
      </c>
      <c r="B39" s="1">
        <v>45777</v>
      </c>
      <c r="C39" t="s">
        <v>143</v>
      </c>
      <c r="D39" t="str">
        <f>UPPER(Table1[[#This Row],[ProductID_Clean]])</f>
        <v>P-SI-005</v>
      </c>
      <c r="E39" t="s">
        <v>57</v>
      </c>
      <c r="F39" t="s">
        <v>23</v>
      </c>
      <c r="G39" t="str">
        <f>TRIM(Table1[[#This Row],[Region_Clean]])</f>
        <v>N. AMERICA</v>
      </c>
      <c r="H39" t="s">
        <v>24</v>
      </c>
      <c r="I39" t="s">
        <v>25</v>
      </c>
      <c r="J39" s="3">
        <v>1</v>
      </c>
      <c r="K39" s="3">
        <v>1003.12</v>
      </c>
      <c r="L39">
        <v>1120</v>
      </c>
      <c r="M39">
        <v>1120</v>
      </c>
      <c r="N39">
        <v>116.88</v>
      </c>
      <c r="O39">
        <v>1003.12</v>
      </c>
      <c r="P39" t="s">
        <v>26</v>
      </c>
      <c r="Q39" t="s">
        <v>40</v>
      </c>
      <c r="R39" t="s">
        <v>28</v>
      </c>
      <c r="S39" t="str">
        <f>TRIM(PROPER(_xlfn.XLOOKUP(Table1[[#This Row],[ProductID_Clean]],Table3[ProductID],Table3[Category],"Missing Value",0)))</f>
        <v>Sensors</v>
      </c>
      <c r="T39" t="str">
        <f>_xlfn.XLOOKUP(Table1[[#This Row],[CustomerID_Check]],Table2[CustomerID],Table2[CustomerType],"Missing Value",0)</f>
        <v>Strategic</v>
      </c>
    </row>
    <row r="40" spans="1:20">
      <c r="A40" t="s">
        <v>144</v>
      </c>
      <c r="B40" s="1">
        <v>45700</v>
      </c>
      <c r="C40" t="s">
        <v>67</v>
      </c>
      <c r="D40" t="str">
        <f>UPPER(Table1[[#This Row],[ProductID_Clean]])</f>
        <v>P-SI-003</v>
      </c>
      <c r="E40" t="s">
        <v>39</v>
      </c>
      <c r="F40" t="s">
        <v>23</v>
      </c>
      <c r="G40" t="str">
        <f>TRIM(Table1[[#This Row],[Region_Clean]])</f>
        <v>N. AMERICA</v>
      </c>
      <c r="H40" t="s">
        <v>24</v>
      </c>
      <c r="I40" t="s">
        <v>87</v>
      </c>
      <c r="J40" s="3">
        <v>1</v>
      </c>
      <c r="K40" s="3">
        <v>1494.63</v>
      </c>
      <c r="L40">
        <v>1890</v>
      </c>
      <c r="M40">
        <v>1890</v>
      </c>
      <c r="N40">
        <v>395.37</v>
      </c>
      <c r="O40">
        <v>1494.63</v>
      </c>
      <c r="P40" t="s">
        <v>26</v>
      </c>
      <c r="Q40" t="s">
        <v>65</v>
      </c>
      <c r="R40" t="s">
        <v>59</v>
      </c>
      <c r="S40" t="str">
        <f>TRIM(PROPER(_xlfn.XLOOKUP(Table1[[#This Row],[ProductID_Clean]],Table3[ProductID],Table3[Category],"Missing Value",0)))</f>
        <v>Instruments</v>
      </c>
      <c r="T40" t="str">
        <f>_xlfn.XLOOKUP(Table1[[#This Row],[CustomerID_Check]],Table2[CustomerID],Table2[CustomerType],"Missing Value",0)</f>
        <v>Strategic</v>
      </c>
    </row>
    <row r="41" spans="1:20">
      <c r="A41" t="s">
        <v>145</v>
      </c>
      <c r="B41" s="1">
        <v>45813</v>
      </c>
      <c r="C41" t="s">
        <v>146</v>
      </c>
      <c r="D41" t="str">
        <f>UPPER(Table1[[#This Row],[ProductID_Clean]])</f>
        <v>P-SA-002</v>
      </c>
      <c r="E41" t="s">
        <v>147</v>
      </c>
      <c r="F41" t="s">
        <v>47</v>
      </c>
      <c r="G41" t="str">
        <f>TRIM(Table1[[#This Row],[Region_Clean]])</f>
        <v>EMEA</v>
      </c>
      <c r="H41" t="s">
        <v>53</v>
      </c>
      <c r="I41" t="s">
        <v>87</v>
      </c>
      <c r="J41" s="3">
        <v>2</v>
      </c>
      <c r="K41" s="3">
        <v>7986.66</v>
      </c>
      <c r="L41">
        <v>9800</v>
      </c>
      <c r="M41">
        <v>19600</v>
      </c>
      <c r="N41">
        <v>3626.68</v>
      </c>
      <c r="O41">
        <v>15973.32</v>
      </c>
      <c r="P41" t="s">
        <v>113</v>
      </c>
      <c r="Q41" t="s">
        <v>54</v>
      </c>
      <c r="R41" t="s">
        <v>44</v>
      </c>
      <c r="S41" t="str">
        <f>TRIM(PROPER(_xlfn.XLOOKUP(Table1[[#This Row],[ProductID_Clean]],Table3[ProductID],Table3[Category],"Missing Value",0)))</f>
        <v>Software</v>
      </c>
      <c r="T41" t="str">
        <f>_xlfn.XLOOKUP(Table1[[#This Row],[CustomerID_Check]],Table2[CustomerID],Table2[CustomerType],"Missing Value",0)</f>
        <v>Key Account</v>
      </c>
    </row>
    <row r="42" spans="1:20" hidden="1">
      <c r="A42" t="s">
        <v>148</v>
      </c>
      <c r="B42" s="1">
        <v>45687</v>
      </c>
      <c r="C42" t="s">
        <v>146</v>
      </c>
      <c r="D42" t="str">
        <f>UPPER(Table1[[#This Row],[ProductID_Clean]])</f>
        <v>INVALID ID</v>
      </c>
      <c r="E42" t="s">
        <v>76</v>
      </c>
      <c r="F42" t="s">
        <v>47</v>
      </c>
      <c r="G42" t="str">
        <f>TRIM(Table1[[#This Row],[Region_Clean]])</f>
        <v>EMEA</v>
      </c>
      <c r="H42" t="s">
        <v>53</v>
      </c>
      <c r="I42" t="s">
        <v>25</v>
      </c>
      <c r="J42" s="3">
        <v>1</v>
      </c>
      <c r="K42" s="3">
        <v>2860.31</v>
      </c>
      <c r="L42">
        <v>3200</v>
      </c>
      <c r="M42">
        <v>3200</v>
      </c>
      <c r="N42">
        <v>339.69</v>
      </c>
      <c r="O42">
        <v>2860.31</v>
      </c>
      <c r="P42" t="s">
        <v>26</v>
      </c>
      <c r="Q42" t="s">
        <v>54</v>
      </c>
      <c r="R42" t="s">
        <v>44</v>
      </c>
      <c r="S42" t="str">
        <f>TRIM(PROPER(_xlfn.XLOOKUP(Table1[[#This Row],[ProductID_Clean]],Table3[ProductID],Table3[Category],"Missing Value",0)))</f>
        <v>Missing Value</v>
      </c>
      <c r="T42" t="str">
        <f>_xlfn.XLOOKUP(Table1[[#This Row],[CustomerID_Check]],Table2[CustomerID],Table2[CustomerType],"Missing Value",0)</f>
        <v>Key Account</v>
      </c>
    </row>
    <row r="43" spans="1:20">
      <c r="A43" t="s">
        <v>149</v>
      </c>
      <c r="B43" s="1">
        <v>45737</v>
      </c>
      <c r="C43" t="s">
        <v>61</v>
      </c>
      <c r="D43" t="str">
        <f>UPPER(Table1[[#This Row],[ProductID_Clean]])</f>
        <v>P-SI-002</v>
      </c>
      <c r="E43" t="s">
        <v>31</v>
      </c>
      <c r="F43" t="s">
        <v>47</v>
      </c>
      <c r="G43" t="str">
        <f>TRIM(Table1[[#This Row],[Region_Clean]])</f>
        <v>EMEA</v>
      </c>
      <c r="H43" t="s">
        <v>24</v>
      </c>
      <c r="I43" t="s">
        <v>34</v>
      </c>
      <c r="J43" s="3">
        <v>8</v>
      </c>
      <c r="K43" s="3">
        <v>610.17999999999995</v>
      </c>
      <c r="L43">
        <v>725</v>
      </c>
      <c r="M43">
        <v>5800</v>
      </c>
      <c r="N43">
        <v>918.56</v>
      </c>
      <c r="O43">
        <v>4881.4399999999996</v>
      </c>
      <c r="P43" t="s">
        <v>26</v>
      </c>
      <c r="Q43" t="s">
        <v>27</v>
      </c>
      <c r="R43" t="s">
        <v>48</v>
      </c>
      <c r="S43" t="str">
        <f>TRIM(PROPER(_xlfn.XLOOKUP(Table1[[#This Row],[ProductID_Clean]],Table3[ProductID],Table3[Category],"Missing Value",0)))</f>
        <v>Sensors</v>
      </c>
      <c r="T43" t="str">
        <f>_xlfn.XLOOKUP(Table1[[#This Row],[CustomerID_Check]],Table2[CustomerID],Table2[CustomerType],"Missing Value",0)</f>
        <v>Strategic</v>
      </c>
    </row>
    <row r="44" spans="1:20">
      <c r="A44" t="s">
        <v>150</v>
      </c>
      <c r="B44" s="1">
        <v>45806</v>
      </c>
      <c r="C44" t="s">
        <v>151</v>
      </c>
      <c r="D44" t="str">
        <f>UPPER(Table1[[#This Row],[ProductID_Clean]])</f>
        <v>P-SI-008</v>
      </c>
      <c r="E44" t="s">
        <v>152</v>
      </c>
      <c r="F44" t="s">
        <v>32</v>
      </c>
      <c r="G44" t="str">
        <f>TRIM(Table1[[#This Row],[Region_Clean]])</f>
        <v>LATIN AMERICA</v>
      </c>
      <c r="H44" t="s">
        <v>24</v>
      </c>
      <c r="I44" t="s">
        <v>34</v>
      </c>
      <c r="J44" s="3">
        <v>4</v>
      </c>
      <c r="K44" s="3">
        <v>801.52</v>
      </c>
      <c r="L44">
        <v>950</v>
      </c>
      <c r="M44">
        <v>3800</v>
      </c>
      <c r="N44">
        <v>593.91999999999996</v>
      </c>
      <c r="O44">
        <v>3206.08</v>
      </c>
      <c r="P44" t="s">
        <v>26</v>
      </c>
      <c r="Q44" t="s">
        <v>27</v>
      </c>
      <c r="R44" t="s">
        <v>59</v>
      </c>
      <c r="S44" t="str">
        <f>TRIM(PROPER(_xlfn.XLOOKUP(Table1[[#This Row],[ProductID_Clean]],Table3[ProductID],Table3[Category],"Missing Value",0)))</f>
        <v>Instruments</v>
      </c>
      <c r="T44" t="str">
        <f>_xlfn.XLOOKUP(Table1[[#This Row],[CustomerID_Check]],Table2[CustomerID],Table2[CustomerType],"Missing Value",0)</f>
        <v>Standard</v>
      </c>
    </row>
    <row r="45" spans="1:20">
      <c r="A45" t="s">
        <v>153</v>
      </c>
      <c r="B45" s="1">
        <v>45759</v>
      </c>
      <c r="C45" t="s">
        <v>141</v>
      </c>
      <c r="D45" t="str">
        <f>UPPER(Table1[[#This Row],[ProductID_Clean]])</f>
        <v>P-SI-001</v>
      </c>
      <c r="E45" t="s">
        <v>72</v>
      </c>
      <c r="F45" t="s">
        <v>23</v>
      </c>
      <c r="G45" t="str">
        <f>TRIM(Table1[[#This Row],[Region_Clean]])</f>
        <v>N. AMERICA</v>
      </c>
      <c r="H45" t="s">
        <v>24</v>
      </c>
      <c r="I45" t="s">
        <v>25</v>
      </c>
      <c r="J45" s="3">
        <v>8</v>
      </c>
      <c r="K45" s="3">
        <v>436.58</v>
      </c>
      <c r="L45">
        <v>485</v>
      </c>
      <c r="M45">
        <v>3880</v>
      </c>
      <c r="N45">
        <v>387.36</v>
      </c>
      <c r="O45">
        <v>3492.64</v>
      </c>
      <c r="P45" t="s">
        <v>113</v>
      </c>
      <c r="Q45" t="s">
        <v>35</v>
      </c>
      <c r="R45" t="s">
        <v>36</v>
      </c>
      <c r="S45" t="str">
        <f>TRIM(PROPER(_xlfn.XLOOKUP(Table1[[#This Row],[ProductID_Clean]],Table3[ProductID],Table3[Category],"Missing Value",0)))</f>
        <v>Sensors</v>
      </c>
      <c r="T45" t="str">
        <f>_xlfn.XLOOKUP(Table1[[#This Row],[CustomerID_Check]],Table2[CustomerID],Table2[CustomerType],"Missing Value",0)</f>
        <v>Key Account</v>
      </c>
    </row>
    <row r="46" spans="1:20">
      <c r="A46" t="s">
        <v>154</v>
      </c>
      <c r="B46" s="1">
        <v>45708</v>
      </c>
      <c r="C46" t="s">
        <v>155</v>
      </c>
      <c r="D46" t="str">
        <f>UPPER(Table1[[#This Row],[ProductID_Clean]])</f>
        <v>P-SI-006</v>
      </c>
      <c r="E46" t="s">
        <v>43</v>
      </c>
      <c r="F46" t="s">
        <v>23</v>
      </c>
      <c r="G46" t="str">
        <f>TRIM(Table1[[#This Row],[Region_Clean]])</f>
        <v>N. AMERICA</v>
      </c>
      <c r="H46" t="s">
        <v>24</v>
      </c>
      <c r="I46" t="s">
        <v>34</v>
      </c>
      <c r="J46" s="3">
        <v>2</v>
      </c>
      <c r="K46" s="3">
        <v>183.38</v>
      </c>
      <c r="L46">
        <v>215</v>
      </c>
      <c r="M46">
        <v>430</v>
      </c>
      <c r="N46">
        <v>63.24</v>
      </c>
      <c r="O46">
        <v>366.76</v>
      </c>
      <c r="P46" t="s">
        <v>26</v>
      </c>
      <c r="Q46" t="s">
        <v>40</v>
      </c>
      <c r="R46" t="s">
        <v>59</v>
      </c>
      <c r="S46" t="str">
        <f>TRIM(PROPER(_xlfn.XLOOKUP(Table1[[#This Row],[ProductID_Clean]],Table3[ProductID],Table3[Category],"Missing Value",0)))</f>
        <v>Sensors</v>
      </c>
      <c r="T46" t="str">
        <f>_xlfn.XLOOKUP(Table1[[#This Row],[CustomerID_Check]],Table2[CustomerID],Table2[CustomerType],"Missing Value",0)</f>
        <v>Standard</v>
      </c>
    </row>
    <row r="47" spans="1:20">
      <c r="A47" t="s">
        <v>156</v>
      </c>
      <c r="B47" s="1">
        <v>45809</v>
      </c>
      <c r="C47" t="s">
        <v>157</v>
      </c>
      <c r="D47" t="str">
        <f>UPPER(Table1[[#This Row],[ProductID_Clean]])</f>
        <v>P-FS-002</v>
      </c>
      <c r="E47" t="s">
        <v>81</v>
      </c>
      <c r="F47" t="s">
        <v>23</v>
      </c>
      <c r="G47" t="str">
        <f>TRIM(Table1[[#This Row],[Region_Clean]])</f>
        <v>N. AMERICA</v>
      </c>
      <c r="H47" t="s">
        <v>82</v>
      </c>
      <c r="I47" t="s">
        <v>34</v>
      </c>
      <c r="J47" s="3">
        <v>1</v>
      </c>
      <c r="K47" s="3">
        <v>2183.8000000000002</v>
      </c>
      <c r="L47">
        <v>2400</v>
      </c>
      <c r="M47">
        <v>2400</v>
      </c>
      <c r="N47">
        <v>216.2</v>
      </c>
      <c r="O47">
        <v>2183.8000000000002</v>
      </c>
      <c r="P47" t="s">
        <v>26</v>
      </c>
      <c r="Q47" t="s">
        <v>94</v>
      </c>
      <c r="R47" t="s">
        <v>36</v>
      </c>
      <c r="S47" t="str">
        <f>TRIM(PROPER(_xlfn.XLOOKUP(Table1[[#This Row],[ProductID_Clean]],Table3[ProductID],Table3[Category],"Missing Value",0)))</f>
        <v>Services</v>
      </c>
      <c r="T47" t="str">
        <f>_xlfn.XLOOKUP(Table1[[#This Row],[CustomerID_Check]],Table2[CustomerID],Table2[CustomerType],"Missing Value",0)</f>
        <v>Key Account</v>
      </c>
    </row>
    <row r="48" spans="1:20">
      <c r="A48" t="s">
        <v>158</v>
      </c>
      <c r="B48" s="1">
        <v>45818</v>
      </c>
      <c r="C48" t="s">
        <v>114</v>
      </c>
      <c r="D48" t="str">
        <f>UPPER(Table1[[#This Row],[ProductID_Clean]])</f>
        <v>P-SI-006</v>
      </c>
      <c r="E48" t="s">
        <v>43</v>
      </c>
      <c r="F48" t="s">
        <v>47</v>
      </c>
      <c r="G48" t="str">
        <f>TRIM(Table1[[#This Row],[Region_Clean]])</f>
        <v>EMEA</v>
      </c>
      <c r="H48" t="s">
        <v>24</v>
      </c>
      <c r="I48" t="s">
        <v>87</v>
      </c>
      <c r="J48" s="3">
        <v>3</v>
      </c>
      <c r="K48" s="3">
        <v>186.72</v>
      </c>
      <c r="L48">
        <v>215</v>
      </c>
      <c r="M48">
        <v>645</v>
      </c>
      <c r="N48">
        <v>84.84</v>
      </c>
      <c r="O48">
        <v>560.16</v>
      </c>
      <c r="P48" t="s">
        <v>26</v>
      </c>
      <c r="Q48" t="s">
        <v>35</v>
      </c>
      <c r="R48" t="s">
        <v>36</v>
      </c>
      <c r="S48" t="str">
        <f>TRIM(PROPER(_xlfn.XLOOKUP(Table1[[#This Row],[ProductID_Clean]],Table3[ProductID],Table3[Category],"Missing Value",0)))</f>
        <v>Sensors</v>
      </c>
      <c r="T48" t="str">
        <f>_xlfn.XLOOKUP(Table1[[#This Row],[CustomerID_Check]],Table2[CustomerID],Table2[CustomerType],"Missing Value",0)</f>
        <v>Standard</v>
      </c>
    </row>
    <row r="49" spans="1:20">
      <c r="A49" t="s">
        <v>159</v>
      </c>
      <c r="B49" s="1">
        <v>45684</v>
      </c>
      <c r="C49" t="s">
        <v>160</v>
      </c>
      <c r="D49" t="str">
        <f>UPPER(Table1[[#This Row],[ProductID_Clean]])</f>
        <v>P-SA-004</v>
      </c>
      <c r="E49" t="s">
        <v>86</v>
      </c>
      <c r="F49" t="s">
        <v>47</v>
      </c>
      <c r="G49" t="str">
        <f>TRIM(Table1[[#This Row],[Region_Clean]])</f>
        <v>EMEA</v>
      </c>
      <c r="H49" t="s">
        <v>53</v>
      </c>
      <c r="I49" t="s">
        <v>25</v>
      </c>
      <c r="J49" s="3">
        <v>1</v>
      </c>
      <c r="K49" s="3">
        <v>1392.62</v>
      </c>
      <c r="L49">
        <v>1650</v>
      </c>
      <c r="M49">
        <v>1650</v>
      </c>
      <c r="N49">
        <v>257.38</v>
      </c>
      <c r="O49">
        <v>1392.62</v>
      </c>
      <c r="P49" t="s">
        <v>26</v>
      </c>
      <c r="Q49" t="s">
        <v>54</v>
      </c>
      <c r="R49" t="s">
        <v>59</v>
      </c>
      <c r="S49" t="str">
        <f>TRIM(PROPER(_xlfn.XLOOKUP(Table1[[#This Row],[ProductID_Clean]],Table3[ProductID],Table3[Category],"Missing Value",0)))</f>
        <v>Software</v>
      </c>
      <c r="T49" t="str">
        <f>_xlfn.XLOOKUP(Table1[[#This Row],[CustomerID_Check]],Table2[CustomerID],Table2[CustomerType],"Missing Value",0)</f>
        <v>Key Account</v>
      </c>
    </row>
    <row r="50" spans="1:20">
      <c r="A50" t="s">
        <v>161</v>
      </c>
      <c r="B50" s="1">
        <v>45833</v>
      </c>
      <c r="C50" t="s">
        <v>30</v>
      </c>
      <c r="D50" t="str">
        <f>UPPER(Table1[[#This Row],[ProductID_Clean]])</f>
        <v>P-SI-005</v>
      </c>
      <c r="E50" t="s">
        <v>57</v>
      </c>
      <c r="F50" t="s">
        <v>32</v>
      </c>
      <c r="G50" t="str">
        <f>TRIM(Table1[[#This Row],[Region_Clean]])</f>
        <v>LATIN AMERICA</v>
      </c>
      <c r="H50" t="s">
        <v>24</v>
      </c>
      <c r="I50" t="s">
        <v>98</v>
      </c>
      <c r="J50" s="3">
        <v>8</v>
      </c>
      <c r="K50" s="3">
        <v>906.4</v>
      </c>
      <c r="L50">
        <v>1120</v>
      </c>
      <c r="M50">
        <v>8960</v>
      </c>
      <c r="N50">
        <v>1708.8</v>
      </c>
      <c r="O50">
        <v>7251.2</v>
      </c>
      <c r="P50" t="s">
        <v>26</v>
      </c>
      <c r="Q50" t="s">
        <v>35</v>
      </c>
      <c r="R50" t="s">
        <v>36</v>
      </c>
      <c r="S50" t="str">
        <f>TRIM(PROPER(_xlfn.XLOOKUP(Table1[[#This Row],[ProductID_Clean]],Table3[ProductID],Table3[Category],"Missing Value",0)))</f>
        <v>Sensors</v>
      </c>
      <c r="T50" t="str">
        <f>_xlfn.XLOOKUP(Table1[[#This Row],[CustomerID_Check]],Table2[CustomerID],Table2[CustomerType],"Missing Value",0)</f>
        <v>Strategic</v>
      </c>
    </row>
    <row r="51" spans="1:20">
      <c r="A51" t="s">
        <v>162</v>
      </c>
      <c r="B51" s="1">
        <v>45688</v>
      </c>
      <c r="C51" t="s">
        <v>163</v>
      </c>
      <c r="D51" t="str">
        <f>UPPER(Table1[[#This Row],[ProductID_Clean]])</f>
        <v>P-SA-003</v>
      </c>
      <c r="E51" t="s">
        <v>51</v>
      </c>
      <c r="F51" t="s">
        <v>52</v>
      </c>
      <c r="G51" t="str">
        <f>TRIM(Table1[[#This Row],[Region_Clean]])</f>
        <v>N. AMERICA</v>
      </c>
      <c r="H51" t="s">
        <v>53</v>
      </c>
      <c r="I51" t="s">
        <v>87</v>
      </c>
      <c r="J51" s="3">
        <v>1</v>
      </c>
      <c r="K51" s="3">
        <v>2061.69</v>
      </c>
      <c r="L51">
        <v>2750</v>
      </c>
      <c r="M51">
        <v>2750</v>
      </c>
      <c r="N51">
        <v>688.31</v>
      </c>
      <c r="O51">
        <v>2061.69</v>
      </c>
      <c r="P51" t="s">
        <v>26</v>
      </c>
      <c r="Q51" t="s">
        <v>88</v>
      </c>
      <c r="R51" t="s">
        <v>28</v>
      </c>
      <c r="S51" t="str">
        <f>TRIM(PROPER(_xlfn.XLOOKUP(Table1[[#This Row],[ProductID_Clean]],Table3[ProductID],Table3[Category],"Missing Value",0)))</f>
        <v>Software</v>
      </c>
      <c r="T51" t="str">
        <f>_xlfn.XLOOKUP(Table1[[#This Row],[CustomerID_Check]],Table2[CustomerID],Table2[CustomerType],"Missing Value",0)</f>
        <v>Strategic</v>
      </c>
    </row>
    <row r="52" spans="1:20">
      <c r="A52" t="s">
        <v>164</v>
      </c>
      <c r="B52" s="1">
        <v>45668</v>
      </c>
      <c r="C52" t="s">
        <v>165</v>
      </c>
      <c r="D52" t="str">
        <f>UPPER(Table1[[#This Row],[ProductID_Clean]])</f>
        <v>P-SI-004</v>
      </c>
      <c r="E52" t="s">
        <v>22</v>
      </c>
      <c r="F52" t="s">
        <v>47</v>
      </c>
      <c r="G52" t="str">
        <f>TRIM(Table1[[#This Row],[Region_Clean]])</f>
        <v>EMEA</v>
      </c>
      <c r="H52" t="s">
        <v>24</v>
      </c>
      <c r="I52" t="s">
        <v>166</v>
      </c>
      <c r="J52" s="3">
        <v>1</v>
      </c>
      <c r="K52" s="3">
        <v>2111.14</v>
      </c>
      <c r="L52">
        <v>2450</v>
      </c>
      <c r="M52">
        <v>2450</v>
      </c>
      <c r="N52">
        <v>338.86</v>
      </c>
      <c r="O52">
        <v>2111.14</v>
      </c>
      <c r="P52" t="s">
        <v>126</v>
      </c>
      <c r="Q52" t="s">
        <v>35</v>
      </c>
      <c r="R52" t="s">
        <v>28</v>
      </c>
      <c r="S52" t="str">
        <f>TRIM(PROPER(_xlfn.XLOOKUP(Table1[[#This Row],[ProductID_Clean]],Table3[ProductID],Table3[Category],"Missing Value",0)))</f>
        <v>Instruments</v>
      </c>
      <c r="T52" t="str">
        <f>_xlfn.XLOOKUP(Table1[[#This Row],[CustomerID_Check]],Table2[CustomerID],Table2[CustomerType],"Missing Value",0)</f>
        <v>Key Account</v>
      </c>
    </row>
    <row r="53" spans="1:20">
      <c r="A53" t="s">
        <v>167</v>
      </c>
      <c r="B53" s="1">
        <v>45794</v>
      </c>
      <c r="C53" t="s">
        <v>168</v>
      </c>
      <c r="D53" t="str">
        <f>UPPER(Table1[[#This Row],[ProductID_Clean]])</f>
        <v>P-SI-007</v>
      </c>
      <c r="E53" t="s">
        <v>97</v>
      </c>
      <c r="F53" t="s">
        <v>47</v>
      </c>
      <c r="G53" t="str">
        <f>TRIM(Table1[[#This Row],[Region_Clean]])</f>
        <v>EMEA</v>
      </c>
      <c r="H53" t="s">
        <v>24</v>
      </c>
      <c r="I53" t="s">
        <v>34</v>
      </c>
      <c r="J53" s="3">
        <v>1</v>
      </c>
      <c r="K53" s="3">
        <v>883.63</v>
      </c>
      <c r="L53">
        <v>980</v>
      </c>
      <c r="M53">
        <v>980</v>
      </c>
      <c r="N53">
        <v>96.37</v>
      </c>
      <c r="O53">
        <v>883.63</v>
      </c>
      <c r="P53" t="s">
        <v>26</v>
      </c>
      <c r="Q53" t="s">
        <v>65</v>
      </c>
      <c r="R53" t="s">
        <v>36</v>
      </c>
      <c r="S53" t="str">
        <f>TRIM(PROPER(_xlfn.XLOOKUP(Table1[[#This Row],[ProductID_Clean]],Table3[ProductID],Table3[Category],"Missing Value",0)))</f>
        <v>Sensors</v>
      </c>
      <c r="T53" t="str">
        <f>_xlfn.XLOOKUP(Table1[[#This Row],[CustomerID_Check]],Table2[CustomerID],Table2[CustomerType],"Missing Value",0)</f>
        <v>Standard</v>
      </c>
    </row>
    <row r="54" spans="1:20">
      <c r="A54" t="s">
        <v>169</v>
      </c>
      <c r="B54" s="1">
        <v>45827</v>
      </c>
      <c r="C54" t="s">
        <v>170</v>
      </c>
      <c r="D54" t="str">
        <f>UPPER(Table1[[#This Row],[ProductID_Clean]])</f>
        <v>P-SI-006</v>
      </c>
      <c r="E54" t="s">
        <v>43</v>
      </c>
      <c r="F54" t="s">
        <v>47</v>
      </c>
      <c r="G54" t="str">
        <f>TRIM(Table1[[#This Row],[Region_Clean]])</f>
        <v>EMEA</v>
      </c>
      <c r="H54" t="s">
        <v>24</v>
      </c>
      <c r="I54" t="s">
        <v>87</v>
      </c>
      <c r="J54" s="3">
        <v>3</v>
      </c>
      <c r="K54" s="3">
        <v>185.4</v>
      </c>
      <c r="L54">
        <v>215</v>
      </c>
      <c r="M54">
        <v>645</v>
      </c>
      <c r="N54">
        <v>88.8</v>
      </c>
      <c r="O54">
        <v>556.20000000000005</v>
      </c>
      <c r="P54" t="s">
        <v>26</v>
      </c>
      <c r="Q54" t="s">
        <v>27</v>
      </c>
      <c r="R54" t="s">
        <v>59</v>
      </c>
      <c r="S54" t="str">
        <f>TRIM(PROPER(_xlfn.XLOOKUP(Table1[[#This Row],[ProductID_Clean]],Table3[ProductID],Table3[Category],"Missing Value",0)))</f>
        <v>Sensors</v>
      </c>
      <c r="T54" t="str">
        <f>_xlfn.XLOOKUP(Table1[[#This Row],[CustomerID_Check]],Table2[CustomerID],Table2[CustomerType],"Missing Value",0)</f>
        <v>Standard</v>
      </c>
    </row>
    <row r="55" spans="1:20">
      <c r="A55" t="s">
        <v>171</v>
      </c>
      <c r="B55" s="1">
        <v>45675</v>
      </c>
      <c r="C55" t="s">
        <v>172</v>
      </c>
      <c r="D55" t="str">
        <f>UPPER(Table1[[#This Row],[ProductID_Clean]])</f>
        <v>P-FS-005</v>
      </c>
      <c r="E55" t="s">
        <v>101</v>
      </c>
      <c r="F55" t="s">
        <v>23</v>
      </c>
      <c r="G55" t="str">
        <f>TRIM(Table1[[#This Row],[Region_Clean]])</f>
        <v>N. AMERICA</v>
      </c>
      <c r="H55" t="s">
        <v>82</v>
      </c>
      <c r="I55" t="s">
        <v>25</v>
      </c>
      <c r="J55" s="3">
        <v>1</v>
      </c>
      <c r="K55" s="3">
        <v>742.66</v>
      </c>
      <c r="L55">
        <v>950</v>
      </c>
      <c r="M55">
        <v>950</v>
      </c>
      <c r="N55">
        <v>207.34</v>
      </c>
      <c r="O55">
        <v>742.66</v>
      </c>
      <c r="P55" t="s">
        <v>26</v>
      </c>
      <c r="Q55" t="s">
        <v>27</v>
      </c>
      <c r="R55" t="s">
        <v>36</v>
      </c>
      <c r="S55" t="str">
        <f>TRIM(PROPER(_xlfn.XLOOKUP(Table1[[#This Row],[ProductID_Clean]],Table3[ProductID],Table3[Category],"Missing Value",0)))</f>
        <v>Services</v>
      </c>
      <c r="T55" t="str">
        <f>_xlfn.XLOOKUP(Table1[[#This Row],[CustomerID_Check]],Table2[CustomerID],Table2[CustomerType],"Missing Value",0)</f>
        <v>Key Account</v>
      </c>
    </row>
    <row r="56" spans="1:20">
      <c r="A56" t="s">
        <v>173</v>
      </c>
      <c r="B56" s="1">
        <v>45823</v>
      </c>
      <c r="C56" t="s">
        <v>71</v>
      </c>
      <c r="D56" t="str">
        <f>UPPER(Table1[[#This Row],[ProductID_Clean]])</f>
        <v>P-SA-002</v>
      </c>
      <c r="E56" t="s">
        <v>147</v>
      </c>
      <c r="F56" t="s">
        <v>23</v>
      </c>
      <c r="G56" t="str">
        <f>TRIM(Table1[[#This Row],[Region_Clean]])</f>
        <v>N. AMERICA</v>
      </c>
      <c r="H56" t="s">
        <v>53</v>
      </c>
      <c r="I56" t="s">
        <v>34</v>
      </c>
      <c r="J56" s="3">
        <v>1</v>
      </c>
      <c r="K56" s="3">
        <v>8074.33</v>
      </c>
      <c r="L56">
        <v>9800</v>
      </c>
      <c r="M56">
        <v>9800</v>
      </c>
      <c r="N56">
        <v>1725.67</v>
      </c>
      <c r="O56">
        <v>8074.33</v>
      </c>
      <c r="P56" t="s">
        <v>26</v>
      </c>
      <c r="Q56" t="s">
        <v>88</v>
      </c>
      <c r="R56" t="s">
        <v>48</v>
      </c>
      <c r="S56" t="str">
        <f>TRIM(PROPER(_xlfn.XLOOKUP(Table1[[#This Row],[ProductID_Clean]],Table3[ProductID],Table3[Category],"Missing Value",0)))</f>
        <v>Software</v>
      </c>
      <c r="T56" t="str">
        <f>_xlfn.XLOOKUP(Table1[[#This Row],[CustomerID_Check]],Table2[CustomerID],Table2[CustomerType],"Missing Value",0)</f>
        <v>Key Account</v>
      </c>
    </row>
    <row r="57" spans="1:20">
      <c r="A57" t="s">
        <v>174</v>
      </c>
      <c r="B57" s="1">
        <v>45661</v>
      </c>
      <c r="C57" t="s">
        <v>172</v>
      </c>
      <c r="D57" t="str">
        <f>UPPER(Table1[[#This Row],[ProductID_Clean]])</f>
        <v>P-SI-003</v>
      </c>
      <c r="E57" t="s">
        <v>39</v>
      </c>
      <c r="F57" t="s">
        <v>23</v>
      </c>
      <c r="G57" t="str">
        <f>TRIM(Table1[[#This Row],[Region_Clean]])</f>
        <v>N. AMERICA</v>
      </c>
      <c r="H57" t="s">
        <v>24</v>
      </c>
      <c r="I57" t="s">
        <v>87</v>
      </c>
      <c r="J57" s="3">
        <v>4</v>
      </c>
      <c r="K57" s="3">
        <v>1622.64</v>
      </c>
      <c r="L57">
        <v>1890</v>
      </c>
      <c r="M57">
        <v>7560</v>
      </c>
      <c r="N57">
        <v>1069.44</v>
      </c>
      <c r="O57">
        <v>6490.56</v>
      </c>
      <c r="P57" t="s">
        <v>26</v>
      </c>
      <c r="Q57" t="s">
        <v>65</v>
      </c>
      <c r="R57" t="s">
        <v>36</v>
      </c>
      <c r="S57" t="str">
        <f>TRIM(PROPER(_xlfn.XLOOKUP(Table1[[#This Row],[ProductID_Clean]],Table3[ProductID],Table3[Category],"Missing Value",0)))</f>
        <v>Instruments</v>
      </c>
      <c r="T57" t="str">
        <f>_xlfn.XLOOKUP(Table1[[#This Row],[CustomerID_Check]],Table2[CustomerID],Table2[CustomerType],"Missing Value",0)</f>
        <v>Key Account</v>
      </c>
    </row>
    <row r="58" spans="1:20">
      <c r="A58" t="s">
        <v>175</v>
      </c>
      <c r="B58" s="1">
        <v>45783</v>
      </c>
      <c r="C58" t="s">
        <v>176</v>
      </c>
      <c r="D58" t="str">
        <f>UPPER(Table1[[#This Row],[ProductID_Clean]])</f>
        <v>P-SI-006</v>
      </c>
      <c r="E58" t="s">
        <v>43</v>
      </c>
      <c r="F58" t="s">
        <v>58</v>
      </c>
      <c r="G58" t="str">
        <f>TRIM(Table1[[#This Row],[Region_Clean]])</f>
        <v>APAC</v>
      </c>
      <c r="H58" t="s">
        <v>24</v>
      </c>
      <c r="I58" t="s">
        <v>87</v>
      </c>
      <c r="J58" s="3">
        <v>8</v>
      </c>
      <c r="K58" s="3">
        <v>138.78</v>
      </c>
      <c r="L58">
        <v>215</v>
      </c>
      <c r="M58">
        <v>1720</v>
      </c>
      <c r="N58">
        <v>609.76</v>
      </c>
      <c r="O58">
        <v>1110.24</v>
      </c>
      <c r="P58" t="s">
        <v>26</v>
      </c>
      <c r="Q58" t="s">
        <v>27</v>
      </c>
      <c r="R58" t="s">
        <v>28</v>
      </c>
      <c r="S58" t="str">
        <f>TRIM(PROPER(_xlfn.XLOOKUP(Table1[[#This Row],[ProductID_Clean]],Table3[ProductID],Table3[Category],"Missing Value",0)))</f>
        <v>Sensors</v>
      </c>
      <c r="T58" t="str">
        <f>_xlfn.XLOOKUP(Table1[[#This Row],[CustomerID_Check]],Table2[CustomerID],Table2[CustomerType],"Missing Value",0)</f>
        <v>Emerging</v>
      </c>
    </row>
    <row r="59" spans="1:20">
      <c r="A59" t="s">
        <v>177</v>
      </c>
      <c r="B59" s="1">
        <v>45768</v>
      </c>
      <c r="C59" t="s">
        <v>178</v>
      </c>
      <c r="D59" t="str">
        <f>UPPER(Table1[[#This Row],[ProductID_Clean]])</f>
        <v>P-SA-004</v>
      </c>
      <c r="E59" t="s">
        <v>86</v>
      </c>
      <c r="F59" t="s">
        <v>23</v>
      </c>
      <c r="G59" t="str">
        <f>TRIM(Table1[[#This Row],[Region_Clean]])</f>
        <v>N. AMERICA</v>
      </c>
      <c r="H59" t="s">
        <v>53</v>
      </c>
      <c r="I59" t="s">
        <v>25</v>
      </c>
      <c r="J59" s="3">
        <v>1</v>
      </c>
      <c r="K59" s="3">
        <v>1435.11</v>
      </c>
      <c r="L59">
        <v>1650</v>
      </c>
      <c r="M59">
        <v>1650</v>
      </c>
      <c r="N59">
        <v>214.89</v>
      </c>
      <c r="O59">
        <v>1435.11</v>
      </c>
      <c r="P59" t="s">
        <v>26</v>
      </c>
      <c r="Q59" t="s">
        <v>54</v>
      </c>
      <c r="R59" t="s">
        <v>28</v>
      </c>
      <c r="S59" t="str">
        <f>TRIM(PROPER(_xlfn.XLOOKUP(Table1[[#This Row],[ProductID_Clean]],Table3[ProductID],Table3[Category],"Missing Value",0)))</f>
        <v>Software</v>
      </c>
      <c r="T59" t="str">
        <f>_xlfn.XLOOKUP(Table1[[#This Row],[CustomerID_Check]],Table2[CustomerID],Table2[CustomerType],"Missing Value",0)</f>
        <v>Key Account</v>
      </c>
    </row>
    <row r="60" spans="1:20">
      <c r="A60" t="s">
        <v>179</v>
      </c>
      <c r="B60" s="1">
        <v>45820</v>
      </c>
      <c r="C60" t="s">
        <v>180</v>
      </c>
      <c r="D60" t="str">
        <f>UPPER(Table1[[#This Row],[ProductID_Clean]])</f>
        <v>P-SI-006</v>
      </c>
      <c r="E60" t="s">
        <v>43</v>
      </c>
      <c r="F60" t="s">
        <v>58</v>
      </c>
      <c r="G60" t="str">
        <f>TRIM(Table1[[#This Row],[Region_Clean]])</f>
        <v>APAC</v>
      </c>
      <c r="H60" t="s">
        <v>24</v>
      </c>
      <c r="I60" t="s">
        <v>25</v>
      </c>
      <c r="J60" s="3">
        <v>4</v>
      </c>
      <c r="K60" s="3">
        <v>186.82</v>
      </c>
      <c r="L60">
        <v>215</v>
      </c>
      <c r="M60">
        <v>860</v>
      </c>
      <c r="N60">
        <v>112.72</v>
      </c>
      <c r="O60">
        <v>747.28</v>
      </c>
      <c r="P60" t="s">
        <v>26</v>
      </c>
      <c r="Q60" t="s">
        <v>35</v>
      </c>
      <c r="R60" t="s">
        <v>36</v>
      </c>
      <c r="S60" t="str">
        <f>TRIM(PROPER(_xlfn.XLOOKUP(Table1[[#This Row],[ProductID_Clean]],Table3[ProductID],Table3[Category],"Missing Value",0)))</f>
        <v>Sensors</v>
      </c>
      <c r="T60" t="str">
        <f>_xlfn.XLOOKUP(Table1[[#This Row],[CustomerID_Check]],Table2[CustomerID],Table2[CustomerType],"Missing Value",0)</f>
        <v>Standard</v>
      </c>
    </row>
    <row r="61" spans="1:20">
      <c r="A61" t="s">
        <v>181</v>
      </c>
      <c r="B61" s="1">
        <v>45697</v>
      </c>
      <c r="C61" t="s">
        <v>182</v>
      </c>
      <c r="D61" t="str">
        <f>UPPER(Table1[[#This Row],[ProductID_Clean]])</f>
        <v>P-SA-001</v>
      </c>
      <c r="E61" t="s">
        <v>68</v>
      </c>
      <c r="F61" t="s">
        <v>47</v>
      </c>
      <c r="G61" t="str">
        <f>TRIM(Table1[[#This Row],[Region_Clean]])</f>
        <v>EMEA</v>
      </c>
      <c r="H61" t="s">
        <v>53</v>
      </c>
      <c r="I61" t="s">
        <v>34</v>
      </c>
      <c r="J61" s="3">
        <v>1</v>
      </c>
      <c r="K61" s="3">
        <v>3634.45</v>
      </c>
      <c r="L61">
        <v>4200</v>
      </c>
      <c r="M61">
        <v>4200</v>
      </c>
      <c r="N61">
        <v>565.54999999999995</v>
      </c>
      <c r="O61">
        <v>3634.45</v>
      </c>
      <c r="P61" t="s">
        <v>26</v>
      </c>
      <c r="Q61" t="s">
        <v>54</v>
      </c>
      <c r="R61" t="s">
        <v>44</v>
      </c>
      <c r="S61" t="str">
        <f>TRIM(PROPER(_xlfn.XLOOKUP(Table1[[#This Row],[ProductID_Clean]],Table3[ProductID],Table3[Category],"Missing Value",0)))</f>
        <v>Software</v>
      </c>
      <c r="T61" t="str">
        <f>_xlfn.XLOOKUP(Table1[[#This Row],[CustomerID_Check]],Table2[CustomerID],Table2[CustomerType],"Missing Value",0)</f>
        <v>Key Account</v>
      </c>
    </row>
    <row r="62" spans="1:20">
      <c r="A62" t="s">
        <v>183</v>
      </c>
      <c r="B62" s="1">
        <v>45703</v>
      </c>
      <c r="C62" t="s">
        <v>46</v>
      </c>
      <c r="D62" t="str">
        <f>UPPER(Table1[[#This Row],[ProductID_Clean]])</f>
        <v>P-SI-006</v>
      </c>
      <c r="E62" t="s">
        <v>43</v>
      </c>
      <c r="F62" t="s">
        <v>47</v>
      </c>
      <c r="G62" t="str">
        <f>TRIM(Table1[[#This Row],[Region_Clean]])</f>
        <v>EMEA</v>
      </c>
      <c r="H62" t="s">
        <v>24</v>
      </c>
      <c r="I62" t="s">
        <v>184</v>
      </c>
      <c r="J62" s="3">
        <v>3</v>
      </c>
      <c r="K62" s="3">
        <v>142.02000000000001</v>
      </c>
      <c r="L62">
        <v>215</v>
      </c>
      <c r="M62">
        <v>645</v>
      </c>
      <c r="N62">
        <v>218.94</v>
      </c>
      <c r="O62">
        <v>426.06</v>
      </c>
      <c r="P62" t="s">
        <v>26</v>
      </c>
      <c r="Q62" t="s">
        <v>65</v>
      </c>
      <c r="R62" t="s">
        <v>48</v>
      </c>
      <c r="S62" t="str">
        <f>TRIM(PROPER(_xlfn.XLOOKUP(Table1[[#This Row],[ProductID_Clean]],Table3[ProductID],Table3[Category],"Missing Value",0)))</f>
        <v>Sensors</v>
      </c>
      <c r="T62" t="str">
        <f>_xlfn.XLOOKUP(Table1[[#This Row],[CustomerID_Check]],Table2[CustomerID],Table2[CustomerType],"Missing Value",0)</f>
        <v>Strategic</v>
      </c>
    </row>
    <row r="63" spans="1:20">
      <c r="A63" t="s">
        <v>186</v>
      </c>
      <c r="B63" s="1">
        <v>45727</v>
      </c>
      <c r="C63" t="s">
        <v>85</v>
      </c>
      <c r="D63" t="str">
        <f>UPPER(Table1[[#This Row],[ProductID_Clean]])</f>
        <v>P-SI-001</v>
      </c>
      <c r="E63" t="s">
        <v>72</v>
      </c>
      <c r="F63" t="s">
        <v>47</v>
      </c>
      <c r="G63" t="str">
        <f>TRIM(Table1[[#This Row],[Region_Clean]])</f>
        <v>EMEA</v>
      </c>
      <c r="H63" t="s">
        <v>24</v>
      </c>
      <c r="I63" t="s">
        <v>25</v>
      </c>
      <c r="J63" s="3">
        <v>3</v>
      </c>
      <c r="K63" s="3">
        <v>449.65</v>
      </c>
      <c r="L63">
        <v>485</v>
      </c>
      <c r="M63">
        <v>1455</v>
      </c>
      <c r="N63">
        <v>106.05</v>
      </c>
      <c r="O63">
        <v>1348.95</v>
      </c>
      <c r="P63" t="s">
        <v>26</v>
      </c>
      <c r="Q63" t="s">
        <v>27</v>
      </c>
      <c r="R63" t="s">
        <v>28</v>
      </c>
      <c r="S63" t="str">
        <f>TRIM(PROPER(_xlfn.XLOOKUP(Table1[[#This Row],[ProductID_Clean]],Table3[ProductID],Table3[Category],"Missing Value",0)))</f>
        <v>Sensors</v>
      </c>
      <c r="T63" t="str">
        <f>_xlfn.XLOOKUP(Table1[[#This Row],[CustomerID_Check]],Table2[CustomerID],Table2[CustomerType],"Missing Value",0)</f>
        <v>Standard</v>
      </c>
    </row>
    <row r="64" spans="1:20">
      <c r="A64" t="s">
        <v>187</v>
      </c>
      <c r="B64" s="1">
        <v>45795</v>
      </c>
      <c r="C64" t="s">
        <v>188</v>
      </c>
      <c r="D64" t="str">
        <f>UPPER(Table1[[#This Row],[ProductID_Clean]])</f>
        <v>P-SA-001</v>
      </c>
      <c r="E64" t="s">
        <v>68</v>
      </c>
      <c r="F64" t="s">
        <v>58</v>
      </c>
      <c r="G64" t="str">
        <f>TRIM(Table1[[#This Row],[Region_Clean]])</f>
        <v>APAC</v>
      </c>
      <c r="H64" t="s">
        <v>53</v>
      </c>
      <c r="I64" t="s">
        <v>25</v>
      </c>
      <c r="J64" s="3">
        <v>1</v>
      </c>
      <c r="K64" s="3">
        <v>3712.82</v>
      </c>
      <c r="L64">
        <v>4200</v>
      </c>
      <c r="M64">
        <v>4200</v>
      </c>
      <c r="N64">
        <v>487.18</v>
      </c>
      <c r="O64">
        <v>3712.82</v>
      </c>
      <c r="P64" t="s">
        <v>26</v>
      </c>
      <c r="Q64" t="s">
        <v>189</v>
      </c>
      <c r="R64" t="s">
        <v>44</v>
      </c>
      <c r="S64" t="str">
        <f>TRIM(PROPER(_xlfn.XLOOKUP(Table1[[#This Row],[ProductID_Clean]],Table3[ProductID],Table3[Category],"Missing Value",0)))</f>
        <v>Software</v>
      </c>
      <c r="T64" t="str">
        <f>_xlfn.XLOOKUP(Table1[[#This Row],[CustomerID_Check]],Table2[CustomerID],Table2[CustomerType],"Missing Value",0)</f>
        <v>Key Account</v>
      </c>
    </row>
    <row r="65" spans="1:20">
      <c r="A65" t="s">
        <v>192</v>
      </c>
      <c r="B65" s="1">
        <v>45809</v>
      </c>
      <c r="C65" t="s">
        <v>163</v>
      </c>
      <c r="D65" t="str">
        <f>UPPER(Table1[[#This Row],[ProductID_Clean]])</f>
        <v>P-SA-001</v>
      </c>
      <c r="E65" t="s">
        <v>68</v>
      </c>
      <c r="F65" t="s">
        <v>23</v>
      </c>
      <c r="G65" t="str">
        <f>TRIM(Table1[[#This Row],[Region_Clean]])</f>
        <v>N. AMERICA</v>
      </c>
      <c r="H65" t="s">
        <v>53</v>
      </c>
      <c r="I65" t="s">
        <v>40</v>
      </c>
      <c r="J65" s="3">
        <v>5</v>
      </c>
      <c r="K65" s="3">
        <v>3007.23</v>
      </c>
      <c r="L65">
        <v>4200</v>
      </c>
      <c r="M65">
        <v>21000</v>
      </c>
      <c r="N65">
        <v>5963.85</v>
      </c>
      <c r="O65">
        <v>15036.15</v>
      </c>
      <c r="P65" t="s">
        <v>26</v>
      </c>
      <c r="Q65" t="s">
        <v>54</v>
      </c>
      <c r="R65" t="s">
        <v>28</v>
      </c>
      <c r="S65" t="str">
        <f>TRIM(PROPER(_xlfn.XLOOKUP(Table1[[#This Row],[ProductID_Clean]],Table3[ProductID],Table3[Category],"Missing Value",0)))</f>
        <v>Software</v>
      </c>
      <c r="T65" t="str">
        <f>_xlfn.XLOOKUP(Table1[[#This Row],[CustomerID_Check]],Table2[CustomerID],Table2[CustomerType],"Missing Value",0)</f>
        <v>Strategic</v>
      </c>
    </row>
    <row r="66" spans="1:20">
      <c r="A66" t="s">
        <v>193</v>
      </c>
      <c r="B66" s="1">
        <v>45740</v>
      </c>
      <c r="C66" t="s">
        <v>194</v>
      </c>
      <c r="D66" t="str">
        <f>UPPER(Table1[[#This Row],[ProductID_Clean]])</f>
        <v>P-FS-001</v>
      </c>
      <c r="E66" t="s">
        <v>133</v>
      </c>
      <c r="F66" t="s">
        <v>23</v>
      </c>
      <c r="G66" t="str">
        <f>TRIM(Table1[[#This Row],[Region_Clean]])</f>
        <v>N. AMERICA</v>
      </c>
      <c r="H66" t="s">
        <v>82</v>
      </c>
      <c r="I66" t="s">
        <v>25</v>
      </c>
      <c r="J66" s="3">
        <v>1</v>
      </c>
      <c r="K66" s="3">
        <v>1440.79</v>
      </c>
      <c r="L66">
        <v>1850</v>
      </c>
      <c r="M66">
        <v>1850</v>
      </c>
      <c r="N66">
        <v>409.21</v>
      </c>
      <c r="O66">
        <v>1440.79</v>
      </c>
      <c r="P66" t="s">
        <v>26</v>
      </c>
      <c r="Q66" t="s">
        <v>27</v>
      </c>
      <c r="R66" t="s">
        <v>36</v>
      </c>
      <c r="S66" t="str">
        <f>TRIM(PROPER(_xlfn.XLOOKUP(Table1[[#This Row],[ProductID_Clean]],Table3[ProductID],Table3[Category],"Missing Value",0)))</f>
        <v>Services</v>
      </c>
      <c r="T66" t="str">
        <f>_xlfn.XLOOKUP(Table1[[#This Row],[CustomerID_Check]],Table2[CustomerID],Table2[CustomerType],"Missing Value",0)</f>
        <v>Strategic</v>
      </c>
    </row>
    <row r="67" spans="1:20">
      <c r="A67" t="s">
        <v>195</v>
      </c>
      <c r="B67" s="1">
        <v>45680</v>
      </c>
      <c r="C67" t="s">
        <v>182</v>
      </c>
      <c r="D67" t="str">
        <f>UPPER(Table1[[#This Row],[ProductID_Clean]])</f>
        <v>P-SI-001</v>
      </c>
      <c r="E67" t="s">
        <v>72</v>
      </c>
      <c r="F67" t="s">
        <v>47</v>
      </c>
      <c r="G67" t="str">
        <f>TRIM(Table1[[#This Row],[Region_Clean]])</f>
        <v>EMEA</v>
      </c>
      <c r="H67" t="s">
        <v>24</v>
      </c>
      <c r="I67" t="s">
        <v>87</v>
      </c>
      <c r="J67" s="3">
        <v>4</v>
      </c>
      <c r="K67" s="3">
        <v>412.76</v>
      </c>
      <c r="L67">
        <v>485</v>
      </c>
      <c r="M67">
        <v>1940</v>
      </c>
      <c r="N67">
        <v>288.95999999999998</v>
      </c>
      <c r="O67">
        <v>1651.04</v>
      </c>
      <c r="P67" t="s">
        <v>26</v>
      </c>
      <c r="Q67" t="s">
        <v>65</v>
      </c>
      <c r="R67" t="s">
        <v>44</v>
      </c>
      <c r="S67" t="str">
        <f>TRIM(PROPER(_xlfn.XLOOKUP(Table1[[#This Row],[ProductID_Clean]],Table3[ProductID],Table3[Category],"Missing Value",0)))</f>
        <v>Sensors</v>
      </c>
      <c r="T67" t="str">
        <f>_xlfn.XLOOKUP(Table1[[#This Row],[CustomerID_Check]],Table2[CustomerID],Table2[CustomerType],"Missing Value",0)</f>
        <v>Key Account</v>
      </c>
    </row>
    <row r="68" spans="1:20">
      <c r="A68" t="s">
        <v>196</v>
      </c>
      <c r="B68" s="1">
        <v>45773</v>
      </c>
      <c r="C68" t="s">
        <v>197</v>
      </c>
      <c r="D68" t="str">
        <f>UPPER(Table1[[#This Row],[ProductID_Clean]])</f>
        <v>P-SI-001</v>
      </c>
      <c r="E68" t="s">
        <v>72</v>
      </c>
      <c r="F68" t="s">
        <v>198</v>
      </c>
      <c r="G68" t="str">
        <f>TRIM(Table1[[#This Row],[Region_Clean]])</f>
        <v>APAC</v>
      </c>
      <c r="H68" t="s">
        <v>24</v>
      </c>
      <c r="I68" t="s">
        <v>25</v>
      </c>
      <c r="J68" s="3">
        <v>4</v>
      </c>
      <c r="K68" s="3">
        <v>386.83</v>
      </c>
      <c r="L68">
        <v>485</v>
      </c>
      <c r="M68">
        <v>1940</v>
      </c>
      <c r="N68">
        <v>392.68</v>
      </c>
      <c r="O68">
        <v>1547.32</v>
      </c>
      <c r="P68" t="s">
        <v>26</v>
      </c>
      <c r="Q68" t="s">
        <v>35</v>
      </c>
      <c r="R68" t="s">
        <v>28</v>
      </c>
      <c r="S68" t="str">
        <f>TRIM(PROPER(_xlfn.XLOOKUP(Table1[[#This Row],[ProductID_Clean]],Table3[ProductID],Table3[Category],"Missing Value",0)))</f>
        <v>Sensors</v>
      </c>
      <c r="T68" t="str">
        <f>_xlfn.XLOOKUP(Table1[[#This Row],[CustomerID_Check]],Table2[CustomerID],Table2[CustomerType],"Missing Value",0)</f>
        <v>Strategic</v>
      </c>
    </row>
    <row r="69" spans="1:20">
      <c r="A69" t="s">
        <v>199</v>
      </c>
      <c r="B69" s="1">
        <v>45744</v>
      </c>
      <c r="C69" t="s">
        <v>200</v>
      </c>
      <c r="D69" t="str">
        <f>UPPER(Table1[[#This Row],[ProductID_Clean]])</f>
        <v>P-SI-001</v>
      </c>
      <c r="E69" t="s">
        <v>72</v>
      </c>
      <c r="F69" t="s">
        <v>47</v>
      </c>
      <c r="G69" t="str">
        <f>TRIM(Table1[[#This Row],[Region_Clean]])</f>
        <v>EMEA</v>
      </c>
      <c r="H69" t="s">
        <v>24</v>
      </c>
      <c r="I69" t="s">
        <v>25</v>
      </c>
      <c r="J69" s="3">
        <v>5</v>
      </c>
      <c r="K69" s="3">
        <v>425.42</v>
      </c>
      <c r="L69">
        <v>485</v>
      </c>
      <c r="M69">
        <v>2425</v>
      </c>
      <c r="N69">
        <v>297.89999999999998</v>
      </c>
      <c r="O69">
        <v>2127.1</v>
      </c>
      <c r="P69" t="s">
        <v>113</v>
      </c>
      <c r="Q69" t="s">
        <v>35</v>
      </c>
      <c r="R69" t="s">
        <v>36</v>
      </c>
      <c r="S69" t="str">
        <f>TRIM(PROPER(_xlfn.XLOOKUP(Table1[[#This Row],[ProductID_Clean]],Table3[ProductID],Table3[Category],"Missing Value",0)))</f>
        <v>Sensors</v>
      </c>
      <c r="T69" t="str">
        <f>_xlfn.XLOOKUP(Table1[[#This Row],[CustomerID_Check]],Table2[CustomerID],Table2[CustomerType],"Missing Value",0)</f>
        <v>Key Account</v>
      </c>
    </row>
    <row r="70" spans="1:20">
      <c r="A70" t="s">
        <v>201</v>
      </c>
      <c r="B70" s="1">
        <v>45704</v>
      </c>
      <c r="C70" t="s">
        <v>202</v>
      </c>
      <c r="D70" t="str">
        <f>UPPER(Table1[[#This Row],[ProductID_Clean]])</f>
        <v>P-SI-005</v>
      </c>
      <c r="E70" t="s">
        <v>57</v>
      </c>
      <c r="F70" t="s">
        <v>47</v>
      </c>
      <c r="G70" t="str">
        <f>TRIM(Table1[[#This Row],[Region_Clean]])</f>
        <v>EMEA</v>
      </c>
      <c r="H70" t="s">
        <v>24</v>
      </c>
      <c r="I70" t="s">
        <v>25</v>
      </c>
      <c r="J70" s="3">
        <v>1</v>
      </c>
      <c r="K70" s="3">
        <v>1036.23</v>
      </c>
      <c r="L70">
        <v>1120</v>
      </c>
      <c r="M70">
        <v>1120</v>
      </c>
      <c r="N70">
        <v>83.77</v>
      </c>
      <c r="O70">
        <v>1036.23</v>
      </c>
      <c r="P70" t="s">
        <v>26</v>
      </c>
      <c r="Q70" t="s">
        <v>35</v>
      </c>
      <c r="R70" t="s">
        <v>44</v>
      </c>
      <c r="S70" t="str">
        <f>TRIM(PROPER(_xlfn.XLOOKUP(Table1[[#This Row],[ProductID_Clean]],Table3[ProductID],Table3[Category],"Missing Value",0)))</f>
        <v>Sensors</v>
      </c>
      <c r="T70" t="str">
        <f>_xlfn.XLOOKUP(Table1[[#This Row],[CustomerID_Check]],Table2[CustomerID],Table2[CustomerType],"Missing Value",0)</f>
        <v>Standard</v>
      </c>
    </row>
    <row r="71" spans="1:20">
      <c r="A71" t="s">
        <v>203</v>
      </c>
      <c r="B71" s="1">
        <v>45712</v>
      </c>
      <c r="C71" t="s">
        <v>204</v>
      </c>
      <c r="D71" t="str">
        <f>UPPER(Table1[[#This Row],[ProductID_Clean]])</f>
        <v>P-SI-007</v>
      </c>
      <c r="E71" t="s">
        <v>97</v>
      </c>
      <c r="F71" t="s">
        <v>47</v>
      </c>
      <c r="G71" t="str">
        <f>TRIM(Table1[[#This Row],[Region_Clean]])</f>
        <v>EMEA</v>
      </c>
      <c r="H71" t="s">
        <v>24</v>
      </c>
      <c r="I71" t="s">
        <v>25</v>
      </c>
      <c r="J71" s="3">
        <v>8</v>
      </c>
      <c r="K71" s="3">
        <v>922.44</v>
      </c>
      <c r="L71">
        <v>980</v>
      </c>
      <c r="M71">
        <v>7840</v>
      </c>
      <c r="N71">
        <v>460.48</v>
      </c>
      <c r="O71">
        <v>7379.52</v>
      </c>
      <c r="P71" t="s">
        <v>26</v>
      </c>
      <c r="Q71" t="s">
        <v>35</v>
      </c>
      <c r="R71" t="s">
        <v>48</v>
      </c>
      <c r="S71" t="str">
        <f>TRIM(PROPER(_xlfn.XLOOKUP(Table1[[#This Row],[ProductID_Clean]],Table3[ProductID],Table3[Category],"Missing Value",0)))</f>
        <v>Sensors</v>
      </c>
      <c r="T71" t="str">
        <f>_xlfn.XLOOKUP(Table1[[#This Row],[CustomerID_Check]],Table2[CustomerID],Table2[CustomerType],"Missing Value",0)</f>
        <v>Standard</v>
      </c>
    </row>
    <row r="72" spans="1:20">
      <c r="A72" t="s">
        <v>205</v>
      </c>
      <c r="B72" s="1">
        <v>45724</v>
      </c>
      <c r="C72" t="s">
        <v>206</v>
      </c>
      <c r="D72" t="str">
        <f>UPPER(Table1[[#This Row],[ProductID_Clean]])</f>
        <v>P-SA-001</v>
      </c>
      <c r="E72" t="s">
        <v>68</v>
      </c>
      <c r="F72" t="s">
        <v>23</v>
      </c>
      <c r="G72" t="str">
        <f>TRIM(Table1[[#This Row],[Region_Clean]])</f>
        <v>N. AMERICA</v>
      </c>
      <c r="H72" t="s">
        <v>53</v>
      </c>
      <c r="I72" t="s">
        <v>25</v>
      </c>
      <c r="J72" s="3">
        <v>1</v>
      </c>
      <c r="K72" s="3">
        <v>3884.92</v>
      </c>
      <c r="L72">
        <v>4200</v>
      </c>
      <c r="M72">
        <v>4200</v>
      </c>
      <c r="N72">
        <v>315.08</v>
      </c>
      <c r="O72">
        <v>3884.92</v>
      </c>
      <c r="P72" t="s">
        <v>126</v>
      </c>
      <c r="Q72" t="s">
        <v>189</v>
      </c>
      <c r="R72" t="s">
        <v>48</v>
      </c>
      <c r="S72" t="str">
        <f>TRIM(PROPER(_xlfn.XLOOKUP(Table1[[#This Row],[ProductID_Clean]],Table3[ProductID],Table3[Category],"Missing Value",0)))</f>
        <v>Software</v>
      </c>
      <c r="T72" t="str">
        <f>_xlfn.XLOOKUP(Table1[[#This Row],[CustomerID_Check]],Table2[CustomerID],Table2[CustomerType],"Missing Value",0)</f>
        <v>Standard</v>
      </c>
    </row>
    <row r="73" spans="1:20">
      <c r="A73" t="s">
        <v>207</v>
      </c>
      <c r="B73" s="1">
        <v>45729</v>
      </c>
      <c r="C73" t="s">
        <v>208</v>
      </c>
      <c r="D73" t="str">
        <f>UPPER(Table1[[#This Row],[ProductID_Clean]])</f>
        <v>P-SA-002</v>
      </c>
      <c r="E73" t="s">
        <v>147</v>
      </c>
      <c r="F73" t="s">
        <v>47</v>
      </c>
      <c r="G73" t="str">
        <f>TRIM(Table1[[#This Row],[Region_Clean]])</f>
        <v>EMEA</v>
      </c>
      <c r="H73" t="s">
        <v>53</v>
      </c>
      <c r="I73" t="s">
        <v>25</v>
      </c>
      <c r="J73" s="3">
        <v>1</v>
      </c>
      <c r="K73" s="3">
        <v>9361.2900000000009</v>
      </c>
      <c r="L73">
        <v>9800</v>
      </c>
      <c r="M73">
        <v>9800</v>
      </c>
      <c r="N73">
        <v>438.71</v>
      </c>
      <c r="O73">
        <v>9361.2900000000009</v>
      </c>
      <c r="P73" t="s">
        <v>26</v>
      </c>
      <c r="Q73" t="s">
        <v>88</v>
      </c>
      <c r="R73" t="s">
        <v>36</v>
      </c>
      <c r="S73" t="str">
        <f>TRIM(PROPER(_xlfn.XLOOKUP(Table1[[#This Row],[ProductID_Clean]],Table3[ProductID],Table3[Category],"Missing Value",0)))</f>
        <v>Software</v>
      </c>
      <c r="T73" t="str">
        <f>_xlfn.XLOOKUP(Table1[[#This Row],[CustomerID_Check]],Table2[CustomerID],Table2[CustomerType],"Missing Value",0)</f>
        <v>Standard</v>
      </c>
    </row>
    <row r="74" spans="1:20">
      <c r="A74" t="s">
        <v>209</v>
      </c>
      <c r="B74" s="1">
        <v>45837</v>
      </c>
      <c r="C74" t="s">
        <v>182</v>
      </c>
      <c r="D74" t="str">
        <f>UPPER(Table1[[#This Row],[ProductID_Clean]])</f>
        <v>P-SA-004</v>
      </c>
      <c r="E74" t="s">
        <v>86</v>
      </c>
      <c r="F74" t="s">
        <v>47</v>
      </c>
      <c r="G74" t="str">
        <f>TRIM(Table1[[#This Row],[Region_Clean]])</f>
        <v>EMEA</v>
      </c>
      <c r="H74" t="s">
        <v>53</v>
      </c>
      <c r="I74" t="s">
        <v>25</v>
      </c>
      <c r="J74" s="3">
        <v>3</v>
      </c>
      <c r="K74" s="3">
        <v>1507.53</v>
      </c>
      <c r="L74">
        <v>1650</v>
      </c>
      <c r="M74">
        <v>4950</v>
      </c>
      <c r="N74">
        <v>427.41</v>
      </c>
      <c r="O74">
        <v>4522.59</v>
      </c>
      <c r="P74" t="s">
        <v>113</v>
      </c>
      <c r="Q74" t="s">
        <v>88</v>
      </c>
      <c r="R74" t="s">
        <v>44</v>
      </c>
      <c r="S74" t="str">
        <f>TRIM(PROPER(_xlfn.XLOOKUP(Table1[[#This Row],[ProductID_Clean]],Table3[ProductID],Table3[Category],"Missing Value",0)))</f>
        <v>Software</v>
      </c>
      <c r="T74" t="str">
        <f>_xlfn.XLOOKUP(Table1[[#This Row],[CustomerID_Check]],Table2[CustomerID],Table2[CustomerType],"Missing Value",0)</f>
        <v>Key Account</v>
      </c>
    </row>
    <row r="75" spans="1:20">
      <c r="A75" t="s">
        <v>210</v>
      </c>
      <c r="B75" s="1">
        <v>45660</v>
      </c>
      <c r="C75" t="s">
        <v>118</v>
      </c>
      <c r="D75" t="str">
        <f>UPPER(Table1[[#This Row],[ProductID_Clean]])</f>
        <v>P-FS-001</v>
      </c>
      <c r="E75" t="s">
        <v>133</v>
      </c>
      <c r="F75" t="s">
        <v>23</v>
      </c>
      <c r="G75" t="str">
        <f>TRIM(Table1[[#This Row],[Region_Clean]])</f>
        <v>N. AMERICA</v>
      </c>
      <c r="H75" t="s">
        <v>82</v>
      </c>
      <c r="I75" t="s">
        <v>25</v>
      </c>
      <c r="J75" s="3">
        <v>1</v>
      </c>
      <c r="K75" s="3">
        <v>1466.66</v>
      </c>
      <c r="L75">
        <v>1850</v>
      </c>
      <c r="M75">
        <v>1850</v>
      </c>
      <c r="N75">
        <v>383.34</v>
      </c>
      <c r="O75">
        <v>1466.66</v>
      </c>
      <c r="P75" t="s">
        <v>26</v>
      </c>
      <c r="Q75" t="s">
        <v>27</v>
      </c>
      <c r="R75" t="s">
        <v>59</v>
      </c>
      <c r="S75" t="str">
        <f>TRIM(PROPER(_xlfn.XLOOKUP(Table1[[#This Row],[ProductID_Clean]],Table3[ProductID],Table3[Category],"Missing Value",0)))</f>
        <v>Services</v>
      </c>
      <c r="T75" t="str">
        <f>_xlfn.XLOOKUP(Table1[[#This Row],[CustomerID_Check]],Table2[CustomerID],Table2[CustomerType],"Missing Value",0)</f>
        <v>Key Account</v>
      </c>
    </row>
    <row r="76" spans="1:20">
      <c r="A76" t="s">
        <v>211</v>
      </c>
      <c r="B76" s="1">
        <v>45706</v>
      </c>
      <c r="C76" t="s">
        <v>212</v>
      </c>
      <c r="D76" t="str">
        <f>UPPER(Table1[[#This Row],[ProductID_Clean]])</f>
        <v>P-SI-001</v>
      </c>
      <c r="E76" t="s">
        <v>72</v>
      </c>
      <c r="F76" t="s">
        <v>47</v>
      </c>
      <c r="G76" t="str">
        <f>TRIM(Table1[[#This Row],[Region_Clean]])</f>
        <v>EMEA</v>
      </c>
      <c r="H76" t="s">
        <v>24</v>
      </c>
      <c r="I76" t="s">
        <v>25</v>
      </c>
      <c r="J76" s="3">
        <v>2</v>
      </c>
      <c r="K76" s="3">
        <v>440.6</v>
      </c>
      <c r="L76">
        <v>485</v>
      </c>
      <c r="M76">
        <v>970</v>
      </c>
      <c r="N76">
        <v>88.8</v>
      </c>
      <c r="O76">
        <v>881.2</v>
      </c>
      <c r="P76" t="s">
        <v>26</v>
      </c>
      <c r="Q76" t="s">
        <v>65</v>
      </c>
      <c r="R76" t="s">
        <v>44</v>
      </c>
      <c r="S76" t="str">
        <f>TRIM(PROPER(_xlfn.XLOOKUP(Table1[[#This Row],[ProductID_Clean]],Table3[ProductID],Table3[Category],"Missing Value",0)))</f>
        <v>Sensors</v>
      </c>
      <c r="T76" t="str">
        <f>_xlfn.XLOOKUP(Table1[[#This Row],[CustomerID_Check]],Table2[CustomerID],Table2[CustomerType],"Missing Value",0)</f>
        <v>Key Account</v>
      </c>
    </row>
    <row r="77" spans="1:20">
      <c r="A77" t="s">
        <v>214</v>
      </c>
      <c r="B77" s="1">
        <v>45762</v>
      </c>
      <c r="C77" t="s">
        <v>215</v>
      </c>
      <c r="D77" t="str">
        <f>UPPER(Table1[[#This Row],[ProductID_Clean]])</f>
        <v>P-FS-003</v>
      </c>
      <c r="E77" t="s">
        <v>216</v>
      </c>
      <c r="F77" t="s">
        <v>47</v>
      </c>
      <c r="G77" t="str">
        <f>TRIM(Table1[[#This Row],[Region_Clean]])</f>
        <v>EMEA</v>
      </c>
      <c r="H77" t="s">
        <v>82</v>
      </c>
      <c r="I77" t="s">
        <v>25</v>
      </c>
      <c r="J77" s="3">
        <v>1</v>
      </c>
      <c r="K77" s="3">
        <v>3889.81</v>
      </c>
      <c r="L77">
        <v>4100</v>
      </c>
      <c r="M77">
        <v>4100</v>
      </c>
      <c r="N77">
        <v>210.19</v>
      </c>
      <c r="O77">
        <v>3889.81</v>
      </c>
      <c r="P77" t="s">
        <v>26</v>
      </c>
      <c r="Q77" t="s">
        <v>83</v>
      </c>
      <c r="R77" t="s">
        <v>36</v>
      </c>
      <c r="S77" t="str">
        <f>TRIM(PROPER(_xlfn.XLOOKUP(Table1[[#This Row],[ProductID_Clean]],Table3[ProductID],Table3[Category],"Missing Value",0)))</f>
        <v>Services</v>
      </c>
      <c r="T77" t="str">
        <f>_xlfn.XLOOKUP(Table1[[#This Row],[CustomerID_Check]],Table2[CustomerID],Table2[CustomerType],"Missing Value",0)</f>
        <v>Standard</v>
      </c>
    </row>
    <row r="78" spans="1:20">
      <c r="A78" t="s">
        <v>217</v>
      </c>
      <c r="B78" s="1">
        <v>45800</v>
      </c>
      <c r="C78" t="s">
        <v>218</v>
      </c>
      <c r="D78" t="str">
        <f>UPPER(Table1[[#This Row],[ProductID_Clean]])</f>
        <v>P-SI-004</v>
      </c>
      <c r="E78" t="s">
        <v>22</v>
      </c>
      <c r="F78" t="s">
        <v>23</v>
      </c>
      <c r="G78" t="str">
        <f>TRIM(Table1[[#This Row],[Region_Clean]])</f>
        <v>N. AMERICA</v>
      </c>
      <c r="H78" t="s">
        <v>24</v>
      </c>
      <c r="I78" t="s">
        <v>25</v>
      </c>
      <c r="J78" s="3">
        <v>1</v>
      </c>
      <c r="K78" s="3">
        <v>2389.5100000000002</v>
      </c>
      <c r="L78">
        <v>2450</v>
      </c>
      <c r="M78">
        <v>2450</v>
      </c>
      <c r="N78">
        <v>60.49</v>
      </c>
      <c r="O78">
        <v>2389.5100000000002</v>
      </c>
      <c r="P78" t="s">
        <v>26</v>
      </c>
      <c r="Q78" t="s">
        <v>35</v>
      </c>
      <c r="R78" t="s">
        <v>59</v>
      </c>
      <c r="S78" t="str">
        <f>TRIM(PROPER(_xlfn.XLOOKUP(Table1[[#This Row],[ProductID_Clean]],Table3[ProductID],Table3[Category],"Missing Value",0)))</f>
        <v>Instruments</v>
      </c>
      <c r="T78" t="str">
        <f>_xlfn.XLOOKUP(Table1[[#This Row],[CustomerID_Check]],Table2[CustomerID],Table2[CustomerType],"Missing Value",0)</f>
        <v>Standard</v>
      </c>
    </row>
    <row r="79" spans="1:20">
      <c r="A79" t="s">
        <v>219</v>
      </c>
      <c r="B79" s="1">
        <v>45834</v>
      </c>
      <c r="C79" t="s">
        <v>220</v>
      </c>
      <c r="D79" t="str">
        <f>UPPER(Table1[[#This Row],[ProductID_Clean]])</f>
        <v>P-SA-005</v>
      </c>
      <c r="E79" t="s">
        <v>62</v>
      </c>
      <c r="F79" t="s">
        <v>23</v>
      </c>
      <c r="G79" t="str">
        <f>TRIM(Table1[[#This Row],[Region_Clean]])</f>
        <v>N. AMERICA</v>
      </c>
      <c r="H79" t="s">
        <v>53</v>
      </c>
      <c r="I79" t="s">
        <v>34</v>
      </c>
      <c r="J79" s="3">
        <v>1</v>
      </c>
      <c r="K79" s="3">
        <v>2849.45</v>
      </c>
      <c r="L79">
        <v>3200</v>
      </c>
      <c r="M79">
        <v>3200</v>
      </c>
      <c r="N79">
        <v>350.55</v>
      </c>
      <c r="O79">
        <v>2849.45</v>
      </c>
      <c r="P79" t="s">
        <v>26</v>
      </c>
      <c r="Q79" t="s">
        <v>88</v>
      </c>
      <c r="R79" t="s">
        <v>59</v>
      </c>
      <c r="S79" t="str">
        <f>TRIM(PROPER(_xlfn.XLOOKUP(Table1[[#This Row],[ProductID_Clean]],Table3[ProductID],Table3[Category],"Missing Value",0)))</f>
        <v>Software / Integration</v>
      </c>
      <c r="T79" t="str">
        <f>_xlfn.XLOOKUP(Table1[[#This Row],[CustomerID_Check]],Table2[CustomerID],Table2[CustomerType],"Missing Value",0)</f>
        <v>Emerging</v>
      </c>
    </row>
    <row r="80" spans="1:20">
      <c r="A80" t="s">
        <v>221</v>
      </c>
      <c r="B80" s="1">
        <v>45783</v>
      </c>
      <c r="C80" t="s">
        <v>222</v>
      </c>
      <c r="D80" t="str">
        <f>UPPER(Table1[[#This Row],[ProductID_Clean]])</f>
        <v>P-SI-006</v>
      </c>
      <c r="E80" t="s">
        <v>43</v>
      </c>
      <c r="F80" t="s">
        <v>47</v>
      </c>
      <c r="G80" t="str">
        <f>TRIM(Table1[[#This Row],[Region_Clean]])</f>
        <v>EMEA</v>
      </c>
      <c r="H80" t="s">
        <v>24</v>
      </c>
      <c r="I80" t="s">
        <v>25</v>
      </c>
      <c r="J80" s="3">
        <v>1</v>
      </c>
      <c r="K80" s="3">
        <v>188.86</v>
      </c>
      <c r="L80">
        <v>215</v>
      </c>
      <c r="M80">
        <v>215</v>
      </c>
      <c r="N80">
        <v>26.14</v>
      </c>
      <c r="O80">
        <v>188.86</v>
      </c>
      <c r="P80" t="s">
        <v>26</v>
      </c>
      <c r="Q80" t="s">
        <v>65</v>
      </c>
      <c r="R80" t="s">
        <v>28</v>
      </c>
      <c r="S80" t="str">
        <f>TRIM(PROPER(_xlfn.XLOOKUP(Table1[[#This Row],[ProductID_Clean]],Table3[ProductID],Table3[Category],"Missing Value",0)))</f>
        <v>Sensors</v>
      </c>
      <c r="T80" t="str">
        <f>_xlfn.XLOOKUP(Table1[[#This Row],[CustomerID_Check]],Table2[CustomerID],Table2[CustomerType],"Missing Value",0)</f>
        <v>Standard</v>
      </c>
    </row>
    <row r="81" spans="1:20">
      <c r="A81" t="s">
        <v>223</v>
      </c>
      <c r="B81" s="1">
        <v>45662</v>
      </c>
      <c r="C81" t="s">
        <v>190</v>
      </c>
      <c r="D81" t="str">
        <f>UPPER(Table1[[#This Row],[ProductID_Clean]])</f>
        <v>P-SI-006</v>
      </c>
      <c r="E81" t="s">
        <v>43</v>
      </c>
      <c r="F81" t="s">
        <v>47</v>
      </c>
      <c r="G81" t="str">
        <f>TRIM(Table1[[#This Row],[Region_Clean]])</f>
        <v>EMEA</v>
      </c>
      <c r="H81" t="s">
        <v>24</v>
      </c>
      <c r="I81" t="s">
        <v>25</v>
      </c>
      <c r="J81" s="3">
        <v>2</v>
      </c>
      <c r="K81" s="3">
        <v>175.51</v>
      </c>
      <c r="L81">
        <v>215</v>
      </c>
      <c r="M81">
        <v>430</v>
      </c>
      <c r="N81">
        <v>78.98</v>
      </c>
      <c r="O81">
        <v>351.02</v>
      </c>
      <c r="P81" t="s">
        <v>26</v>
      </c>
      <c r="Q81" t="s">
        <v>35</v>
      </c>
      <c r="R81" t="s">
        <v>36</v>
      </c>
      <c r="S81" t="str">
        <f>TRIM(PROPER(_xlfn.XLOOKUP(Table1[[#This Row],[ProductID_Clean]],Table3[ProductID],Table3[Category],"Missing Value",0)))</f>
        <v>Sensors</v>
      </c>
      <c r="T81" t="str">
        <f>_xlfn.XLOOKUP(Table1[[#This Row],[CustomerID_Check]],Table2[CustomerID],Table2[CustomerType],"Missing Value",0)</f>
        <v>Strategic</v>
      </c>
    </row>
    <row r="82" spans="1:20">
      <c r="A82" t="s">
        <v>224</v>
      </c>
      <c r="B82" s="1">
        <v>45733</v>
      </c>
      <c r="C82" t="s">
        <v>225</v>
      </c>
      <c r="D82" t="str">
        <f>UPPER(Table1[[#This Row],[ProductID_Clean]])</f>
        <v>P-SI-002</v>
      </c>
      <c r="E82" t="s">
        <v>31</v>
      </c>
      <c r="F82" t="s">
        <v>23</v>
      </c>
      <c r="G82" t="str">
        <f>TRIM(Table1[[#This Row],[Region_Clean]])</f>
        <v>N. AMERICA</v>
      </c>
      <c r="H82" t="s">
        <v>24</v>
      </c>
      <c r="I82" t="s">
        <v>25</v>
      </c>
      <c r="J82" s="3">
        <v>1</v>
      </c>
      <c r="K82" s="3">
        <v>620.97</v>
      </c>
      <c r="L82">
        <v>725</v>
      </c>
      <c r="M82">
        <v>725</v>
      </c>
      <c r="N82">
        <v>104.03</v>
      </c>
      <c r="O82">
        <v>620.97</v>
      </c>
      <c r="P82" t="s">
        <v>26</v>
      </c>
      <c r="Q82" t="s">
        <v>65</v>
      </c>
      <c r="R82" t="s">
        <v>36</v>
      </c>
      <c r="S82" t="str">
        <f>TRIM(PROPER(_xlfn.XLOOKUP(Table1[[#This Row],[ProductID_Clean]],Table3[ProductID],Table3[Category],"Missing Value",0)))</f>
        <v>Sensors</v>
      </c>
      <c r="T82" t="str">
        <f>_xlfn.XLOOKUP(Table1[[#This Row],[CustomerID_Check]],Table2[CustomerID],Table2[CustomerType],"Missing Value",0)</f>
        <v>Key Account</v>
      </c>
    </row>
    <row r="83" spans="1:20">
      <c r="A83" t="s">
        <v>226</v>
      </c>
      <c r="B83" s="1">
        <v>45761</v>
      </c>
      <c r="C83" t="s">
        <v>227</v>
      </c>
      <c r="D83" t="str">
        <f>UPPER(Table1[[#This Row],[ProductID_Clean]])</f>
        <v>P-FS-006</v>
      </c>
      <c r="E83" t="s">
        <v>92</v>
      </c>
      <c r="F83" t="s">
        <v>23</v>
      </c>
      <c r="G83" t="str">
        <f>TRIM(Table1[[#This Row],[Region_Clean]])</f>
        <v>N. AMERICA</v>
      </c>
      <c r="H83" t="s">
        <v>82</v>
      </c>
      <c r="I83" t="s">
        <v>25</v>
      </c>
      <c r="J83" s="3">
        <v>1</v>
      </c>
      <c r="K83" s="3">
        <v>1422.22</v>
      </c>
      <c r="L83">
        <v>1450</v>
      </c>
      <c r="M83">
        <v>1450</v>
      </c>
      <c r="N83">
        <v>27.78</v>
      </c>
      <c r="O83">
        <v>1422.22</v>
      </c>
      <c r="P83" t="s">
        <v>26</v>
      </c>
      <c r="Q83" t="s">
        <v>35</v>
      </c>
      <c r="R83" t="s">
        <v>36</v>
      </c>
      <c r="S83" t="str">
        <f>TRIM(PROPER(_xlfn.XLOOKUP(Table1[[#This Row],[ProductID_Clean]],Table3[ProductID],Table3[Category],"Missing Value",0)))</f>
        <v>Services</v>
      </c>
      <c r="T83" t="str">
        <f>_xlfn.XLOOKUP(Table1[[#This Row],[CustomerID_Check]],Table2[CustomerID],Table2[CustomerType],"Missing Value",0)</f>
        <v>Standard</v>
      </c>
    </row>
    <row r="84" spans="1:20">
      <c r="A84" t="s">
        <v>228</v>
      </c>
      <c r="B84" s="1">
        <v>45720</v>
      </c>
      <c r="C84" t="s">
        <v>229</v>
      </c>
      <c r="D84" t="str">
        <f>UPPER(Table1[[#This Row],[ProductID_Clean]])</f>
        <v>P-SI-007</v>
      </c>
      <c r="E84" t="s">
        <v>97</v>
      </c>
      <c r="F84" t="s">
        <v>23</v>
      </c>
      <c r="G84" t="str">
        <f>TRIM(Table1[[#This Row],[Region_Clean]])</f>
        <v>N. AMERICA</v>
      </c>
      <c r="H84" t="s">
        <v>24</v>
      </c>
      <c r="I84" t="s">
        <v>87</v>
      </c>
      <c r="J84" s="3">
        <v>20</v>
      </c>
      <c r="K84" s="3">
        <v>850.37</v>
      </c>
      <c r="L84">
        <v>980</v>
      </c>
      <c r="M84">
        <v>19600</v>
      </c>
      <c r="N84">
        <v>2592.6</v>
      </c>
      <c r="O84">
        <v>17007.400000000001</v>
      </c>
      <c r="P84" t="s">
        <v>26</v>
      </c>
      <c r="Q84" t="s">
        <v>35</v>
      </c>
      <c r="R84" t="s">
        <v>48</v>
      </c>
      <c r="S84" t="str">
        <f>TRIM(PROPER(_xlfn.XLOOKUP(Table1[[#This Row],[ProductID_Clean]],Table3[ProductID],Table3[Category],"Missing Value",0)))</f>
        <v>Sensors</v>
      </c>
      <c r="T84" t="str">
        <f>_xlfn.XLOOKUP(Table1[[#This Row],[CustomerID_Check]],Table2[CustomerID],Table2[CustomerType],"Missing Value",0)</f>
        <v>Standard</v>
      </c>
    </row>
    <row r="85" spans="1:20">
      <c r="A85" t="s">
        <v>230</v>
      </c>
      <c r="B85" s="1">
        <v>45827</v>
      </c>
      <c r="C85" t="s">
        <v>76</v>
      </c>
      <c r="D85" t="str">
        <f>UPPER(Table1[[#This Row],[ProductID_Clean]])</f>
        <v>P-FS-002</v>
      </c>
      <c r="E85" t="s">
        <v>81</v>
      </c>
      <c r="F85" t="s">
        <v>47</v>
      </c>
      <c r="G85" t="str">
        <f>TRIM(Table1[[#This Row],[Region_Clean]])</f>
        <v>EMEA</v>
      </c>
      <c r="H85" t="s">
        <v>82</v>
      </c>
      <c r="I85" t="s">
        <v>25</v>
      </c>
      <c r="J85" s="3">
        <v>1</v>
      </c>
      <c r="K85" s="3">
        <v>2225.62</v>
      </c>
      <c r="L85">
        <v>2400</v>
      </c>
      <c r="M85">
        <v>2400</v>
      </c>
      <c r="N85">
        <v>174.38</v>
      </c>
      <c r="O85">
        <v>2225.62</v>
      </c>
      <c r="P85" t="s">
        <v>26</v>
      </c>
      <c r="Q85" t="s">
        <v>83</v>
      </c>
      <c r="R85" t="s">
        <v>36</v>
      </c>
      <c r="S85" t="str">
        <f>TRIM(PROPER(_xlfn.XLOOKUP(Table1[[#This Row],[ProductID_Clean]],Table3[ProductID],Table3[Category],"Missing Value",0)))</f>
        <v>Services</v>
      </c>
      <c r="T85" t="str">
        <f>_xlfn.XLOOKUP(Table1[[#This Row],[CustomerID_Check]],Table2[CustomerID],Table2[CustomerType],"Missing Value",0)</f>
        <v>Missing Value</v>
      </c>
    </row>
    <row r="86" spans="1:20">
      <c r="A86" t="s">
        <v>231</v>
      </c>
      <c r="B86" s="1">
        <v>45752</v>
      </c>
      <c r="C86" t="s">
        <v>132</v>
      </c>
      <c r="D86" t="str">
        <f>UPPER(Table1[[#This Row],[ProductID_Clean]])</f>
        <v>P-SI-001</v>
      </c>
      <c r="E86" t="s">
        <v>72</v>
      </c>
      <c r="F86" t="s">
        <v>102</v>
      </c>
      <c r="G86" t="str">
        <f>TRIM(Table1[[#This Row],[Region_Clean]])</f>
        <v>EMEA</v>
      </c>
      <c r="H86" t="s">
        <v>24</v>
      </c>
      <c r="I86" t="s">
        <v>25</v>
      </c>
      <c r="J86" s="3">
        <v>2</v>
      </c>
      <c r="K86" s="3">
        <v>433.2</v>
      </c>
      <c r="L86">
        <v>485</v>
      </c>
      <c r="M86">
        <v>970</v>
      </c>
      <c r="N86">
        <v>103.6</v>
      </c>
      <c r="O86">
        <v>866.4</v>
      </c>
      <c r="P86" t="s">
        <v>26</v>
      </c>
      <c r="Q86" t="s">
        <v>27</v>
      </c>
      <c r="R86" t="s">
        <v>48</v>
      </c>
      <c r="S86" t="str">
        <f>TRIM(PROPER(_xlfn.XLOOKUP(Table1[[#This Row],[ProductID_Clean]],Table3[ProductID],Table3[Category],"Missing Value",0)))</f>
        <v>Sensors</v>
      </c>
      <c r="T86" t="str">
        <f>_xlfn.XLOOKUP(Table1[[#This Row],[CustomerID_Check]],Table2[CustomerID],Table2[CustomerType],"Missing Value",0)</f>
        <v>Key Account</v>
      </c>
    </row>
    <row r="87" spans="1:20">
      <c r="A87" t="s">
        <v>232</v>
      </c>
      <c r="B87" s="1">
        <v>45799</v>
      </c>
      <c r="C87" t="s">
        <v>118</v>
      </c>
      <c r="D87" t="str">
        <f>UPPER(Table1[[#This Row],[ProductID_Clean]])</f>
        <v>P-SI-003</v>
      </c>
      <c r="E87" t="s">
        <v>39</v>
      </c>
      <c r="F87" t="s">
        <v>23</v>
      </c>
      <c r="G87" t="str">
        <f>TRIM(Table1[[#This Row],[Region_Clean]])</f>
        <v>N. AMERICA</v>
      </c>
      <c r="H87" t="s">
        <v>24</v>
      </c>
      <c r="I87" t="s">
        <v>34</v>
      </c>
      <c r="J87" s="3">
        <v>1</v>
      </c>
      <c r="K87" s="3">
        <v>1666.45</v>
      </c>
      <c r="L87">
        <v>1890</v>
      </c>
      <c r="M87">
        <v>1890</v>
      </c>
      <c r="N87">
        <v>223.55</v>
      </c>
      <c r="O87">
        <v>1666.45</v>
      </c>
      <c r="P87" t="s">
        <v>26</v>
      </c>
      <c r="Q87" t="s">
        <v>35</v>
      </c>
      <c r="R87" t="s">
        <v>59</v>
      </c>
      <c r="S87" t="str">
        <f>TRIM(PROPER(_xlfn.XLOOKUP(Table1[[#This Row],[ProductID_Clean]],Table3[ProductID],Table3[Category],"Missing Value",0)))</f>
        <v>Instruments</v>
      </c>
      <c r="T87" t="str">
        <f>_xlfn.XLOOKUP(Table1[[#This Row],[CustomerID_Check]],Table2[CustomerID],Table2[CustomerType],"Missing Value",0)</f>
        <v>Key Account</v>
      </c>
    </row>
    <row r="88" spans="1:20">
      <c r="A88" t="s">
        <v>233</v>
      </c>
      <c r="B88" s="1">
        <v>45746</v>
      </c>
      <c r="C88" t="s">
        <v>146</v>
      </c>
      <c r="D88" t="str">
        <f>UPPER(Table1[[#This Row],[ProductID_Clean]])</f>
        <v>P-SI-006</v>
      </c>
      <c r="E88" t="s">
        <v>43</v>
      </c>
      <c r="F88" t="s">
        <v>47</v>
      </c>
      <c r="G88" t="str">
        <f>TRIM(Table1[[#This Row],[Region_Clean]])</f>
        <v>EMEA</v>
      </c>
      <c r="H88" t="s">
        <v>24</v>
      </c>
      <c r="I88" t="s">
        <v>25</v>
      </c>
      <c r="J88" s="3">
        <v>8</v>
      </c>
      <c r="K88" s="3">
        <v>192.08</v>
      </c>
      <c r="L88">
        <v>215</v>
      </c>
      <c r="M88">
        <v>1720</v>
      </c>
      <c r="N88">
        <v>183.36</v>
      </c>
      <c r="O88">
        <v>1536.64</v>
      </c>
      <c r="P88" t="s">
        <v>26</v>
      </c>
      <c r="Q88" t="s">
        <v>27</v>
      </c>
      <c r="R88" t="s">
        <v>44</v>
      </c>
      <c r="S88" t="str">
        <f>TRIM(PROPER(_xlfn.XLOOKUP(Table1[[#This Row],[ProductID_Clean]],Table3[ProductID],Table3[Category],"Missing Value",0)))</f>
        <v>Sensors</v>
      </c>
      <c r="T88" t="str">
        <f>_xlfn.XLOOKUP(Table1[[#This Row],[CustomerID_Check]],Table2[CustomerID],Table2[CustomerType],"Missing Value",0)</f>
        <v>Key Account</v>
      </c>
    </row>
    <row r="89" spans="1:20">
      <c r="A89" t="s">
        <v>234</v>
      </c>
      <c r="B89" s="1">
        <v>45798</v>
      </c>
      <c r="C89" t="s">
        <v>235</v>
      </c>
      <c r="D89" t="str">
        <f>UPPER(Table1[[#This Row],[ProductID_Clean]])</f>
        <v>P-SI-006</v>
      </c>
      <c r="E89" t="s">
        <v>43</v>
      </c>
      <c r="F89" t="s">
        <v>47</v>
      </c>
      <c r="G89" t="str">
        <f>TRIM(Table1[[#This Row],[Region_Clean]])</f>
        <v>EMEA</v>
      </c>
      <c r="H89" t="s">
        <v>24</v>
      </c>
      <c r="I89" t="s">
        <v>40</v>
      </c>
      <c r="J89" s="3">
        <v>3</v>
      </c>
      <c r="K89" s="3">
        <v>153.37</v>
      </c>
      <c r="L89">
        <v>215</v>
      </c>
      <c r="M89">
        <v>645</v>
      </c>
      <c r="N89">
        <v>184.89</v>
      </c>
      <c r="O89">
        <v>460.11</v>
      </c>
      <c r="P89" t="s">
        <v>26</v>
      </c>
      <c r="Q89" t="s">
        <v>27</v>
      </c>
      <c r="R89" t="s">
        <v>44</v>
      </c>
      <c r="S89" t="str">
        <f>TRIM(PROPER(_xlfn.XLOOKUP(Table1[[#This Row],[ProductID_Clean]],Table3[ProductID],Table3[Category],"Missing Value",0)))</f>
        <v>Sensors</v>
      </c>
      <c r="T89" t="str">
        <f>_xlfn.XLOOKUP(Table1[[#This Row],[CustomerID_Check]],Table2[CustomerID],Table2[CustomerType],"Missing Value",0)</f>
        <v>Key Account</v>
      </c>
    </row>
    <row r="90" spans="1:20">
      <c r="A90" t="s">
        <v>236</v>
      </c>
      <c r="B90" s="1">
        <v>45748</v>
      </c>
      <c r="C90" t="s">
        <v>237</v>
      </c>
      <c r="D90" t="str">
        <f>UPPER(Table1[[#This Row],[ProductID_Clean]])</f>
        <v>P-FS-001</v>
      </c>
      <c r="E90" t="s">
        <v>133</v>
      </c>
      <c r="F90" t="s">
        <v>47</v>
      </c>
      <c r="G90" t="str">
        <f>TRIM(Table1[[#This Row],[Region_Clean]])</f>
        <v>EMEA</v>
      </c>
      <c r="H90" t="s">
        <v>82</v>
      </c>
      <c r="I90" t="s">
        <v>25</v>
      </c>
      <c r="J90" s="3">
        <v>1</v>
      </c>
      <c r="K90" s="3">
        <v>1480.53</v>
      </c>
      <c r="L90">
        <v>1850</v>
      </c>
      <c r="M90">
        <v>1850</v>
      </c>
      <c r="N90">
        <v>369.47</v>
      </c>
      <c r="O90">
        <v>1480.53</v>
      </c>
      <c r="P90" t="s">
        <v>26</v>
      </c>
      <c r="Q90" t="s">
        <v>65</v>
      </c>
      <c r="R90" t="s">
        <v>28</v>
      </c>
      <c r="S90" t="str">
        <f>TRIM(PROPER(_xlfn.XLOOKUP(Table1[[#This Row],[ProductID_Clean]],Table3[ProductID],Table3[Category],"Missing Value",0)))</f>
        <v>Services</v>
      </c>
      <c r="T90" t="str">
        <f>_xlfn.XLOOKUP(Table1[[#This Row],[CustomerID_Check]],Table2[CustomerID],Table2[CustomerType],"Missing Value",0)</f>
        <v>Standard</v>
      </c>
    </row>
    <row r="91" spans="1:20">
      <c r="A91" t="s">
        <v>238</v>
      </c>
      <c r="B91" s="1">
        <v>45774</v>
      </c>
      <c r="C91" t="s">
        <v>239</v>
      </c>
      <c r="D91" t="str">
        <f>UPPER(Table1[[#This Row],[ProductID_Clean]])</f>
        <v>P-SI-001</v>
      </c>
      <c r="E91" t="s">
        <v>72</v>
      </c>
      <c r="F91" t="s">
        <v>23</v>
      </c>
      <c r="G91" t="str">
        <f>TRIM(Table1[[#This Row],[Region_Clean]])</f>
        <v>N. AMERICA</v>
      </c>
      <c r="H91" t="s">
        <v>24</v>
      </c>
      <c r="I91" t="s">
        <v>87</v>
      </c>
      <c r="J91" s="3">
        <v>3</v>
      </c>
      <c r="K91" s="3">
        <v>397.21</v>
      </c>
      <c r="L91">
        <v>485</v>
      </c>
      <c r="M91">
        <v>1455</v>
      </c>
      <c r="N91">
        <v>263.37</v>
      </c>
      <c r="O91">
        <v>1191.6300000000001</v>
      </c>
      <c r="P91" t="s">
        <v>26</v>
      </c>
      <c r="Q91" t="s">
        <v>35</v>
      </c>
      <c r="R91" t="s">
        <v>44</v>
      </c>
      <c r="S91" t="str">
        <f>TRIM(PROPER(_xlfn.XLOOKUP(Table1[[#This Row],[ProductID_Clean]],Table3[ProductID],Table3[Category],"Missing Value",0)))</f>
        <v>Sensors</v>
      </c>
      <c r="T91" t="str">
        <f>_xlfn.XLOOKUP(Table1[[#This Row],[CustomerID_Check]],Table2[CustomerID],Table2[CustomerType],"Missing Value",0)</f>
        <v>Strategic</v>
      </c>
    </row>
    <row r="92" spans="1:20">
      <c r="A92" t="s">
        <v>240</v>
      </c>
      <c r="B92" s="1">
        <v>45717</v>
      </c>
      <c r="C92" t="s">
        <v>157</v>
      </c>
      <c r="D92" t="str">
        <f>UPPER(Table1[[#This Row],[ProductID_Clean]])</f>
        <v>P-SI-001</v>
      </c>
      <c r="E92" t="s">
        <v>72</v>
      </c>
      <c r="F92" t="s">
        <v>23</v>
      </c>
      <c r="G92" t="str">
        <f>TRIM(Table1[[#This Row],[Region_Clean]])</f>
        <v>N. AMERICA</v>
      </c>
      <c r="H92" t="s">
        <v>24</v>
      </c>
      <c r="I92" t="s">
        <v>34</v>
      </c>
      <c r="J92" s="3">
        <v>1</v>
      </c>
      <c r="K92" s="3">
        <v>430.04</v>
      </c>
      <c r="L92">
        <v>485</v>
      </c>
      <c r="M92">
        <v>485</v>
      </c>
      <c r="N92">
        <v>54.96</v>
      </c>
      <c r="O92">
        <v>430.04</v>
      </c>
      <c r="P92" t="s">
        <v>26</v>
      </c>
      <c r="Q92" t="s">
        <v>35</v>
      </c>
      <c r="R92" t="s">
        <v>36</v>
      </c>
      <c r="S92" t="str">
        <f>TRIM(PROPER(_xlfn.XLOOKUP(Table1[[#This Row],[ProductID_Clean]],Table3[ProductID],Table3[Category],"Missing Value",0)))</f>
        <v>Sensors</v>
      </c>
      <c r="T92" t="str">
        <f>_xlfn.XLOOKUP(Table1[[#This Row],[CustomerID_Check]],Table2[CustomerID],Table2[CustomerType],"Missing Value",0)</f>
        <v>Key Account</v>
      </c>
    </row>
    <row r="93" spans="1:20">
      <c r="A93" t="s">
        <v>241</v>
      </c>
      <c r="B93" s="1">
        <v>45707</v>
      </c>
      <c r="C93" t="s">
        <v>242</v>
      </c>
      <c r="D93" t="str">
        <f>UPPER(Table1[[#This Row],[ProductID_Clean]])</f>
        <v>P-SA-001</v>
      </c>
      <c r="E93" t="s">
        <v>68</v>
      </c>
      <c r="F93" t="s">
        <v>47</v>
      </c>
      <c r="G93" t="str">
        <f>TRIM(Table1[[#This Row],[Region_Clean]])</f>
        <v>EMEA</v>
      </c>
      <c r="H93" t="s">
        <v>53</v>
      </c>
      <c r="I93" t="s">
        <v>25</v>
      </c>
      <c r="J93" s="3">
        <v>1</v>
      </c>
      <c r="K93" s="3">
        <v>3984.26</v>
      </c>
      <c r="L93">
        <v>4200</v>
      </c>
      <c r="M93">
        <v>4200</v>
      </c>
      <c r="N93">
        <v>215.74</v>
      </c>
      <c r="O93">
        <v>3984.26</v>
      </c>
      <c r="P93" t="s">
        <v>26</v>
      </c>
      <c r="Q93" t="s">
        <v>88</v>
      </c>
      <c r="R93" t="s">
        <v>44</v>
      </c>
      <c r="S93" t="str">
        <f>TRIM(PROPER(_xlfn.XLOOKUP(Table1[[#This Row],[ProductID_Clean]],Table3[ProductID],Table3[Category],"Missing Value",0)))</f>
        <v>Software</v>
      </c>
      <c r="T93" t="str">
        <f>_xlfn.XLOOKUP(Table1[[#This Row],[CustomerID_Check]],Table2[CustomerID],Table2[CustomerType],"Missing Value",0)</f>
        <v>Standard</v>
      </c>
    </row>
    <row r="94" spans="1:20">
      <c r="A94" t="s">
        <v>243</v>
      </c>
      <c r="B94" s="1">
        <v>45688</v>
      </c>
      <c r="C94" t="s">
        <v>21</v>
      </c>
      <c r="D94" t="str">
        <f>UPPER(Table1[[#This Row],[ProductID_Clean]])</f>
        <v>P-SI-001</v>
      </c>
      <c r="E94" t="s">
        <v>72</v>
      </c>
      <c r="F94" t="s">
        <v>23</v>
      </c>
      <c r="G94" t="str">
        <f>TRIM(Table1[[#This Row],[Region_Clean]])</f>
        <v>N. AMERICA</v>
      </c>
      <c r="H94" t="s">
        <v>24</v>
      </c>
      <c r="I94" t="s">
        <v>87</v>
      </c>
      <c r="J94" s="3">
        <v>12</v>
      </c>
      <c r="K94" s="3">
        <v>403.9</v>
      </c>
      <c r="L94">
        <v>485</v>
      </c>
      <c r="M94">
        <v>5820</v>
      </c>
      <c r="N94">
        <v>973.2</v>
      </c>
      <c r="O94">
        <v>4846.8</v>
      </c>
      <c r="P94" t="s">
        <v>26</v>
      </c>
      <c r="Q94" t="s">
        <v>35</v>
      </c>
      <c r="R94" t="s">
        <v>28</v>
      </c>
      <c r="S94" t="str">
        <f>TRIM(PROPER(_xlfn.XLOOKUP(Table1[[#This Row],[ProductID_Clean]],Table3[ProductID],Table3[Category],"Missing Value",0)))</f>
        <v>Sensors</v>
      </c>
      <c r="T94" t="str">
        <f>_xlfn.XLOOKUP(Table1[[#This Row],[CustomerID_Check]],Table2[CustomerID],Table2[CustomerType],"Missing Value",0)</f>
        <v>Standard</v>
      </c>
    </row>
    <row r="95" spans="1:20">
      <c r="A95" t="s">
        <v>244</v>
      </c>
      <c r="B95" s="1">
        <v>45705</v>
      </c>
      <c r="C95" t="s">
        <v>239</v>
      </c>
      <c r="D95" t="str">
        <f>UPPER(Table1[[#This Row],[ProductID_Clean]])</f>
        <v>P-SA-004</v>
      </c>
      <c r="E95" t="s">
        <v>86</v>
      </c>
      <c r="F95" t="s">
        <v>23</v>
      </c>
      <c r="G95" t="str">
        <f>TRIM(Table1[[#This Row],[Region_Clean]])</f>
        <v>N. AMERICA</v>
      </c>
      <c r="H95" t="s">
        <v>53</v>
      </c>
      <c r="I95" t="s">
        <v>25</v>
      </c>
      <c r="J95" s="3">
        <v>1</v>
      </c>
      <c r="K95" s="3">
        <v>1421.65</v>
      </c>
      <c r="L95">
        <v>1650</v>
      </c>
      <c r="M95">
        <v>1650</v>
      </c>
      <c r="N95">
        <v>228.35</v>
      </c>
      <c r="O95">
        <v>1421.65</v>
      </c>
      <c r="P95" t="s">
        <v>26</v>
      </c>
      <c r="Q95" t="s">
        <v>88</v>
      </c>
      <c r="R95" t="s">
        <v>44</v>
      </c>
      <c r="S95" t="str">
        <f>TRIM(PROPER(_xlfn.XLOOKUP(Table1[[#This Row],[ProductID_Clean]],Table3[ProductID],Table3[Category],"Missing Value",0)))</f>
        <v>Software</v>
      </c>
      <c r="T95" t="str">
        <f>_xlfn.XLOOKUP(Table1[[#This Row],[CustomerID_Check]],Table2[CustomerID],Table2[CustomerType],"Missing Value",0)</f>
        <v>Strategic</v>
      </c>
    </row>
    <row r="96" spans="1:20">
      <c r="A96" t="s">
        <v>245</v>
      </c>
      <c r="B96" s="1">
        <v>45700</v>
      </c>
      <c r="C96" t="s">
        <v>125</v>
      </c>
      <c r="D96" t="str">
        <f>UPPER(Table1[[#This Row],[ProductID_Clean]])</f>
        <v>P-SA-003</v>
      </c>
      <c r="E96" t="s">
        <v>51</v>
      </c>
      <c r="F96" t="s">
        <v>58</v>
      </c>
      <c r="G96" t="str">
        <f>TRIM(Table1[[#This Row],[Region_Clean]])</f>
        <v>APAC</v>
      </c>
      <c r="H96" t="s">
        <v>53</v>
      </c>
      <c r="I96" t="s">
        <v>25</v>
      </c>
      <c r="J96" s="3">
        <v>1</v>
      </c>
      <c r="K96" s="3">
        <v>2365.64</v>
      </c>
      <c r="L96">
        <v>2750</v>
      </c>
      <c r="M96">
        <v>2750</v>
      </c>
      <c r="N96">
        <v>384.36000000000013</v>
      </c>
      <c r="O96">
        <v>2365.64</v>
      </c>
      <c r="P96" t="s">
        <v>26</v>
      </c>
      <c r="Q96" t="s">
        <v>54</v>
      </c>
      <c r="R96" t="s">
        <v>36</v>
      </c>
      <c r="S96" t="str">
        <f>TRIM(PROPER(_xlfn.XLOOKUP(Table1[[#This Row],[ProductID_Clean]],Table3[ProductID],Table3[Category],"Missing Value",0)))</f>
        <v>Software</v>
      </c>
      <c r="T96" t="str">
        <f>_xlfn.XLOOKUP(Table1[[#This Row],[CustomerID_Check]],Table2[CustomerID],Table2[CustomerType],"Missing Value",0)</f>
        <v>Strategic</v>
      </c>
    </row>
    <row r="97" spans="1:20">
      <c r="A97" t="s">
        <v>247</v>
      </c>
      <c r="B97" s="1">
        <v>45808</v>
      </c>
      <c r="C97" t="s">
        <v>248</v>
      </c>
      <c r="D97" t="str">
        <f>UPPER(Table1[[#This Row],[ProductID_Clean]])</f>
        <v>P-SI-004</v>
      </c>
      <c r="E97" t="s">
        <v>22</v>
      </c>
      <c r="F97" t="s">
        <v>32</v>
      </c>
      <c r="G97" t="str">
        <f>TRIM(Table1[[#This Row],[Region_Clean]])</f>
        <v>LATIN AMERICA</v>
      </c>
      <c r="H97" t="s">
        <v>24</v>
      </c>
      <c r="I97" t="s">
        <v>87</v>
      </c>
      <c r="J97" s="3">
        <v>5</v>
      </c>
      <c r="K97" s="3">
        <v>1792.89</v>
      </c>
      <c r="L97">
        <v>2450</v>
      </c>
      <c r="M97">
        <v>12250</v>
      </c>
      <c r="N97">
        <v>3285.55</v>
      </c>
      <c r="O97">
        <v>8964.4500000000007</v>
      </c>
      <c r="P97" t="s">
        <v>26</v>
      </c>
      <c r="Q97" t="s">
        <v>35</v>
      </c>
      <c r="R97" t="s">
        <v>44</v>
      </c>
      <c r="S97" t="str">
        <f>TRIM(PROPER(_xlfn.XLOOKUP(Table1[[#This Row],[ProductID_Clean]],Table3[ProductID],Table3[Category],"Missing Value",0)))</f>
        <v>Instruments</v>
      </c>
      <c r="T97" t="str">
        <f>_xlfn.XLOOKUP(Table1[[#This Row],[CustomerID_Check]],Table2[CustomerID],Table2[CustomerType],"Missing Value",0)</f>
        <v>Standard</v>
      </c>
    </row>
    <row r="98" spans="1:20">
      <c r="A98" t="s">
        <v>249</v>
      </c>
      <c r="B98" s="1">
        <v>45810</v>
      </c>
      <c r="C98" t="s">
        <v>250</v>
      </c>
      <c r="D98" t="str">
        <f>UPPER(Table1[[#This Row],[ProductID_Clean]])</f>
        <v>P-SA-004</v>
      </c>
      <c r="E98" t="s">
        <v>86</v>
      </c>
      <c r="F98" t="s">
        <v>23</v>
      </c>
      <c r="G98" t="str">
        <f>TRIM(Table1[[#This Row],[Region_Clean]])</f>
        <v>N. AMERICA</v>
      </c>
      <c r="H98" t="s">
        <v>53</v>
      </c>
      <c r="I98" t="s">
        <v>25</v>
      </c>
      <c r="J98" s="3">
        <v>1</v>
      </c>
      <c r="K98" s="3">
        <v>1658.11</v>
      </c>
      <c r="L98">
        <v>1650</v>
      </c>
      <c r="M98">
        <v>1650</v>
      </c>
      <c r="N98">
        <v>-8.11</v>
      </c>
      <c r="O98">
        <v>1658.11</v>
      </c>
      <c r="P98" t="s">
        <v>26</v>
      </c>
      <c r="Q98" t="s">
        <v>88</v>
      </c>
      <c r="R98" t="s">
        <v>36</v>
      </c>
      <c r="S98" t="str">
        <f>TRIM(PROPER(_xlfn.XLOOKUP(Table1[[#This Row],[ProductID_Clean]],Table3[ProductID],Table3[Category],"Missing Value",0)))</f>
        <v>Software</v>
      </c>
      <c r="T98" t="str">
        <f>_xlfn.XLOOKUP(Table1[[#This Row],[CustomerID_Check]],Table2[CustomerID],Table2[CustomerType],"Missing Value",0)</f>
        <v>Standard</v>
      </c>
    </row>
    <row r="99" spans="1:20">
      <c r="A99" t="s">
        <v>251</v>
      </c>
      <c r="B99" s="1">
        <v>45683</v>
      </c>
      <c r="C99" t="s">
        <v>252</v>
      </c>
      <c r="D99" t="str">
        <f>UPPER(Table1[[#This Row],[ProductID_Clean]])</f>
        <v>P-SI-002</v>
      </c>
      <c r="E99" t="s">
        <v>31</v>
      </c>
      <c r="F99" t="s">
        <v>23</v>
      </c>
      <c r="G99" t="str">
        <f>TRIM(Table1[[#This Row],[Region_Clean]])</f>
        <v>N. AMERICA</v>
      </c>
      <c r="H99" t="s">
        <v>24</v>
      </c>
      <c r="I99" t="s">
        <v>25</v>
      </c>
      <c r="J99" s="3">
        <v>5</v>
      </c>
      <c r="K99" s="3">
        <v>584.13</v>
      </c>
      <c r="L99">
        <v>725</v>
      </c>
      <c r="M99">
        <v>3625</v>
      </c>
      <c r="N99">
        <v>704.35</v>
      </c>
      <c r="O99">
        <v>2920.65</v>
      </c>
      <c r="P99" t="s">
        <v>26</v>
      </c>
      <c r="Q99" t="s">
        <v>27</v>
      </c>
      <c r="R99" t="s">
        <v>44</v>
      </c>
      <c r="S99" t="str">
        <f>TRIM(PROPER(_xlfn.XLOOKUP(Table1[[#This Row],[ProductID_Clean]],Table3[ProductID],Table3[Category],"Missing Value",0)))</f>
        <v>Sensors</v>
      </c>
      <c r="T99" t="str">
        <f>_xlfn.XLOOKUP(Table1[[#This Row],[CustomerID_Check]],Table2[CustomerID],Table2[CustomerType],"Missing Value",0)</f>
        <v>Strategic</v>
      </c>
    </row>
    <row r="100" spans="1:20">
      <c r="A100" t="s">
        <v>253</v>
      </c>
      <c r="B100" s="1">
        <v>45716</v>
      </c>
      <c r="C100" t="s">
        <v>146</v>
      </c>
      <c r="D100" t="str">
        <f>UPPER(Table1[[#This Row],[ProductID_Clean]])</f>
        <v>P-SI-008</v>
      </c>
      <c r="E100" t="s">
        <v>152</v>
      </c>
      <c r="F100" t="s">
        <v>47</v>
      </c>
      <c r="G100" t="str">
        <f>TRIM(Table1[[#This Row],[Region_Clean]])</f>
        <v>EMEA</v>
      </c>
      <c r="H100" t="s">
        <v>24</v>
      </c>
      <c r="I100" t="s">
        <v>87</v>
      </c>
      <c r="J100" s="3">
        <v>3</v>
      </c>
      <c r="K100" s="3">
        <v>792.58</v>
      </c>
      <c r="L100">
        <v>950</v>
      </c>
      <c r="M100">
        <v>2850</v>
      </c>
      <c r="N100">
        <v>472.26</v>
      </c>
      <c r="O100">
        <v>2377.7399999999998</v>
      </c>
      <c r="P100" t="s">
        <v>26</v>
      </c>
      <c r="Q100" t="s">
        <v>27</v>
      </c>
      <c r="R100" t="s">
        <v>44</v>
      </c>
      <c r="S100" t="str">
        <f>TRIM(PROPER(_xlfn.XLOOKUP(Table1[[#This Row],[ProductID_Clean]],Table3[ProductID],Table3[Category],"Missing Value",0)))</f>
        <v>Instruments</v>
      </c>
      <c r="T100" t="str">
        <f>_xlfn.XLOOKUP(Table1[[#This Row],[CustomerID_Check]],Table2[CustomerID],Table2[CustomerType],"Missing Value",0)</f>
        <v>Key Account</v>
      </c>
    </row>
    <row r="101" spans="1:20">
      <c r="A101" t="s">
        <v>254</v>
      </c>
      <c r="B101" s="1">
        <v>45661</v>
      </c>
      <c r="C101" t="s">
        <v>252</v>
      </c>
      <c r="D101" t="str">
        <f>UPPER(Table1[[#This Row],[ProductID_Clean]])</f>
        <v>P-SI-006</v>
      </c>
      <c r="E101" t="s">
        <v>43</v>
      </c>
      <c r="F101" t="s">
        <v>23</v>
      </c>
      <c r="G101" t="str">
        <f>TRIM(Table1[[#This Row],[Region_Clean]])</f>
        <v>N. AMERICA</v>
      </c>
      <c r="H101" t="s">
        <v>24</v>
      </c>
      <c r="I101" t="s">
        <v>87</v>
      </c>
      <c r="J101" s="3">
        <v>1</v>
      </c>
      <c r="K101" s="3">
        <v>156.13999999999999</v>
      </c>
      <c r="L101">
        <v>215</v>
      </c>
      <c r="M101">
        <v>215</v>
      </c>
      <c r="N101">
        <v>58.86</v>
      </c>
      <c r="O101">
        <v>156.13999999999999</v>
      </c>
      <c r="P101" t="s">
        <v>26</v>
      </c>
      <c r="Q101" t="s">
        <v>27</v>
      </c>
      <c r="R101" t="s">
        <v>44</v>
      </c>
      <c r="S101" t="str">
        <f>TRIM(PROPER(_xlfn.XLOOKUP(Table1[[#This Row],[ProductID_Clean]],Table3[ProductID],Table3[Category],"Missing Value",0)))</f>
        <v>Sensors</v>
      </c>
      <c r="T101" t="str">
        <f>_xlfn.XLOOKUP(Table1[[#This Row],[CustomerID_Check]],Table2[CustomerID],Table2[CustomerType],"Missing Value",0)</f>
        <v>Strategic</v>
      </c>
    </row>
    <row r="102" spans="1:20">
      <c r="A102" t="s">
        <v>255</v>
      </c>
      <c r="B102" s="1">
        <v>45794</v>
      </c>
      <c r="C102" t="s">
        <v>256</v>
      </c>
      <c r="D102" t="str">
        <f>UPPER(Table1[[#This Row],[ProductID_Clean]])</f>
        <v>P-SA-003</v>
      </c>
      <c r="E102" t="s">
        <v>51</v>
      </c>
      <c r="F102" t="s">
        <v>47</v>
      </c>
      <c r="G102" t="str">
        <f>TRIM(Table1[[#This Row],[Region_Clean]])</f>
        <v>EMEA</v>
      </c>
      <c r="H102" t="s">
        <v>53</v>
      </c>
      <c r="I102" t="s">
        <v>25</v>
      </c>
      <c r="J102" s="3">
        <v>1</v>
      </c>
      <c r="K102" s="3">
        <v>2485.5100000000002</v>
      </c>
      <c r="L102">
        <v>2750</v>
      </c>
      <c r="M102">
        <v>2750</v>
      </c>
      <c r="N102">
        <v>264.49</v>
      </c>
      <c r="O102">
        <v>2485.5100000000002</v>
      </c>
      <c r="P102" t="s">
        <v>26</v>
      </c>
      <c r="Q102" t="s">
        <v>189</v>
      </c>
      <c r="R102" t="s">
        <v>44</v>
      </c>
      <c r="S102" t="str">
        <f>TRIM(PROPER(_xlfn.XLOOKUP(Table1[[#This Row],[ProductID_Clean]],Table3[ProductID],Table3[Category],"Missing Value",0)))</f>
        <v>Software</v>
      </c>
      <c r="T102" t="str">
        <f>_xlfn.XLOOKUP(Table1[[#This Row],[CustomerID_Check]],Table2[CustomerID],Table2[CustomerType],"Missing Value",0)</f>
        <v>Strategic</v>
      </c>
    </row>
    <row r="103" spans="1:20">
      <c r="A103" t="s">
        <v>257</v>
      </c>
      <c r="B103" s="1">
        <v>45728</v>
      </c>
      <c r="C103" t="s">
        <v>178</v>
      </c>
      <c r="D103" t="str">
        <f>UPPER(Table1[[#This Row],[ProductID_Clean]])</f>
        <v>P-SI-001</v>
      </c>
      <c r="E103" t="s">
        <v>72</v>
      </c>
      <c r="F103" t="s">
        <v>23</v>
      </c>
      <c r="G103" t="str">
        <f>TRIM(Table1[[#This Row],[Region_Clean]])</f>
        <v>N. AMERICA</v>
      </c>
      <c r="H103" t="s">
        <v>24</v>
      </c>
      <c r="I103" t="s">
        <v>34</v>
      </c>
      <c r="J103" s="3">
        <v>5</v>
      </c>
      <c r="K103" s="3">
        <v>429.31</v>
      </c>
      <c r="L103">
        <v>485</v>
      </c>
      <c r="M103">
        <v>2425</v>
      </c>
      <c r="N103">
        <v>278.45</v>
      </c>
      <c r="O103">
        <v>2146.5500000000002</v>
      </c>
      <c r="P103" t="s">
        <v>26</v>
      </c>
      <c r="Q103" t="s">
        <v>35</v>
      </c>
      <c r="R103" t="s">
        <v>28</v>
      </c>
      <c r="S103" t="str">
        <f>TRIM(PROPER(_xlfn.XLOOKUP(Table1[[#This Row],[ProductID_Clean]],Table3[ProductID],Table3[Category],"Missing Value",0)))</f>
        <v>Sensors</v>
      </c>
      <c r="T103" t="str">
        <f>_xlfn.XLOOKUP(Table1[[#This Row],[CustomerID_Check]],Table2[CustomerID],Table2[CustomerType],"Missing Value",0)</f>
        <v>Key Account</v>
      </c>
    </row>
    <row r="104" spans="1:20">
      <c r="A104" t="s">
        <v>258</v>
      </c>
      <c r="B104" s="1">
        <v>45671</v>
      </c>
      <c r="C104" t="s">
        <v>259</v>
      </c>
      <c r="D104" t="str">
        <f>UPPER(Table1[[#This Row],[ProductID_Clean]])</f>
        <v>P-FS-006</v>
      </c>
      <c r="E104" t="s">
        <v>92</v>
      </c>
      <c r="F104" t="s">
        <v>23</v>
      </c>
      <c r="G104" t="str">
        <f>TRIM(Table1[[#This Row],[Region_Clean]])</f>
        <v>N. AMERICA</v>
      </c>
      <c r="H104" t="s">
        <v>82</v>
      </c>
      <c r="I104" t="s">
        <v>87</v>
      </c>
      <c r="J104" s="3">
        <v>1</v>
      </c>
      <c r="K104" s="3">
        <v>1240.1099999999999</v>
      </c>
      <c r="L104">
        <v>1450</v>
      </c>
      <c r="M104">
        <v>1450</v>
      </c>
      <c r="N104">
        <v>209.89</v>
      </c>
      <c r="O104">
        <v>1240.1099999999999</v>
      </c>
      <c r="P104" t="s">
        <v>26</v>
      </c>
      <c r="Q104" t="s">
        <v>35</v>
      </c>
      <c r="R104" t="s">
        <v>48</v>
      </c>
      <c r="S104" t="str">
        <f>TRIM(PROPER(_xlfn.XLOOKUP(Table1[[#This Row],[ProductID_Clean]],Table3[ProductID],Table3[Category],"Missing Value",0)))</f>
        <v>Services</v>
      </c>
      <c r="T104" t="str">
        <f>_xlfn.XLOOKUP(Table1[[#This Row],[CustomerID_Check]],Table2[CustomerID],Table2[CustomerType],"Missing Value",0)</f>
        <v>Standard</v>
      </c>
    </row>
    <row r="105" spans="1:20">
      <c r="A105" t="s">
        <v>260</v>
      </c>
      <c r="B105" s="1">
        <v>45732</v>
      </c>
      <c r="C105" t="s">
        <v>227</v>
      </c>
      <c r="D105" t="str">
        <f>UPPER(Table1[[#This Row],[ProductID_Clean]])</f>
        <v>P-SI-001</v>
      </c>
      <c r="E105" t="s">
        <v>72</v>
      </c>
      <c r="F105" t="s">
        <v>23</v>
      </c>
      <c r="G105" t="str">
        <f>TRIM(Table1[[#This Row],[Region_Clean]])</f>
        <v>N. AMERICA</v>
      </c>
      <c r="H105" t="s">
        <v>24</v>
      </c>
      <c r="I105" t="s">
        <v>87</v>
      </c>
      <c r="J105" s="3">
        <v>4</v>
      </c>
      <c r="K105" s="3">
        <v>445.37</v>
      </c>
      <c r="L105">
        <v>485</v>
      </c>
      <c r="M105">
        <v>1940</v>
      </c>
      <c r="N105">
        <v>158.52000000000001</v>
      </c>
      <c r="O105">
        <v>1781.48</v>
      </c>
      <c r="P105" t="s">
        <v>26</v>
      </c>
      <c r="Q105" t="s">
        <v>35</v>
      </c>
      <c r="R105" t="s">
        <v>36</v>
      </c>
      <c r="S105" t="str">
        <f>TRIM(PROPER(_xlfn.XLOOKUP(Table1[[#This Row],[ProductID_Clean]],Table3[ProductID],Table3[Category],"Missing Value",0)))</f>
        <v>Sensors</v>
      </c>
      <c r="T105" t="str">
        <f>_xlfn.XLOOKUP(Table1[[#This Row],[CustomerID_Check]],Table2[CustomerID],Table2[CustomerType],"Missing Value",0)</f>
        <v>Standard</v>
      </c>
    </row>
    <row r="106" spans="1:20">
      <c r="A106" t="s">
        <v>261</v>
      </c>
      <c r="B106" s="1">
        <v>45778</v>
      </c>
      <c r="C106" t="s">
        <v>262</v>
      </c>
      <c r="D106" t="str">
        <f>UPPER(Table1[[#This Row],[ProductID_Clean]])</f>
        <v>P-SA-001</v>
      </c>
      <c r="E106" t="s">
        <v>68</v>
      </c>
      <c r="F106" t="s">
        <v>23</v>
      </c>
      <c r="G106" t="str">
        <f>TRIM(Table1[[#This Row],[Region_Clean]])</f>
        <v>N. AMERICA</v>
      </c>
      <c r="H106" t="s">
        <v>53</v>
      </c>
      <c r="I106" t="s">
        <v>34</v>
      </c>
      <c r="J106" s="3">
        <v>1</v>
      </c>
      <c r="K106" s="3">
        <v>3369.81</v>
      </c>
      <c r="L106">
        <v>4200</v>
      </c>
      <c r="M106">
        <v>4200</v>
      </c>
      <c r="N106">
        <v>830.19</v>
      </c>
      <c r="O106">
        <v>3369.81</v>
      </c>
      <c r="P106" t="s">
        <v>26</v>
      </c>
      <c r="Q106" t="s">
        <v>54</v>
      </c>
      <c r="R106" t="s">
        <v>48</v>
      </c>
      <c r="S106" t="str">
        <f>TRIM(PROPER(_xlfn.XLOOKUP(Table1[[#This Row],[ProductID_Clean]],Table3[ProductID],Table3[Category],"Missing Value",0)))</f>
        <v>Software</v>
      </c>
      <c r="T106" t="str">
        <f>_xlfn.XLOOKUP(Table1[[#This Row],[CustomerID_Check]],Table2[CustomerID],Table2[CustomerType],"Missing Value",0)</f>
        <v>Key Account</v>
      </c>
    </row>
    <row r="107" spans="1:20">
      <c r="A107" t="s">
        <v>263</v>
      </c>
      <c r="B107" s="1">
        <v>45783</v>
      </c>
      <c r="C107" t="s">
        <v>264</v>
      </c>
      <c r="D107" t="str">
        <f>UPPER(Table1[[#This Row],[ProductID_Clean]])</f>
        <v>P-SI-001</v>
      </c>
      <c r="E107" t="s">
        <v>72</v>
      </c>
      <c r="F107" t="s">
        <v>23</v>
      </c>
      <c r="G107" t="str">
        <f>TRIM(Table1[[#This Row],[Region_Clean]])</f>
        <v>N. AMERICA</v>
      </c>
      <c r="H107" t="s">
        <v>24</v>
      </c>
      <c r="I107" t="s">
        <v>87</v>
      </c>
      <c r="J107" s="3">
        <v>2</v>
      </c>
      <c r="K107" s="3">
        <v>403.8</v>
      </c>
      <c r="L107">
        <v>485</v>
      </c>
      <c r="M107">
        <v>970</v>
      </c>
      <c r="N107">
        <v>162.4</v>
      </c>
      <c r="O107">
        <v>807.6</v>
      </c>
      <c r="P107" t="s">
        <v>26</v>
      </c>
      <c r="Q107" t="s">
        <v>35</v>
      </c>
      <c r="R107" t="s">
        <v>48</v>
      </c>
      <c r="S107" t="str">
        <f>TRIM(PROPER(_xlfn.XLOOKUP(Table1[[#This Row],[ProductID_Clean]],Table3[ProductID],Table3[Category],"Missing Value",0)))</f>
        <v>Sensors</v>
      </c>
      <c r="T107" t="str">
        <f>_xlfn.XLOOKUP(Table1[[#This Row],[CustomerID_Check]],Table2[CustomerID],Table2[CustomerType],"Missing Value",0)</f>
        <v>Standard</v>
      </c>
    </row>
    <row r="108" spans="1:20">
      <c r="A108" t="s">
        <v>265</v>
      </c>
      <c r="B108" s="1">
        <v>45661</v>
      </c>
      <c r="C108" t="s">
        <v>266</v>
      </c>
      <c r="D108" t="str">
        <f>UPPER(Table1[[#This Row],[ProductID_Clean]])</f>
        <v>P-SI-006</v>
      </c>
      <c r="E108" t="s">
        <v>43</v>
      </c>
      <c r="F108" t="s">
        <v>23</v>
      </c>
      <c r="G108" t="str">
        <f>TRIM(Table1[[#This Row],[Region_Clean]])</f>
        <v>N. AMERICA</v>
      </c>
      <c r="H108" t="s">
        <v>24</v>
      </c>
      <c r="I108" t="s">
        <v>87</v>
      </c>
      <c r="J108" s="3">
        <v>1</v>
      </c>
      <c r="K108" s="3">
        <v>150.41999999999999</v>
      </c>
      <c r="L108">
        <v>215</v>
      </c>
      <c r="M108">
        <v>215</v>
      </c>
      <c r="N108">
        <v>64.58</v>
      </c>
      <c r="O108">
        <v>150.41999999999999</v>
      </c>
      <c r="P108" t="s">
        <v>26</v>
      </c>
      <c r="Q108" t="s">
        <v>27</v>
      </c>
      <c r="R108" t="s">
        <v>44</v>
      </c>
      <c r="S108" t="str">
        <f>TRIM(PROPER(_xlfn.XLOOKUP(Table1[[#This Row],[ProductID_Clean]],Table3[ProductID],Table3[Category],"Missing Value",0)))</f>
        <v>Sensors</v>
      </c>
      <c r="T108" t="str">
        <f>_xlfn.XLOOKUP(Table1[[#This Row],[CustomerID_Check]],Table2[CustomerID],Table2[CustomerType],"Missing Value",0)</f>
        <v>Strategic</v>
      </c>
    </row>
    <row r="109" spans="1:20">
      <c r="A109" t="s">
        <v>267</v>
      </c>
      <c r="B109" s="1">
        <v>45730</v>
      </c>
      <c r="C109" t="s">
        <v>268</v>
      </c>
      <c r="D109" t="str">
        <f>UPPER(Table1[[#This Row],[ProductID_Clean]])</f>
        <v>P-SA-004</v>
      </c>
      <c r="E109" t="s">
        <v>86</v>
      </c>
      <c r="F109" t="s">
        <v>23</v>
      </c>
      <c r="G109" t="str">
        <f>TRIM(Table1[[#This Row],[Region_Clean]])</f>
        <v>N. AMERICA</v>
      </c>
      <c r="H109" t="s">
        <v>53</v>
      </c>
      <c r="I109" t="s">
        <v>87</v>
      </c>
      <c r="J109" s="3">
        <v>1</v>
      </c>
      <c r="K109" s="3">
        <v>1473.28</v>
      </c>
      <c r="L109">
        <v>1650</v>
      </c>
      <c r="M109">
        <v>1650</v>
      </c>
      <c r="N109">
        <v>176.72</v>
      </c>
      <c r="O109">
        <v>1473.28</v>
      </c>
      <c r="P109" t="s">
        <v>26</v>
      </c>
      <c r="Q109" t="s">
        <v>189</v>
      </c>
      <c r="R109" t="s">
        <v>48</v>
      </c>
      <c r="S109" t="str">
        <f>TRIM(PROPER(_xlfn.XLOOKUP(Table1[[#This Row],[ProductID_Clean]],Table3[ProductID],Table3[Category],"Missing Value",0)))</f>
        <v>Software</v>
      </c>
      <c r="T109" t="str">
        <f>_xlfn.XLOOKUP(Table1[[#This Row],[CustomerID_Check]],Table2[CustomerID],Table2[CustomerType],"Missing Value",0)</f>
        <v>Standard</v>
      </c>
    </row>
    <row r="110" spans="1:20">
      <c r="A110" t="s">
        <v>269</v>
      </c>
      <c r="B110" s="1">
        <v>45780</v>
      </c>
      <c r="C110" t="s">
        <v>89</v>
      </c>
      <c r="D110" t="str">
        <f>UPPER(Table1[[#This Row],[ProductID_Clean]])</f>
        <v>P-SI-005</v>
      </c>
      <c r="E110" t="s">
        <v>57</v>
      </c>
      <c r="F110" t="s">
        <v>58</v>
      </c>
      <c r="G110" t="str">
        <f>TRIM(Table1[[#This Row],[Region_Clean]])</f>
        <v>APAC</v>
      </c>
      <c r="H110" t="s">
        <v>24</v>
      </c>
      <c r="I110" t="s">
        <v>87</v>
      </c>
      <c r="J110" s="3">
        <v>1</v>
      </c>
      <c r="K110" s="3">
        <v>884.8</v>
      </c>
      <c r="L110">
        <v>1120</v>
      </c>
      <c r="M110">
        <v>1120</v>
      </c>
      <c r="N110">
        <v>235.2</v>
      </c>
      <c r="O110">
        <v>884.8</v>
      </c>
      <c r="P110" t="s">
        <v>26</v>
      </c>
      <c r="Q110" t="s">
        <v>65</v>
      </c>
      <c r="R110" t="s">
        <v>44</v>
      </c>
      <c r="S110" t="str">
        <f>TRIM(PROPER(_xlfn.XLOOKUP(Table1[[#This Row],[ProductID_Clean]],Table3[ProductID],Table3[Category],"Missing Value",0)))</f>
        <v>Sensors</v>
      </c>
      <c r="T110" t="str">
        <f>_xlfn.XLOOKUP(Table1[[#This Row],[CustomerID_Check]],Table2[CustomerID],Table2[CustomerType],"Missing Value",0)</f>
        <v>Strategic</v>
      </c>
    </row>
    <row r="111" spans="1:20">
      <c r="A111" t="s">
        <v>270</v>
      </c>
      <c r="B111" s="1">
        <v>45722</v>
      </c>
      <c r="C111" t="s">
        <v>250</v>
      </c>
      <c r="D111" t="str">
        <f>UPPER(Table1[[#This Row],[ProductID_Clean]])</f>
        <v>P-SI-007</v>
      </c>
      <c r="E111" t="s">
        <v>97</v>
      </c>
      <c r="F111" t="s">
        <v>23</v>
      </c>
      <c r="G111" t="str">
        <f>TRIM(Table1[[#This Row],[Region_Clean]])</f>
        <v>N. AMERICA</v>
      </c>
      <c r="H111" t="s">
        <v>24</v>
      </c>
      <c r="I111" t="s">
        <v>87</v>
      </c>
      <c r="J111" s="3">
        <v>2</v>
      </c>
      <c r="K111" s="3">
        <v>866.71</v>
      </c>
      <c r="L111">
        <v>980</v>
      </c>
      <c r="M111">
        <v>1960</v>
      </c>
      <c r="N111">
        <v>226.58</v>
      </c>
      <c r="O111">
        <v>1733.42</v>
      </c>
      <c r="P111" t="s">
        <v>26</v>
      </c>
      <c r="Q111" t="s">
        <v>35</v>
      </c>
      <c r="R111" t="s">
        <v>36</v>
      </c>
      <c r="S111" t="str">
        <f>TRIM(PROPER(_xlfn.XLOOKUP(Table1[[#This Row],[ProductID_Clean]],Table3[ProductID],Table3[Category],"Missing Value",0)))</f>
        <v>Sensors</v>
      </c>
      <c r="T111" t="str">
        <f>_xlfn.XLOOKUP(Table1[[#This Row],[CustomerID_Check]],Table2[CustomerID],Table2[CustomerType],"Missing Value",0)</f>
        <v>Standard</v>
      </c>
    </row>
    <row r="112" spans="1:20">
      <c r="A112" t="s">
        <v>271</v>
      </c>
      <c r="B112" s="1">
        <v>45687</v>
      </c>
      <c r="C112" t="s">
        <v>272</v>
      </c>
      <c r="D112" t="str">
        <f>UPPER(Table1[[#This Row],[ProductID_Clean]])</f>
        <v>P-FS-005</v>
      </c>
      <c r="E112" t="s">
        <v>101</v>
      </c>
      <c r="F112" t="s">
        <v>47</v>
      </c>
      <c r="G112" t="str">
        <f>TRIM(Table1[[#This Row],[Region_Clean]])</f>
        <v>EMEA</v>
      </c>
      <c r="H112" t="s">
        <v>82</v>
      </c>
      <c r="I112" t="s">
        <v>25</v>
      </c>
      <c r="J112" s="3">
        <v>1</v>
      </c>
      <c r="K112" s="3">
        <v>842.56</v>
      </c>
      <c r="L112">
        <v>950</v>
      </c>
      <c r="M112">
        <v>950</v>
      </c>
      <c r="N112">
        <v>107.44</v>
      </c>
      <c r="O112">
        <v>842.56</v>
      </c>
      <c r="P112" t="s">
        <v>26</v>
      </c>
      <c r="Q112" t="s">
        <v>65</v>
      </c>
      <c r="R112" t="s">
        <v>36</v>
      </c>
      <c r="S112" t="str">
        <f>TRIM(PROPER(_xlfn.XLOOKUP(Table1[[#This Row],[ProductID_Clean]],Table3[ProductID],Table3[Category],"Missing Value",0)))</f>
        <v>Services</v>
      </c>
      <c r="T112" t="str">
        <f>_xlfn.XLOOKUP(Table1[[#This Row],[CustomerID_Check]],Table2[CustomerID],Table2[CustomerType],"Missing Value",0)</f>
        <v>Key Account</v>
      </c>
    </row>
    <row r="113" spans="1:20">
      <c r="A113" t="s">
        <v>273</v>
      </c>
      <c r="B113" s="1">
        <v>45783</v>
      </c>
      <c r="C113" t="s">
        <v>274</v>
      </c>
      <c r="D113" t="str">
        <f>UPPER(Table1[[#This Row],[ProductID_Clean]])</f>
        <v>P-SA-003</v>
      </c>
      <c r="E113" t="s">
        <v>51</v>
      </c>
      <c r="F113" t="s">
        <v>32</v>
      </c>
      <c r="G113" t="str">
        <f>TRIM(Table1[[#This Row],[Region_Clean]])</f>
        <v>LATIN AMERICA</v>
      </c>
      <c r="H113" t="s">
        <v>53</v>
      </c>
      <c r="I113" t="s">
        <v>25</v>
      </c>
      <c r="J113" s="3">
        <v>1</v>
      </c>
      <c r="K113" s="3">
        <v>2398.09</v>
      </c>
      <c r="L113">
        <v>2750</v>
      </c>
      <c r="M113">
        <v>2750</v>
      </c>
      <c r="N113">
        <v>351.91</v>
      </c>
      <c r="O113">
        <v>2398.09</v>
      </c>
      <c r="P113" t="s">
        <v>113</v>
      </c>
      <c r="Q113" t="s">
        <v>54</v>
      </c>
      <c r="R113" t="s">
        <v>59</v>
      </c>
      <c r="S113" t="str">
        <f>TRIM(PROPER(_xlfn.XLOOKUP(Table1[[#This Row],[ProductID_Clean]],Table3[ProductID],Table3[Category],"Missing Value",0)))</f>
        <v>Software</v>
      </c>
      <c r="T113" t="str">
        <f>_xlfn.XLOOKUP(Table1[[#This Row],[CustomerID_Check]],Table2[CustomerID],Table2[CustomerType],"Missing Value",0)</f>
        <v>Emerging</v>
      </c>
    </row>
    <row r="114" spans="1:20">
      <c r="A114" t="s">
        <v>275</v>
      </c>
      <c r="B114" s="1">
        <v>45805</v>
      </c>
      <c r="C114" t="s">
        <v>276</v>
      </c>
      <c r="D114" t="str">
        <f>UPPER(Table1[[#This Row],[ProductID_Clean]])</f>
        <v>P-SI-007</v>
      </c>
      <c r="E114" t="s">
        <v>97</v>
      </c>
      <c r="F114" t="s">
        <v>58</v>
      </c>
      <c r="G114" t="str">
        <f>TRIM(Table1[[#This Row],[Region_Clean]])</f>
        <v>APAC</v>
      </c>
      <c r="H114" t="s">
        <v>24</v>
      </c>
      <c r="I114" t="s">
        <v>34</v>
      </c>
      <c r="J114" s="3">
        <v>2</v>
      </c>
      <c r="K114" s="3">
        <v>832.82</v>
      </c>
      <c r="L114">
        <v>980</v>
      </c>
      <c r="M114">
        <v>1960</v>
      </c>
      <c r="N114">
        <v>294.36</v>
      </c>
      <c r="O114">
        <v>1665.64</v>
      </c>
      <c r="P114" t="s">
        <v>126</v>
      </c>
      <c r="Q114" t="s">
        <v>35</v>
      </c>
      <c r="R114" t="s">
        <v>59</v>
      </c>
      <c r="S114" t="str">
        <f>TRIM(PROPER(_xlfn.XLOOKUP(Table1[[#This Row],[ProductID_Clean]],Table3[ProductID],Table3[Category],"Missing Value",0)))</f>
        <v>Sensors</v>
      </c>
      <c r="T114" t="str">
        <f>_xlfn.XLOOKUP(Table1[[#This Row],[CustomerID_Check]],Table2[CustomerID],Table2[CustomerType],"Missing Value",0)</f>
        <v>Key Account</v>
      </c>
    </row>
    <row r="115" spans="1:20">
      <c r="A115" t="s">
        <v>277</v>
      </c>
      <c r="B115" s="1">
        <v>45696</v>
      </c>
      <c r="C115" t="s">
        <v>100</v>
      </c>
      <c r="D115" t="str">
        <f>UPPER(Table1[[#This Row],[ProductID_Clean]])</f>
        <v>P-SI-006</v>
      </c>
      <c r="E115" t="s">
        <v>43</v>
      </c>
      <c r="F115" t="s">
        <v>47</v>
      </c>
      <c r="G115" t="str">
        <f>TRIM(Table1[[#This Row],[Region_Clean]])</f>
        <v>EMEA</v>
      </c>
      <c r="H115" t="s">
        <v>24</v>
      </c>
      <c r="I115" t="s">
        <v>34</v>
      </c>
      <c r="J115" s="3">
        <v>2</v>
      </c>
      <c r="K115" s="3">
        <v>150.61000000000001</v>
      </c>
      <c r="L115">
        <v>215</v>
      </c>
      <c r="M115">
        <v>430</v>
      </c>
      <c r="N115">
        <v>128.78</v>
      </c>
      <c r="O115">
        <v>301.22000000000003</v>
      </c>
      <c r="P115" t="s">
        <v>26</v>
      </c>
      <c r="Q115" t="s">
        <v>35</v>
      </c>
      <c r="R115" t="s">
        <v>36</v>
      </c>
      <c r="S115" t="str">
        <f>TRIM(PROPER(_xlfn.XLOOKUP(Table1[[#This Row],[ProductID_Clean]],Table3[ProductID],Table3[Category],"Missing Value",0)))</f>
        <v>Sensors</v>
      </c>
      <c r="T115" t="str">
        <f>_xlfn.XLOOKUP(Table1[[#This Row],[CustomerID_Check]],Table2[CustomerID],Table2[CustomerType],"Missing Value",0)</f>
        <v>Strategic</v>
      </c>
    </row>
    <row r="116" spans="1:20">
      <c r="A116" t="s">
        <v>278</v>
      </c>
      <c r="B116" s="1">
        <v>45802</v>
      </c>
      <c r="C116" t="s">
        <v>279</v>
      </c>
      <c r="D116" t="str">
        <f>UPPER(Table1[[#This Row],[ProductID_Clean]])</f>
        <v>P-SA-001</v>
      </c>
      <c r="E116" t="s">
        <v>68</v>
      </c>
      <c r="F116" t="s">
        <v>47</v>
      </c>
      <c r="G116" t="str">
        <f>TRIM(Table1[[#This Row],[Region_Clean]])</f>
        <v>EMEA</v>
      </c>
      <c r="H116" t="s">
        <v>53</v>
      </c>
      <c r="I116" t="s">
        <v>40</v>
      </c>
      <c r="J116" s="3">
        <v>1</v>
      </c>
      <c r="K116" s="3">
        <v>3898.77</v>
      </c>
      <c r="L116">
        <v>4200</v>
      </c>
      <c r="M116">
        <v>4200</v>
      </c>
      <c r="N116">
        <v>301.23</v>
      </c>
      <c r="O116">
        <v>3898.77</v>
      </c>
      <c r="P116" t="s">
        <v>113</v>
      </c>
      <c r="Q116" t="s">
        <v>54</v>
      </c>
      <c r="R116" t="s">
        <v>36</v>
      </c>
      <c r="S116" t="str">
        <f>TRIM(PROPER(_xlfn.XLOOKUP(Table1[[#This Row],[ProductID_Clean]],Table3[ProductID],Table3[Category],"Missing Value",0)))</f>
        <v>Software</v>
      </c>
      <c r="T116" t="str">
        <f>_xlfn.XLOOKUP(Table1[[#This Row],[CustomerID_Check]],Table2[CustomerID],Table2[CustomerType],"Missing Value",0)</f>
        <v>Key Account</v>
      </c>
    </row>
    <row r="117" spans="1:20">
      <c r="A117" t="s">
        <v>280</v>
      </c>
      <c r="B117" s="1">
        <v>45679</v>
      </c>
      <c r="C117" t="s">
        <v>256</v>
      </c>
      <c r="D117" t="str">
        <f>UPPER(Table1[[#This Row],[ProductID_Clean]])</f>
        <v>P-SI-007</v>
      </c>
      <c r="E117" t="s">
        <v>97</v>
      </c>
      <c r="F117" t="s">
        <v>47</v>
      </c>
      <c r="G117" t="str">
        <f>TRIM(Table1[[#This Row],[Region_Clean]])</f>
        <v>EMEA</v>
      </c>
      <c r="H117" t="s">
        <v>24</v>
      </c>
      <c r="I117" t="s">
        <v>87</v>
      </c>
      <c r="J117" s="3">
        <v>1</v>
      </c>
      <c r="K117" s="3">
        <v>736.02</v>
      </c>
      <c r="L117">
        <v>980</v>
      </c>
      <c r="M117">
        <v>980</v>
      </c>
      <c r="N117">
        <v>243.98</v>
      </c>
      <c r="O117">
        <v>736.02</v>
      </c>
      <c r="P117" t="s">
        <v>26</v>
      </c>
      <c r="Q117" t="s">
        <v>35</v>
      </c>
      <c r="R117" t="s">
        <v>44</v>
      </c>
      <c r="S117" t="str">
        <f>TRIM(PROPER(_xlfn.XLOOKUP(Table1[[#This Row],[ProductID_Clean]],Table3[ProductID],Table3[Category],"Missing Value",0)))</f>
        <v>Sensors</v>
      </c>
      <c r="T117" t="str">
        <f>_xlfn.XLOOKUP(Table1[[#This Row],[CustomerID_Check]],Table2[CustomerID],Table2[CustomerType],"Missing Value",0)</f>
        <v>Strategic</v>
      </c>
    </row>
    <row r="118" spans="1:20">
      <c r="A118" t="s">
        <v>281</v>
      </c>
      <c r="B118" s="1">
        <v>45688</v>
      </c>
      <c r="C118" t="s">
        <v>282</v>
      </c>
      <c r="D118" t="str">
        <f>UPPER(Table1[[#This Row],[ProductID_Clean]])</f>
        <v>P-SI-007</v>
      </c>
      <c r="E118" t="s">
        <v>97</v>
      </c>
      <c r="F118" t="s">
        <v>23</v>
      </c>
      <c r="G118" t="str">
        <f>TRIM(Table1[[#This Row],[Region_Clean]])</f>
        <v>N. AMERICA</v>
      </c>
      <c r="H118" t="s">
        <v>24</v>
      </c>
      <c r="I118" t="s">
        <v>87</v>
      </c>
      <c r="J118" s="3">
        <v>1</v>
      </c>
      <c r="K118" s="3">
        <v>675.93</v>
      </c>
      <c r="L118">
        <v>980</v>
      </c>
      <c r="M118">
        <v>980</v>
      </c>
      <c r="N118">
        <v>304.07</v>
      </c>
      <c r="O118">
        <v>675.93</v>
      </c>
      <c r="P118" t="s">
        <v>26</v>
      </c>
      <c r="Q118" t="s">
        <v>35</v>
      </c>
      <c r="R118" t="s">
        <v>59</v>
      </c>
      <c r="S118" t="str">
        <f>TRIM(PROPER(_xlfn.XLOOKUP(Table1[[#This Row],[ProductID_Clean]],Table3[ProductID],Table3[Category],"Missing Value",0)))</f>
        <v>Sensors</v>
      </c>
      <c r="T118" t="str">
        <f>_xlfn.XLOOKUP(Table1[[#This Row],[CustomerID_Check]],Table2[CustomerID],Table2[CustomerType],"Missing Value",0)</f>
        <v>Strategic</v>
      </c>
    </row>
    <row r="119" spans="1:20">
      <c r="A119" t="s">
        <v>283</v>
      </c>
      <c r="B119" s="1">
        <v>45816</v>
      </c>
      <c r="C119" t="s">
        <v>137</v>
      </c>
      <c r="D119" t="str">
        <f>UPPER(Table1[[#This Row],[ProductID_Clean]])</f>
        <v>P-SI-002</v>
      </c>
      <c r="E119" t="s">
        <v>31</v>
      </c>
      <c r="F119" t="s">
        <v>23</v>
      </c>
      <c r="G119" t="str">
        <f>TRIM(Table1[[#This Row],[Region_Clean]])</f>
        <v>N. AMERICA</v>
      </c>
      <c r="H119" t="s">
        <v>24</v>
      </c>
      <c r="I119" t="s">
        <v>25</v>
      </c>
      <c r="J119" s="3">
        <v>2</v>
      </c>
      <c r="K119" s="3">
        <v>583.22</v>
      </c>
      <c r="L119">
        <v>725</v>
      </c>
      <c r="M119">
        <v>1450</v>
      </c>
      <c r="N119">
        <v>283.56</v>
      </c>
      <c r="O119">
        <v>1166.44</v>
      </c>
      <c r="P119" t="s">
        <v>113</v>
      </c>
      <c r="Q119" t="s">
        <v>65</v>
      </c>
      <c r="R119" t="s">
        <v>28</v>
      </c>
      <c r="S119" t="str">
        <f>TRIM(PROPER(_xlfn.XLOOKUP(Table1[[#This Row],[ProductID_Clean]],Table3[ProductID],Table3[Category],"Missing Value",0)))</f>
        <v>Sensors</v>
      </c>
      <c r="T119" t="str">
        <f>_xlfn.XLOOKUP(Table1[[#This Row],[CustomerID_Check]],Table2[CustomerID],Table2[CustomerType],"Missing Value",0)</f>
        <v>Strategic</v>
      </c>
    </row>
    <row r="120" spans="1:20">
      <c r="A120" t="s">
        <v>284</v>
      </c>
      <c r="B120" s="1">
        <v>45791</v>
      </c>
      <c r="C120" t="s">
        <v>114</v>
      </c>
      <c r="D120" t="str">
        <f>UPPER(Table1[[#This Row],[ProductID_Clean]])</f>
        <v>P-SI-003</v>
      </c>
      <c r="E120" t="s">
        <v>39</v>
      </c>
      <c r="F120" t="s">
        <v>47</v>
      </c>
      <c r="G120" t="str">
        <f>TRIM(Table1[[#This Row],[Region_Clean]])</f>
        <v>EMEA</v>
      </c>
      <c r="H120" t="s">
        <v>24</v>
      </c>
      <c r="I120" t="s">
        <v>87</v>
      </c>
      <c r="J120" s="3">
        <v>3</v>
      </c>
      <c r="K120" s="3">
        <v>1614.4</v>
      </c>
      <c r="L120">
        <v>1890</v>
      </c>
      <c r="M120">
        <v>5670</v>
      </c>
      <c r="N120">
        <v>826.8</v>
      </c>
      <c r="O120">
        <v>4843.2</v>
      </c>
      <c r="P120" t="s">
        <v>113</v>
      </c>
      <c r="Q120" t="s">
        <v>35</v>
      </c>
      <c r="R120" t="s">
        <v>36</v>
      </c>
      <c r="S120" t="str">
        <f>TRIM(PROPER(_xlfn.XLOOKUP(Table1[[#This Row],[ProductID_Clean]],Table3[ProductID],Table3[Category],"Missing Value",0)))</f>
        <v>Instruments</v>
      </c>
      <c r="T120" t="str">
        <f>_xlfn.XLOOKUP(Table1[[#This Row],[CustomerID_Check]],Table2[CustomerID],Table2[CustomerType],"Missing Value",0)</f>
        <v>Standard</v>
      </c>
    </row>
    <row r="121" spans="1:20">
      <c r="A121" t="s">
        <v>285</v>
      </c>
      <c r="B121" s="1">
        <v>45808</v>
      </c>
      <c r="C121" t="s">
        <v>30</v>
      </c>
      <c r="D121" t="str">
        <f>UPPER(Table1[[#This Row],[ProductID_Clean]])</f>
        <v>P-SI-004</v>
      </c>
      <c r="E121" t="s">
        <v>22</v>
      </c>
      <c r="F121" t="s">
        <v>32</v>
      </c>
      <c r="G121" t="str">
        <f>TRIM(Table1[[#This Row],[Region_Clean]])</f>
        <v>LATIN AMERICA</v>
      </c>
      <c r="H121" t="s">
        <v>24</v>
      </c>
      <c r="I121" t="s">
        <v>87</v>
      </c>
      <c r="J121" s="3">
        <v>5</v>
      </c>
      <c r="K121" s="3">
        <v>1717.38</v>
      </c>
      <c r="L121">
        <v>2450</v>
      </c>
      <c r="M121">
        <v>12250</v>
      </c>
      <c r="N121">
        <v>3663.1</v>
      </c>
      <c r="O121">
        <v>8586.9</v>
      </c>
      <c r="P121" t="s">
        <v>26</v>
      </c>
      <c r="Q121" t="s">
        <v>35</v>
      </c>
      <c r="R121" t="s">
        <v>36</v>
      </c>
      <c r="S121" t="str">
        <f>TRIM(PROPER(_xlfn.XLOOKUP(Table1[[#This Row],[ProductID_Clean]],Table3[ProductID],Table3[Category],"Missing Value",0)))</f>
        <v>Instruments</v>
      </c>
      <c r="T121" t="str">
        <f>_xlfn.XLOOKUP(Table1[[#This Row],[CustomerID_Check]],Table2[CustomerID],Table2[CustomerType],"Missing Value",0)</f>
        <v>Strategic</v>
      </c>
    </row>
    <row r="122" spans="1:20">
      <c r="A122" t="s">
        <v>286</v>
      </c>
      <c r="B122" s="1">
        <v>45803</v>
      </c>
      <c r="C122" t="s">
        <v>227</v>
      </c>
      <c r="D122" t="str">
        <f>UPPER(Table1[[#This Row],[ProductID_Clean]])</f>
        <v>P-SA-004</v>
      </c>
      <c r="E122" t="s">
        <v>86</v>
      </c>
      <c r="F122" t="s">
        <v>23</v>
      </c>
      <c r="G122" t="str">
        <f>TRIM(Table1[[#This Row],[Region_Clean]])</f>
        <v>N. AMERICA</v>
      </c>
      <c r="H122" t="s">
        <v>53</v>
      </c>
      <c r="I122" t="s">
        <v>34</v>
      </c>
      <c r="J122" s="3">
        <v>1</v>
      </c>
      <c r="K122" s="3">
        <v>1509.65</v>
      </c>
      <c r="L122">
        <v>1650</v>
      </c>
      <c r="M122">
        <v>1650</v>
      </c>
      <c r="N122">
        <v>140.35</v>
      </c>
      <c r="O122">
        <v>1509.65</v>
      </c>
      <c r="P122" t="s">
        <v>26</v>
      </c>
      <c r="Q122" t="s">
        <v>54</v>
      </c>
      <c r="R122" t="s">
        <v>36</v>
      </c>
      <c r="S122" t="str">
        <f>TRIM(PROPER(_xlfn.XLOOKUP(Table1[[#This Row],[ProductID_Clean]],Table3[ProductID],Table3[Category],"Missing Value",0)))</f>
        <v>Software</v>
      </c>
      <c r="T122" t="str">
        <f>_xlfn.XLOOKUP(Table1[[#This Row],[CustomerID_Check]],Table2[CustomerID],Table2[CustomerType],"Missing Value",0)</f>
        <v>Standard</v>
      </c>
    </row>
    <row r="123" spans="1:20">
      <c r="A123" t="s">
        <v>287</v>
      </c>
      <c r="B123" s="1">
        <v>45683</v>
      </c>
      <c r="C123" t="s">
        <v>288</v>
      </c>
      <c r="D123" t="str">
        <f>UPPER(Table1[[#This Row],[ProductID_Clean]])</f>
        <v>P-FS-002</v>
      </c>
      <c r="E123" t="s">
        <v>81</v>
      </c>
      <c r="F123" t="s">
        <v>23</v>
      </c>
      <c r="G123" t="str">
        <f>TRIM(Table1[[#This Row],[Region_Clean]])</f>
        <v>N. AMERICA</v>
      </c>
      <c r="H123" t="s">
        <v>82</v>
      </c>
      <c r="I123" t="s">
        <v>25</v>
      </c>
      <c r="J123" s="3">
        <v>1</v>
      </c>
      <c r="K123" s="3">
        <v>2253.84</v>
      </c>
      <c r="L123">
        <v>2400</v>
      </c>
      <c r="M123">
        <v>2400</v>
      </c>
      <c r="N123">
        <v>146.16</v>
      </c>
      <c r="O123">
        <v>2253.84</v>
      </c>
      <c r="P123" t="s">
        <v>113</v>
      </c>
      <c r="Q123" t="s">
        <v>94</v>
      </c>
      <c r="R123" t="s">
        <v>59</v>
      </c>
      <c r="S123" t="str">
        <f>TRIM(PROPER(_xlfn.XLOOKUP(Table1[[#This Row],[ProductID_Clean]],Table3[ProductID],Table3[Category],"Missing Value",0)))</f>
        <v>Services</v>
      </c>
      <c r="T123" t="str">
        <f>_xlfn.XLOOKUP(Table1[[#This Row],[CustomerID_Check]],Table2[CustomerID],Table2[CustomerType],"Missing Value",0)</f>
        <v>Key Account</v>
      </c>
    </row>
    <row r="124" spans="1:20">
      <c r="A124" t="s">
        <v>289</v>
      </c>
      <c r="B124" s="1">
        <v>45818</v>
      </c>
      <c r="C124" t="s">
        <v>67</v>
      </c>
      <c r="D124" t="str">
        <f>UPPER(Table1[[#This Row],[ProductID_Clean]])</f>
        <v>P-SI-007</v>
      </c>
      <c r="E124" t="s">
        <v>97</v>
      </c>
      <c r="F124" t="s">
        <v>23</v>
      </c>
      <c r="G124" t="str">
        <f>TRIM(Table1[[#This Row],[Region_Clean]])</f>
        <v>N. AMERICA</v>
      </c>
      <c r="H124" t="s">
        <v>24</v>
      </c>
      <c r="I124" t="s">
        <v>34</v>
      </c>
      <c r="J124" s="3">
        <v>12</v>
      </c>
      <c r="K124" s="3">
        <v>796.22</v>
      </c>
      <c r="L124">
        <v>980</v>
      </c>
      <c r="M124">
        <v>11760</v>
      </c>
      <c r="N124">
        <v>2205.36</v>
      </c>
      <c r="O124">
        <v>9554.64</v>
      </c>
      <c r="P124" t="s">
        <v>113</v>
      </c>
      <c r="Q124" t="s">
        <v>35</v>
      </c>
      <c r="R124" t="s">
        <v>59</v>
      </c>
      <c r="S124" t="str">
        <f>TRIM(PROPER(_xlfn.XLOOKUP(Table1[[#This Row],[ProductID_Clean]],Table3[ProductID],Table3[Category],"Missing Value",0)))</f>
        <v>Sensors</v>
      </c>
      <c r="T124" t="str">
        <f>_xlfn.XLOOKUP(Table1[[#This Row],[CustomerID_Check]],Table2[CustomerID],Table2[CustomerType],"Missing Value",0)</f>
        <v>Strategic</v>
      </c>
    </row>
    <row r="125" spans="1:20">
      <c r="A125" t="s">
        <v>290</v>
      </c>
      <c r="B125" s="1">
        <v>45725</v>
      </c>
      <c r="C125" t="s">
        <v>125</v>
      </c>
      <c r="D125" t="str">
        <f>UPPER(Table1[[#This Row],[ProductID_Clean]])</f>
        <v>P-SI-002</v>
      </c>
      <c r="E125" t="s">
        <v>31</v>
      </c>
      <c r="F125" t="s">
        <v>58</v>
      </c>
      <c r="G125" t="str">
        <f>TRIM(Table1[[#This Row],[Region_Clean]])</f>
        <v>APAC</v>
      </c>
      <c r="H125" t="s">
        <v>24</v>
      </c>
      <c r="I125" t="s">
        <v>25</v>
      </c>
      <c r="J125" s="3">
        <v>1</v>
      </c>
      <c r="K125" s="3">
        <v>573.20000000000005</v>
      </c>
      <c r="L125">
        <v>725</v>
      </c>
      <c r="M125">
        <v>725</v>
      </c>
      <c r="N125">
        <v>151.80000000000001</v>
      </c>
      <c r="O125">
        <v>573.20000000000005</v>
      </c>
      <c r="P125" t="s">
        <v>26</v>
      </c>
      <c r="Q125" t="s">
        <v>35</v>
      </c>
      <c r="R125" t="s">
        <v>36</v>
      </c>
      <c r="S125" t="str">
        <f>TRIM(PROPER(_xlfn.XLOOKUP(Table1[[#This Row],[ProductID_Clean]],Table3[ProductID],Table3[Category],"Missing Value",0)))</f>
        <v>Sensors</v>
      </c>
      <c r="T125" t="str">
        <f>_xlfn.XLOOKUP(Table1[[#This Row],[CustomerID_Check]],Table2[CustomerID],Table2[CustomerType],"Missing Value",0)</f>
        <v>Strategic</v>
      </c>
    </row>
    <row r="126" spans="1:20">
      <c r="A126" t="s">
        <v>291</v>
      </c>
      <c r="B126" s="1">
        <v>45678</v>
      </c>
      <c r="C126" t="s">
        <v>292</v>
      </c>
      <c r="D126" t="str">
        <f>UPPER(Table1[[#This Row],[ProductID_Clean]])</f>
        <v>P-FS-001</v>
      </c>
      <c r="E126" t="s">
        <v>133</v>
      </c>
      <c r="F126" t="s">
        <v>47</v>
      </c>
      <c r="G126" t="str">
        <f>TRIM(Table1[[#This Row],[Region_Clean]])</f>
        <v>EMEA</v>
      </c>
      <c r="H126" t="s">
        <v>82</v>
      </c>
      <c r="I126" t="s">
        <v>87</v>
      </c>
      <c r="J126" s="3">
        <v>1</v>
      </c>
      <c r="K126" s="3">
        <v>1539.8</v>
      </c>
      <c r="L126">
        <v>1850</v>
      </c>
      <c r="M126">
        <v>1850</v>
      </c>
      <c r="N126">
        <v>310.2</v>
      </c>
      <c r="O126">
        <v>1539.8</v>
      </c>
      <c r="P126" t="s">
        <v>26</v>
      </c>
      <c r="Q126" t="s">
        <v>35</v>
      </c>
      <c r="R126" t="s">
        <v>36</v>
      </c>
      <c r="S126" t="str">
        <f>TRIM(PROPER(_xlfn.XLOOKUP(Table1[[#This Row],[ProductID_Clean]],Table3[ProductID],Table3[Category],"Missing Value",0)))</f>
        <v>Services</v>
      </c>
      <c r="T126" t="str">
        <f>_xlfn.XLOOKUP(Table1[[#This Row],[CustomerID_Check]],Table2[CustomerID],Table2[CustomerType],"Missing Value",0)</f>
        <v>Standard</v>
      </c>
    </row>
    <row r="127" spans="1:20">
      <c r="A127" t="s">
        <v>293</v>
      </c>
      <c r="B127" s="1">
        <v>45719</v>
      </c>
      <c r="C127" t="s">
        <v>108</v>
      </c>
      <c r="D127" t="str">
        <f>UPPER(Table1[[#This Row],[ProductID_Clean]])</f>
        <v>P-SA-005</v>
      </c>
      <c r="E127" t="s">
        <v>62</v>
      </c>
      <c r="F127" t="s">
        <v>32</v>
      </c>
      <c r="G127" t="str">
        <f>TRIM(Table1[[#This Row],[Region_Clean]])</f>
        <v>LATIN AMERICA</v>
      </c>
      <c r="H127" t="s">
        <v>53</v>
      </c>
      <c r="I127" t="s">
        <v>40</v>
      </c>
      <c r="J127" s="3">
        <v>1</v>
      </c>
      <c r="K127" s="3">
        <v>2698.8</v>
      </c>
      <c r="L127">
        <v>3200</v>
      </c>
      <c r="M127">
        <v>3200</v>
      </c>
      <c r="N127">
        <v>501.2</v>
      </c>
      <c r="O127">
        <v>2698.8</v>
      </c>
      <c r="P127" t="s">
        <v>26</v>
      </c>
      <c r="Q127" t="s">
        <v>54</v>
      </c>
      <c r="R127" t="s">
        <v>36</v>
      </c>
      <c r="S127" t="str">
        <f>TRIM(PROPER(_xlfn.XLOOKUP(Table1[[#This Row],[ProductID_Clean]],Table3[ProductID],Table3[Category],"Missing Value",0)))</f>
        <v>Software / Integration</v>
      </c>
      <c r="T127" t="str">
        <f>_xlfn.XLOOKUP(Table1[[#This Row],[CustomerID_Check]],Table2[CustomerID],Table2[CustomerType],"Missing Value",0)</f>
        <v>Standard</v>
      </c>
    </row>
    <row r="128" spans="1:20">
      <c r="A128" t="s">
        <v>294</v>
      </c>
      <c r="B128" s="1">
        <v>45799</v>
      </c>
      <c r="C128" t="s">
        <v>282</v>
      </c>
      <c r="D128" t="str">
        <f>UPPER(Table1[[#This Row],[ProductID_Clean]])</f>
        <v>P-SA-003</v>
      </c>
      <c r="E128" t="s">
        <v>51</v>
      </c>
      <c r="F128" t="s">
        <v>23</v>
      </c>
      <c r="G128" t="str">
        <f>TRIM(Table1[[#This Row],[Region_Clean]])</f>
        <v>N. AMERICA</v>
      </c>
      <c r="H128" t="s">
        <v>53</v>
      </c>
      <c r="I128" t="s">
        <v>98</v>
      </c>
      <c r="J128" s="3">
        <v>1</v>
      </c>
      <c r="K128" s="3">
        <v>2322.23</v>
      </c>
      <c r="L128">
        <v>2750</v>
      </c>
      <c r="M128">
        <v>2750</v>
      </c>
      <c r="N128">
        <v>427.77</v>
      </c>
      <c r="O128">
        <v>2322.23</v>
      </c>
      <c r="P128" t="s">
        <v>26</v>
      </c>
      <c r="Q128" t="s">
        <v>54</v>
      </c>
      <c r="R128" t="s">
        <v>59</v>
      </c>
      <c r="S128" t="str">
        <f>TRIM(PROPER(_xlfn.XLOOKUP(Table1[[#This Row],[ProductID_Clean]],Table3[ProductID],Table3[Category],"Missing Value",0)))</f>
        <v>Software</v>
      </c>
      <c r="T128" t="str">
        <f>_xlfn.XLOOKUP(Table1[[#This Row],[CustomerID_Check]],Table2[CustomerID],Table2[CustomerType],"Missing Value",0)</f>
        <v>Strategic</v>
      </c>
    </row>
    <row r="129" spans="1:20">
      <c r="A129" t="s">
        <v>295</v>
      </c>
      <c r="B129" s="1">
        <v>45698</v>
      </c>
      <c r="C129" t="s">
        <v>268</v>
      </c>
      <c r="D129" t="str">
        <f>UPPER(Table1[[#This Row],[ProductID_Clean]])</f>
        <v>P-SI-002</v>
      </c>
      <c r="E129" t="s">
        <v>31</v>
      </c>
      <c r="F129" t="s">
        <v>23</v>
      </c>
      <c r="G129" t="str">
        <f>TRIM(Table1[[#This Row],[Region_Clean]])</f>
        <v>N. AMERICA</v>
      </c>
      <c r="H129" t="s">
        <v>24</v>
      </c>
      <c r="I129" t="s">
        <v>184</v>
      </c>
      <c r="J129" s="3">
        <v>4</v>
      </c>
      <c r="K129" s="3">
        <v>657.69</v>
      </c>
      <c r="L129">
        <v>725</v>
      </c>
      <c r="M129">
        <v>2900</v>
      </c>
      <c r="N129">
        <v>269.24</v>
      </c>
      <c r="O129">
        <v>2630.76</v>
      </c>
      <c r="P129" t="s">
        <v>26</v>
      </c>
      <c r="Q129" t="s">
        <v>65</v>
      </c>
      <c r="R129" t="s">
        <v>48</v>
      </c>
      <c r="S129" t="str">
        <f>TRIM(PROPER(_xlfn.XLOOKUP(Table1[[#This Row],[ProductID_Clean]],Table3[ProductID],Table3[Category],"Missing Value",0)))</f>
        <v>Sensors</v>
      </c>
      <c r="T129" t="str">
        <f>_xlfn.XLOOKUP(Table1[[#This Row],[CustomerID_Check]],Table2[CustomerID],Table2[CustomerType],"Missing Value",0)</f>
        <v>Standard</v>
      </c>
    </row>
    <row r="130" spans="1:20">
      <c r="A130" t="s">
        <v>296</v>
      </c>
      <c r="B130" s="1">
        <v>45762</v>
      </c>
      <c r="C130" t="s">
        <v>297</v>
      </c>
      <c r="D130" t="str">
        <f>UPPER(Table1[[#This Row],[ProductID_Clean]])</f>
        <v>P-SI-004</v>
      </c>
      <c r="E130" t="s">
        <v>22</v>
      </c>
      <c r="F130" t="s">
        <v>23</v>
      </c>
      <c r="G130" t="str">
        <f>TRIM(Table1[[#This Row],[Region_Clean]])</f>
        <v>N. AMERICA</v>
      </c>
      <c r="H130" t="s">
        <v>24</v>
      </c>
      <c r="I130" t="s">
        <v>25</v>
      </c>
      <c r="J130" s="3">
        <v>4</v>
      </c>
      <c r="K130" s="3">
        <v>2140.63</v>
      </c>
      <c r="L130">
        <v>2450</v>
      </c>
      <c r="M130">
        <v>9800</v>
      </c>
      <c r="N130">
        <v>1237.48</v>
      </c>
      <c r="O130">
        <v>8562.52</v>
      </c>
      <c r="P130" t="s">
        <v>26</v>
      </c>
      <c r="Q130" t="s">
        <v>35</v>
      </c>
      <c r="R130" t="s">
        <v>36</v>
      </c>
      <c r="S130" t="str">
        <f>TRIM(PROPER(_xlfn.XLOOKUP(Table1[[#This Row],[ProductID_Clean]],Table3[ProductID],Table3[Category],"Missing Value",0)))</f>
        <v>Instruments</v>
      </c>
      <c r="T130" t="str">
        <f>_xlfn.XLOOKUP(Table1[[#This Row],[CustomerID_Check]],Table2[CustomerID],Table2[CustomerType],"Missing Value",0)</f>
        <v>Key Account</v>
      </c>
    </row>
    <row r="131" spans="1:20">
      <c r="A131" t="s">
        <v>298</v>
      </c>
      <c r="B131" s="1">
        <v>45834</v>
      </c>
      <c r="C131" t="s">
        <v>299</v>
      </c>
      <c r="D131" t="str">
        <f>UPPER(Table1[[#This Row],[ProductID_Clean]])</f>
        <v>P-SA-001</v>
      </c>
      <c r="E131" t="s">
        <v>68</v>
      </c>
      <c r="F131" t="s">
        <v>47</v>
      </c>
      <c r="G131" t="str">
        <f>TRIM(Table1[[#This Row],[Region_Clean]])</f>
        <v>EMEA</v>
      </c>
      <c r="H131" t="s">
        <v>53</v>
      </c>
      <c r="I131" t="s">
        <v>87</v>
      </c>
      <c r="J131" s="3">
        <v>3</v>
      </c>
      <c r="K131" s="3">
        <v>3488.34</v>
      </c>
      <c r="L131">
        <v>4200</v>
      </c>
      <c r="M131">
        <v>12600</v>
      </c>
      <c r="N131">
        <v>2134.98</v>
      </c>
      <c r="O131">
        <v>10465.02</v>
      </c>
      <c r="P131" t="s">
        <v>113</v>
      </c>
      <c r="Q131" t="s">
        <v>54</v>
      </c>
      <c r="R131" t="s">
        <v>36</v>
      </c>
      <c r="S131" t="str">
        <f>TRIM(PROPER(_xlfn.XLOOKUP(Table1[[#This Row],[ProductID_Clean]],Table3[ProductID],Table3[Category],"Missing Value",0)))</f>
        <v>Software</v>
      </c>
      <c r="T131" t="str">
        <f>_xlfn.XLOOKUP(Table1[[#This Row],[CustomerID_Check]],Table2[CustomerID],Table2[CustomerType],"Missing Value",0)</f>
        <v>Standard</v>
      </c>
    </row>
    <row r="132" spans="1:20">
      <c r="A132" t="s">
        <v>300</v>
      </c>
      <c r="B132" s="1">
        <v>45666</v>
      </c>
      <c r="C132" t="s">
        <v>172</v>
      </c>
      <c r="D132" t="str">
        <f>UPPER(Table1[[#This Row],[ProductID_Clean]])</f>
        <v>P-SI-008</v>
      </c>
      <c r="E132" t="s">
        <v>152</v>
      </c>
      <c r="F132" t="s">
        <v>23</v>
      </c>
      <c r="G132" t="str">
        <f>TRIM(Table1[[#This Row],[Region_Clean]])</f>
        <v>N. AMERICA</v>
      </c>
      <c r="H132" t="s">
        <v>24</v>
      </c>
      <c r="I132" t="s">
        <v>25</v>
      </c>
      <c r="J132" s="3">
        <v>1</v>
      </c>
      <c r="K132" s="3">
        <v>872.57</v>
      </c>
      <c r="L132">
        <v>950</v>
      </c>
      <c r="M132">
        <v>950</v>
      </c>
      <c r="N132">
        <v>77.430000000000007</v>
      </c>
      <c r="O132">
        <v>872.57</v>
      </c>
      <c r="P132" t="s">
        <v>26</v>
      </c>
      <c r="Q132" t="s">
        <v>35</v>
      </c>
      <c r="R132" t="s">
        <v>36</v>
      </c>
      <c r="S132" t="str">
        <f>TRIM(PROPER(_xlfn.XLOOKUP(Table1[[#This Row],[ProductID_Clean]],Table3[ProductID],Table3[Category],"Missing Value",0)))</f>
        <v>Instruments</v>
      </c>
      <c r="T132" t="str">
        <f>_xlfn.XLOOKUP(Table1[[#This Row],[CustomerID_Check]],Table2[CustomerID],Table2[CustomerType],"Missing Value",0)</f>
        <v>Key Account</v>
      </c>
    </row>
    <row r="133" spans="1:20">
      <c r="A133" t="s">
        <v>301</v>
      </c>
      <c r="B133" s="1">
        <v>45731</v>
      </c>
      <c r="C133" t="s">
        <v>176</v>
      </c>
      <c r="D133" t="str">
        <f>UPPER(Table1[[#This Row],[ProductID_Clean]])</f>
        <v>P-SI-002</v>
      </c>
      <c r="E133" t="s">
        <v>31</v>
      </c>
      <c r="F133" t="s">
        <v>58</v>
      </c>
      <c r="G133" t="str">
        <f>TRIM(Table1[[#This Row],[Region_Clean]])</f>
        <v>APAC</v>
      </c>
      <c r="H133" t="s">
        <v>24</v>
      </c>
      <c r="I133" t="s">
        <v>87</v>
      </c>
      <c r="J133" s="3">
        <v>2</v>
      </c>
      <c r="K133" s="3">
        <v>591.79</v>
      </c>
      <c r="L133">
        <v>725</v>
      </c>
      <c r="M133">
        <v>1450</v>
      </c>
      <c r="N133">
        <v>266.42</v>
      </c>
      <c r="O133">
        <v>1183.58</v>
      </c>
      <c r="P133" t="s">
        <v>113</v>
      </c>
      <c r="Q133" t="s">
        <v>35</v>
      </c>
      <c r="R133" t="s">
        <v>28</v>
      </c>
      <c r="S133" t="str">
        <f>TRIM(PROPER(_xlfn.XLOOKUP(Table1[[#This Row],[ProductID_Clean]],Table3[ProductID],Table3[Category],"Missing Value",0)))</f>
        <v>Sensors</v>
      </c>
      <c r="T133" t="str">
        <f>_xlfn.XLOOKUP(Table1[[#This Row],[CustomerID_Check]],Table2[CustomerID],Table2[CustomerType],"Missing Value",0)</f>
        <v>Emerging</v>
      </c>
    </row>
    <row r="134" spans="1:20">
      <c r="A134" t="s">
        <v>302</v>
      </c>
      <c r="B134" s="1">
        <v>45730</v>
      </c>
      <c r="C134" t="s">
        <v>303</v>
      </c>
      <c r="D134" t="str">
        <f>UPPER(Table1[[#This Row],[ProductID_Clean]])</f>
        <v>P-SA-005</v>
      </c>
      <c r="E134" t="s">
        <v>62</v>
      </c>
      <c r="F134" t="s">
        <v>23</v>
      </c>
      <c r="G134" t="str">
        <f>TRIM(Table1[[#This Row],[Region_Clean]])</f>
        <v>N. AMERICA</v>
      </c>
      <c r="H134" t="s">
        <v>53</v>
      </c>
      <c r="I134" t="s">
        <v>87</v>
      </c>
      <c r="J134" s="3">
        <v>1</v>
      </c>
      <c r="K134" s="3">
        <v>2761.16</v>
      </c>
      <c r="L134">
        <v>3200</v>
      </c>
      <c r="M134">
        <v>3200</v>
      </c>
      <c r="N134">
        <v>438.84</v>
      </c>
      <c r="O134">
        <v>2761.16</v>
      </c>
      <c r="P134" t="s">
        <v>113</v>
      </c>
      <c r="Q134" t="s">
        <v>54</v>
      </c>
      <c r="R134" t="s">
        <v>59</v>
      </c>
      <c r="S134" t="str">
        <f>TRIM(PROPER(_xlfn.XLOOKUP(Table1[[#This Row],[ProductID_Clean]],Table3[ProductID],Table3[Category],"Missing Value",0)))</f>
        <v>Software / Integration</v>
      </c>
      <c r="T134" t="str">
        <f>_xlfn.XLOOKUP(Table1[[#This Row],[CustomerID_Check]],Table2[CustomerID],Table2[CustomerType],"Missing Value",0)</f>
        <v>Standard</v>
      </c>
    </row>
    <row r="135" spans="1:20">
      <c r="A135" t="s">
        <v>304</v>
      </c>
      <c r="B135" s="1">
        <v>45774</v>
      </c>
      <c r="C135" t="s">
        <v>165</v>
      </c>
      <c r="D135" t="str">
        <f>UPPER(Table1[[#This Row],[ProductID_Clean]])</f>
        <v>P-SA-002</v>
      </c>
      <c r="E135" t="s">
        <v>147</v>
      </c>
      <c r="F135" t="s">
        <v>47</v>
      </c>
      <c r="G135" t="str">
        <f>TRIM(Table1[[#This Row],[Region_Clean]])</f>
        <v>EMEA</v>
      </c>
      <c r="H135" t="s">
        <v>53</v>
      </c>
      <c r="I135" t="s">
        <v>25</v>
      </c>
      <c r="J135" s="3">
        <v>1</v>
      </c>
      <c r="K135" s="3">
        <v>9035.66</v>
      </c>
      <c r="L135">
        <v>9800</v>
      </c>
      <c r="M135">
        <v>9800</v>
      </c>
      <c r="N135">
        <v>764.34</v>
      </c>
      <c r="O135">
        <v>9035.66</v>
      </c>
      <c r="P135" t="s">
        <v>26</v>
      </c>
      <c r="Q135" t="s">
        <v>54</v>
      </c>
      <c r="R135" t="s">
        <v>28</v>
      </c>
      <c r="S135" t="str">
        <f>TRIM(PROPER(_xlfn.XLOOKUP(Table1[[#This Row],[ProductID_Clean]],Table3[ProductID],Table3[Category],"Missing Value",0)))</f>
        <v>Software</v>
      </c>
      <c r="T135" t="str">
        <f>_xlfn.XLOOKUP(Table1[[#This Row],[CustomerID_Check]],Table2[CustomerID],Table2[CustomerType],"Missing Value",0)</f>
        <v>Key Account</v>
      </c>
    </row>
    <row r="136" spans="1:20">
      <c r="A136" t="s">
        <v>305</v>
      </c>
      <c r="B136" s="1">
        <v>45808</v>
      </c>
      <c r="C136" t="s">
        <v>56</v>
      </c>
      <c r="D136" t="str">
        <f>UPPER(Table1[[#This Row],[ProductID_Clean]])</f>
        <v>P-FS-002</v>
      </c>
      <c r="E136" t="s">
        <v>81</v>
      </c>
      <c r="F136" t="s">
        <v>58</v>
      </c>
      <c r="G136" t="str">
        <f>TRIM(Table1[[#This Row],[Region_Clean]])</f>
        <v>APAC</v>
      </c>
      <c r="H136" t="s">
        <v>82</v>
      </c>
      <c r="I136" t="s">
        <v>25</v>
      </c>
      <c r="J136" s="3">
        <v>1</v>
      </c>
      <c r="K136" s="3">
        <v>2059.5700000000002</v>
      </c>
      <c r="L136">
        <v>2400</v>
      </c>
      <c r="M136">
        <v>2400</v>
      </c>
      <c r="N136">
        <v>340.43</v>
      </c>
      <c r="O136">
        <v>2059.5700000000002</v>
      </c>
      <c r="P136" t="s">
        <v>26</v>
      </c>
      <c r="Q136" t="s">
        <v>94</v>
      </c>
      <c r="R136" t="s">
        <v>59</v>
      </c>
      <c r="S136" t="str">
        <f>TRIM(PROPER(_xlfn.XLOOKUP(Table1[[#This Row],[ProductID_Clean]],Table3[ProductID],Table3[Category],"Missing Value",0)))</f>
        <v>Services</v>
      </c>
      <c r="T136" t="str">
        <f>_xlfn.XLOOKUP(Table1[[#This Row],[CustomerID_Check]],Table2[CustomerID],Table2[CustomerType],"Missing Value",0)</f>
        <v>Key Account</v>
      </c>
    </row>
    <row r="137" spans="1:20">
      <c r="A137" t="s">
        <v>306</v>
      </c>
      <c r="B137" s="1">
        <v>45766</v>
      </c>
      <c r="C137" t="s">
        <v>307</v>
      </c>
      <c r="D137" t="str">
        <f>UPPER(Table1[[#This Row],[ProductID_Clean]])</f>
        <v>P-SI-007</v>
      </c>
      <c r="E137" t="s">
        <v>97</v>
      </c>
      <c r="F137" t="s">
        <v>23</v>
      </c>
      <c r="G137" t="str">
        <f>TRIM(Table1[[#This Row],[Region_Clean]])</f>
        <v>N. AMERICA</v>
      </c>
      <c r="H137" t="s">
        <v>24</v>
      </c>
      <c r="I137" t="s">
        <v>87</v>
      </c>
      <c r="J137" s="3">
        <v>1</v>
      </c>
      <c r="K137" s="3">
        <v>844</v>
      </c>
      <c r="L137">
        <v>980</v>
      </c>
      <c r="M137">
        <v>980</v>
      </c>
      <c r="N137">
        <v>136</v>
      </c>
      <c r="O137">
        <v>844</v>
      </c>
      <c r="P137" t="s">
        <v>26</v>
      </c>
      <c r="Q137" t="s">
        <v>65</v>
      </c>
      <c r="R137" t="s">
        <v>36</v>
      </c>
      <c r="S137" t="str">
        <f>TRIM(PROPER(_xlfn.XLOOKUP(Table1[[#This Row],[ProductID_Clean]],Table3[ProductID],Table3[Category],"Missing Value",0)))</f>
        <v>Sensors</v>
      </c>
      <c r="T137" t="str">
        <f>_xlfn.XLOOKUP(Table1[[#This Row],[CustomerID_Check]],Table2[CustomerID],Table2[CustomerType],"Missing Value",0)</f>
        <v>Standard</v>
      </c>
    </row>
    <row r="138" spans="1:20">
      <c r="A138" t="s">
        <v>308</v>
      </c>
      <c r="B138" s="1">
        <v>45797</v>
      </c>
      <c r="C138" t="s">
        <v>38</v>
      </c>
      <c r="D138" t="str">
        <f>UPPER(Table1[[#This Row],[ProductID_Clean]])</f>
        <v>P-FS-002</v>
      </c>
      <c r="E138" t="s">
        <v>81</v>
      </c>
      <c r="F138" t="s">
        <v>32</v>
      </c>
      <c r="G138" t="str">
        <f>TRIM(Table1[[#This Row],[Region_Clean]])</f>
        <v>LATIN AMERICA</v>
      </c>
      <c r="H138" t="s">
        <v>82</v>
      </c>
      <c r="I138" t="s">
        <v>25</v>
      </c>
      <c r="J138" s="3">
        <v>1</v>
      </c>
      <c r="K138" s="3">
        <v>2201.2399999999998</v>
      </c>
      <c r="L138">
        <v>2400</v>
      </c>
      <c r="M138">
        <v>2400</v>
      </c>
      <c r="N138">
        <v>198.76</v>
      </c>
      <c r="O138">
        <v>2201.2399999999998</v>
      </c>
      <c r="P138" t="s">
        <v>26</v>
      </c>
      <c r="Q138" t="s">
        <v>83</v>
      </c>
      <c r="R138" t="s">
        <v>36</v>
      </c>
      <c r="S138" t="str">
        <f>TRIM(PROPER(_xlfn.XLOOKUP(Table1[[#This Row],[ProductID_Clean]],Table3[ProductID],Table3[Category],"Missing Value",0)))</f>
        <v>Services</v>
      </c>
      <c r="T138" t="str">
        <f>_xlfn.XLOOKUP(Table1[[#This Row],[CustomerID_Check]],Table2[CustomerID],Table2[CustomerType],"Missing Value",0)</f>
        <v>Standard</v>
      </c>
    </row>
    <row r="139" spans="1:20">
      <c r="A139" t="s">
        <v>309</v>
      </c>
      <c r="B139" s="1">
        <v>45823</v>
      </c>
      <c r="C139" t="s">
        <v>310</v>
      </c>
      <c r="D139" t="str">
        <f>UPPER(Table1[[#This Row],[ProductID_Clean]])</f>
        <v>P-SI-006</v>
      </c>
      <c r="E139" t="s">
        <v>43</v>
      </c>
      <c r="F139" t="s">
        <v>47</v>
      </c>
      <c r="G139" t="str">
        <f>TRIM(Table1[[#This Row],[Region_Clean]])</f>
        <v>EMEA</v>
      </c>
      <c r="H139" t="s">
        <v>24</v>
      </c>
      <c r="I139" t="s">
        <v>87</v>
      </c>
      <c r="J139" s="3">
        <v>4</v>
      </c>
      <c r="K139" s="3">
        <v>161.56</v>
      </c>
      <c r="L139">
        <v>215</v>
      </c>
      <c r="M139">
        <v>860</v>
      </c>
      <c r="N139">
        <v>213.76</v>
      </c>
      <c r="O139">
        <v>646.24</v>
      </c>
      <c r="P139" t="s">
        <v>26</v>
      </c>
      <c r="Q139" t="s">
        <v>35</v>
      </c>
      <c r="R139" t="s">
        <v>44</v>
      </c>
      <c r="S139" t="str">
        <f>TRIM(PROPER(_xlfn.XLOOKUP(Table1[[#This Row],[ProductID_Clean]],Table3[ProductID],Table3[Category],"Missing Value",0)))</f>
        <v>Sensors</v>
      </c>
      <c r="T139" t="str">
        <f>_xlfn.XLOOKUP(Table1[[#This Row],[CustomerID_Check]],Table2[CustomerID],Table2[CustomerType],"Missing Value",0)</f>
        <v>Standard</v>
      </c>
    </row>
    <row r="140" spans="1:20">
      <c r="A140" t="s">
        <v>311</v>
      </c>
      <c r="B140" s="1">
        <v>45726</v>
      </c>
      <c r="C140" t="s">
        <v>312</v>
      </c>
      <c r="D140" t="str">
        <f>UPPER(Table1[[#This Row],[ProductID_Clean]])</f>
        <v>P-SA-001</v>
      </c>
      <c r="E140" t="s">
        <v>68</v>
      </c>
      <c r="F140" t="s">
        <v>58</v>
      </c>
      <c r="G140" t="str">
        <f>TRIM(Table1[[#This Row],[Region_Clean]])</f>
        <v>APAC</v>
      </c>
      <c r="H140" t="s">
        <v>53</v>
      </c>
      <c r="I140" t="s">
        <v>87</v>
      </c>
      <c r="J140" s="3">
        <v>5</v>
      </c>
      <c r="K140" s="3">
        <v>3337.27</v>
      </c>
      <c r="L140">
        <v>4200</v>
      </c>
      <c r="M140">
        <v>21000</v>
      </c>
      <c r="N140">
        <v>4313.6499999999996</v>
      </c>
      <c r="O140">
        <v>16686.349999999999</v>
      </c>
      <c r="P140" t="s">
        <v>26</v>
      </c>
      <c r="Q140" t="s">
        <v>54</v>
      </c>
      <c r="R140" t="s">
        <v>36</v>
      </c>
      <c r="S140" t="str">
        <f>TRIM(PROPER(_xlfn.XLOOKUP(Table1[[#This Row],[ProductID_Clean]],Table3[ProductID],Table3[Category],"Missing Value",0)))</f>
        <v>Software</v>
      </c>
      <c r="T140" t="str">
        <f>_xlfn.XLOOKUP(Table1[[#This Row],[CustomerID_Check]],Table2[CustomerID],Table2[CustomerType],"Missing Value",0)</f>
        <v>Standard</v>
      </c>
    </row>
    <row r="141" spans="1:20">
      <c r="A141" t="s">
        <v>313</v>
      </c>
      <c r="B141" s="1">
        <v>45676</v>
      </c>
      <c r="C141" t="s">
        <v>314</v>
      </c>
      <c r="D141" t="str">
        <f>UPPER(Table1[[#This Row],[ProductID_Clean]])</f>
        <v>P-SI-001</v>
      </c>
      <c r="E141" t="s">
        <v>72</v>
      </c>
      <c r="F141" t="s">
        <v>23</v>
      </c>
      <c r="G141" t="str">
        <f>TRIM(Table1[[#This Row],[Region_Clean]])</f>
        <v>N. AMERICA</v>
      </c>
      <c r="H141" t="s">
        <v>24</v>
      </c>
      <c r="I141" t="s">
        <v>34</v>
      </c>
      <c r="J141" s="3">
        <v>1</v>
      </c>
      <c r="K141" s="3">
        <v>429.28</v>
      </c>
      <c r="L141">
        <v>485</v>
      </c>
      <c r="M141">
        <v>485</v>
      </c>
      <c r="N141">
        <v>55.72</v>
      </c>
      <c r="O141">
        <v>429.28</v>
      </c>
      <c r="P141" t="s">
        <v>26</v>
      </c>
      <c r="Q141" t="s">
        <v>35</v>
      </c>
      <c r="R141" t="s">
        <v>44</v>
      </c>
      <c r="S141" t="str">
        <f>TRIM(PROPER(_xlfn.XLOOKUP(Table1[[#This Row],[ProductID_Clean]],Table3[ProductID],Table3[Category],"Missing Value",0)))</f>
        <v>Sensors</v>
      </c>
      <c r="T141" t="str">
        <f>_xlfn.XLOOKUP(Table1[[#This Row],[CustomerID_Check]],Table2[CustomerID],Table2[CustomerType],"Missing Value",0)</f>
        <v>Key Account</v>
      </c>
    </row>
    <row r="142" spans="1:20">
      <c r="A142" t="s">
        <v>315</v>
      </c>
      <c r="B142" s="1">
        <v>45700</v>
      </c>
      <c r="C142" t="s">
        <v>316</v>
      </c>
      <c r="D142" t="str">
        <f>UPPER(Table1[[#This Row],[ProductID_Clean]])</f>
        <v>P-SI-003</v>
      </c>
      <c r="E142" t="s">
        <v>39</v>
      </c>
      <c r="F142" t="s">
        <v>32</v>
      </c>
      <c r="G142" t="str">
        <f>TRIM(Table1[[#This Row],[Region_Clean]])</f>
        <v>LATIN AMERICA</v>
      </c>
      <c r="H142" t="s">
        <v>24</v>
      </c>
      <c r="I142" t="s">
        <v>25</v>
      </c>
      <c r="J142" s="3">
        <v>3</v>
      </c>
      <c r="K142" s="3">
        <v>1699.72</v>
      </c>
      <c r="L142">
        <v>1890</v>
      </c>
      <c r="M142">
        <v>5670</v>
      </c>
      <c r="N142">
        <v>570.84</v>
      </c>
      <c r="O142">
        <v>5099.16</v>
      </c>
      <c r="P142" t="s">
        <v>26</v>
      </c>
      <c r="Q142" t="s">
        <v>35</v>
      </c>
      <c r="R142" t="s">
        <v>48</v>
      </c>
      <c r="S142" t="str">
        <f>TRIM(PROPER(_xlfn.XLOOKUP(Table1[[#This Row],[ProductID_Clean]],Table3[ProductID],Table3[Category],"Missing Value",0)))</f>
        <v>Instruments</v>
      </c>
      <c r="T142" t="str">
        <f>_xlfn.XLOOKUP(Table1[[#This Row],[CustomerID_Check]],Table2[CustomerID],Table2[CustomerType],"Missing Value",0)</f>
        <v>Key Account</v>
      </c>
    </row>
    <row r="143" spans="1:20">
      <c r="A143" t="s">
        <v>317</v>
      </c>
      <c r="B143" s="1">
        <v>45803</v>
      </c>
      <c r="C143" t="s">
        <v>262</v>
      </c>
      <c r="D143" t="str">
        <f>UPPER(Table1[[#This Row],[ProductID_Clean]])</f>
        <v>P-SI-007</v>
      </c>
      <c r="E143" t="s">
        <v>97</v>
      </c>
      <c r="F143" t="s">
        <v>23</v>
      </c>
      <c r="G143" t="str">
        <f>TRIM(Table1[[#This Row],[Region_Clean]])</f>
        <v>N. AMERICA</v>
      </c>
      <c r="H143" t="s">
        <v>24</v>
      </c>
      <c r="I143" t="s">
        <v>87</v>
      </c>
      <c r="J143" s="3">
        <v>8</v>
      </c>
      <c r="K143" s="3">
        <v>754.24</v>
      </c>
      <c r="L143">
        <v>980</v>
      </c>
      <c r="M143">
        <v>7840</v>
      </c>
      <c r="N143">
        <v>1806.08</v>
      </c>
      <c r="O143">
        <v>6033.92</v>
      </c>
      <c r="P143" t="s">
        <v>26</v>
      </c>
      <c r="Q143" t="s">
        <v>35</v>
      </c>
      <c r="R143" t="s">
        <v>48</v>
      </c>
      <c r="S143" t="str">
        <f>TRIM(PROPER(_xlfn.XLOOKUP(Table1[[#This Row],[ProductID_Clean]],Table3[ProductID],Table3[Category],"Missing Value",0)))</f>
        <v>Sensors</v>
      </c>
      <c r="T143" t="str">
        <f>_xlfn.XLOOKUP(Table1[[#This Row],[CustomerID_Check]],Table2[CustomerID],Table2[CustomerType],"Missing Value",0)</f>
        <v>Key Account</v>
      </c>
    </row>
    <row r="144" spans="1:20">
      <c r="A144" t="s">
        <v>318</v>
      </c>
      <c r="B144" s="1">
        <v>45689</v>
      </c>
      <c r="C144" t="s">
        <v>125</v>
      </c>
      <c r="D144" t="str">
        <f>UPPER(Table1[[#This Row],[ProductID_Clean]])</f>
        <v>P-SI-006</v>
      </c>
      <c r="E144" t="s">
        <v>43</v>
      </c>
      <c r="F144" t="s">
        <v>58</v>
      </c>
      <c r="G144" t="str">
        <f>TRIM(Table1[[#This Row],[Region_Clean]])</f>
        <v>APAC</v>
      </c>
      <c r="H144" t="s">
        <v>24</v>
      </c>
      <c r="I144" t="s">
        <v>87</v>
      </c>
      <c r="J144" s="3">
        <v>10</v>
      </c>
      <c r="K144" s="3">
        <v>141.55000000000001</v>
      </c>
      <c r="L144">
        <v>215</v>
      </c>
      <c r="M144">
        <v>2150</v>
      </c>
      <c r="N144">
        <v>734.5</v>
      </c>
      <c r="O144">
        <v>1415.5</v>
      </c>
      <c r="P144" t="s">
        <v>26</v>
      </c>
      <c r="Q144" t="s">
        <v>35</v>
      </c>
      <c r="R144" t="s">
        <v>36</v>
      </c>
      <c r="S144" t="str">
        <f>TRIM(PROPER(_xlfn.XLOOKUP(Table1[[#This Row],[ProductID_Clean]],Table3[ProductID],Table3[Category],"Missing Value",0)))</f>
        <v>Sensors</v>
      </c>
      <c r="T144" t="str">
        <f>_xlfn.XLOOKUP(Table1[[#This Row],[CustomerID_Check]],Table2[CustomerID],Table2[CustomerType],"Missing Value",0)</f>
        <v>Strategic</v>
      </c>
    </row>
    <row r="145" spans="1:20">
      <c r="A145" t="s">
        <v>319</v>
      </c>
      <c r="B145" s="1">
        <v>45727</v>
      </c>
      <c r="C145" t="s">
        <v>320</v>
      </c>
      <c r="D145" t="str">
        <f>UPPER(Table1[[#This Row],[ProductID_Clean]])</f>
        <v>P-SI-006</v>
      </c>
      <c r="E145" t="s">
        <v>43</v>
      </c>
      <c r="F145" t="s">
        <v>47</v>
      </c>
      <c r="G145" t="str">
        <f>TRIM(Table1[[#This Row],[Region_Clean]])</f>
        <v>EMEA</v>
      </c>
      <c r="H145" t="s">
        <v>24</v>
      </c>
      <c r="I145" t="s">
        <v>25</v>
      </c>
      <c r="J145" s="3">
        <v>5</v>
      </c>
      <c r="K145" s="3">
        <v>196.5</v>
      </c>
      <c r="L145">
        <v>215</v>
      </c>
      <c r="M145">
        <v>1075</v>
      </c>
      <c r="N145">
        <v>92.5</v>
      </c>
      <c r="O145">
        <v>982.5</v>
      </c>
      <c r="P145" t="s">
        <v>26</v>
      </c>
      <c r="Q145" t="s">
        <v>27</v>
      </c>
      <c r="R145" t="s">
        <v>44</v>
      </c>
      <c r="S145" t="str">
        <f>TRIM(PROPER(_xlfn.XLOOKUP(Table1[[#This Row],[ProductID_Clean]],Table3[ProductID],Table3[Category],"Missing Value",0)))</f>
        <v>Sensors</v>
      </c>
      <c r="T145" t="str">
        <f>_xlfn.XLOOKUP(Table1[[#This Row],[CustomerID_Check]],Table2[CustomerID],Table2[CustomerType],"Missing Value",0)</f>
        <v>Standard</v>
      </c>
    </row>
    <row r="146" spans="1:20">
      <c r="A146" t="s">
        <v>321</v>
      </c>
      <c r="B146" s="1">
        <v>45796</v>
      </c>
      <c r="C146" t="s">
        <v>89</v>
      </c>
      <c r="D146" t="str">
        <f>UPPER(Table1[[#This Row],[ProductID_Clean]])</f>
        <v>P-SI-008</v>
      </c>
      <c r="E146" t="s">
        <v>152</v>
      </c>
      <c r="F146" t="s">
        <v>58</v>
      </c>
      <c r="G146" t="str">
        <f>TRIM(Table1[[#This Row],[Region_Clean]])</f>
        <v>APAC</v>
      </c>
      <c r="H146" t="s">
        <v>24</v>
      </c>
      <c r="I146" t="s">
        <v>34</v>
      </c>
      <c r="J146" s="3">
        <v>1</v>
      </c>
      <c r="K146" s="3">
        <v>678.53</v>
      </c>
      <c r="L146">
        <v>950</v>
      </c>
      <c r="M146">
        <v>950</v>
      </c>
      <c r="N146">
        <v>271.47000000000003</v>
      </c>
      <c r="O146">
        <v>678.53</v>
      </c>
      <c r="P146" t="s">
        <v>113</v>
      </c>
      <c r="Q146" t="s">
        <v>35</v>
      </c>
      <c r="R146" t="s">
        <v>44</v>
      </c>
      <c r="S146" t="str">
        <f>TRIM(PROPER(_xlfn.XLOOKUP(Table1[[#This Row],[ProductID_Clean]],Table3[ProductID],Table3[Category],"Missing Value",0)))</f>
        <v>Instruments</v>
      </c>
      <c r="T146" t="str">
        <f>_xlfn.XLOOKUP(Table1[[#This Row],[CustomerID_Check]],Table2[CustomerID],Table2[CustomerType],"Missing Value",0)</f>
        <v>Strategic</v>
      </c>
    </row>
    <row r="147" spans="1:20">
      <c r="A147" t="s">
        <v>322</v>
      </c>
      <c r="B147" s="1">
        <v>45770</v>
      </c>
      <c r="C147" t="s">
        <v>323</v>
      </c>
      <c r="D147" t="str">
        <f>UPPER(Table1[[#This Row],[ProductID_Clean]])</f>
        <v>P-SI-007</v>
      </c>
      <c r="E147" t="s">
        <v>97</v>
      </c>
      <c r="F147" t="s">
        <v>23</v>
      </c>
      <c r="G147" t="str">
        <f>TRIM(Table1[[#This Row],[Region_Clean]])</f>
        <v>N. AMERICA</v>
      </c>
      <c r="H147" t="s">
        <v>24</v>
      </c>
      <c r="I147" t="s">
        <v>25</v>
      </c>
      <c r="J147" s="3">
        <v>1</v>
      </c>
      <c r="K147" s="3">
        <v>922.23</v>
      </c>
      <c r="L147">
        <v>980</v>
      </c>
      <c r="M147">
        <v>980</v>
      </c>
      <c r="N147">
        <v>57.77</v>
      </c>
      <c r="O147">
        <v>922.23</v>
      </c>
      <c r="P147" t="s">
        <v>26</v>
      </c>
      <c r="Q147" t="s">
        <v>35</v>
      </c>
      <c r="R147" t="s">
        <v>59</v>
      </c>
      <c r="S147" t="str">
        <f>TRIM(PROPER(_xlfn.XLOOKUP(Table1[[#This Row],[ProductID_Clean]],Table3[ProductID],Table3[Category],"Missing Value",0)))</f>
        <v>Sensors</v>
      </c>
      <c r="T147" t="str">
        <f>_xlfn.XLOOKUP(Table1[[#This Row],[CustomerID_Check]],Table2[CustomerID],Table2[CustomerType],"Missing Value",0)</f>
        <v>Key Account</v>
      </c>
    </row>
    <row r="148" spans="1:20">
      <c r="A148" t="s">
        <v>324</v>
      </c>
      <c r="B148" s="1">
        <v>45811</v>
      </c>
      <c r="C148" t="s">
        <v>163</v>
      </c>
      <c r="D148" t="str">
        <f>UPPER(Table1[[#This Row],[ProductID_Clean]])</f>
        <v>P-SI-002</v>
      </c>
      <c r="E148" t="s">
        <v>31</v>
      </c>
      <c r="F148" t="s">
        <v>52</v>
      </c>
      <c r="G148" t="str">
        <f>TRIM(Table1[[#This Row],[Region_Clean]])</f>
        <v>N. AMERICA</v>
      </c>
      <c r="H148" t="s">
        <v>24</v>
      </c>
      <c r="I148" t="s">
        <v>87</v>
      </c>
      <c r="J148" s="3">
        <v>3</v>
      </c>
      <c r="K148" s="3">
        <v>570.6</v>
      </c>
      <c r="L148">
        <v>725</v>
      </c>
      <c r="M148">
        <v>2175</v>
      </c>
      <c r="N148">
        <v>463.2</v>
      </c>
      <c r="O148">
        <v>1711.8</v>
      </c>
      <c r="P148" t="s">
        <v>26</v>
      </c>
      <c r="Q148" t="s">
        <v>27</v>
      </c>
      <c r="R148" t="s">
        <v>28</v>
      </c>
      <c r="S148" t="str">
        <f>TRIM(PROPER(_xlfn.XLOOKUP(Table1[[#This Row],[ProductID_Clean]],Table3[ProductID],Table3[Category],"Missing Value",0)))</f>
        <v>Sensors</v>
      </c>
      <c r="T148" t="str">
        <f>_xlfn.XLOOKUP(Table1[[#This Row],[CustomerID_Check]],Table2[CustomerID],Table2[CustomerType],"Missing Value",0)</f>
        <v>Strategic</v>
      </c>
    </row>
    <row r="149" spans="1:20">
      <c r="A149" t="s">
        <v>325</v>
      </c>
      <c r="B149" s="1">
        <v>45768</v>
      </c>
      <c r="C149" t="s">
        <v>172</v>
      </c>
      <c r="D149" t="str">
        <f>UPPER(Table1[[#This Row],[ProductID_Clean]])</f>
        <v>P-SI-004</v>
      </c>
      <c r="E149" t="s">
        <v>22</v>
      </c>
      <c r="F149" t="s">
        <v>23</v>
      </c>
      <c r="G149" t="str">
        <f>TRIM(Table1[[#This Row],[Region_Clean]])</f>
        <v>N. AMERICA</v>
      </c>
      <c r="H149" t="s">
        <v>24</v>
      </c>
      <c r="I149" t="s">
        <v>25</v>
      </c>
      <c r="J149" s="3">
        <v>2</v>
      </c>
      <c r="K149" s="3">
        <v>2159.67</v>
      </c>
      <c r="L149">
        <v>2450</v>
      </c>
      <c r="M149">
        <v>4900</v>
      </c>
      <c r="N149">
        <v>580.66</v>
      </c>
      <c r="O149">
        <v>4319.34</v>
      </c>
      <c r="P149" t="s">
        <v>113</v>
      </c>
      <c r="Q149" t="s">
        <v>40</v>
      </c>
      <c r="R149" t="s">
        <v>36</v>
      </c>
      <c r="S149" t="str">
        <f>TRIM(PROPER(_xlfn.XLOOKUP(Table1[[#This Row],[ProductID_Clean]],Table3[ProductID],Table3[Category],"Missing Value",0)))</f>
        <v>Instruments</v>
      </c>
      <c r="T149" t="str">
        <f>_xlfn.XLOOKUP(Table1[[#This Row],[CustomerID_Check]],Table2[CustomerID],Table2[CustomerType],"Missing Value",0)</f>
        <v>Key Account</v>
      </c>
    </row>
    <row r="150" spans="1:20">
      <c r="A150" t="s">
        <v>326</v>
      </c>
      <c r="B150" s="1">
        <v>45740</v>
      </c>
      <c r="C150" t="s">
        <v>64</v>
      </c>
      <c r="D150" t="str">
        <f>UPPER(Table1[[#This Row],[ProductID_Clean]])</f>
        <v>P-SI-006</v>
      </c>
      <c r="E150" t="s">
        <v>43</v>
      </c>
      <c r="F150" t="s">
        <v>47</v>
      </c>
      <c r="G150" t="str">
        <f>TRIM(Table1[[#This Row],[Region_Clean]])</f>
        <v>EMEA</v>
      </c>
      <c r="H150" t="s">
        <v>24</v>
      </c>
      <c r="I150" t="s">
        <v>25</v>
      </c>
      <c r="J150" s="3">
        <v>2</v>
      </c>
      <c r="K150" s="3">
        <v>177.69</v>
      </c>
      <c r="L150">
        <v>215</v>
      </c>
      <c r="M150">
        <v>430</v>
      </c>
      <c r="N150">
        <v>74.62</v>
      </c>
      <c r="O150">
        <v>355.38</v>
      </c>
      <c r="P150" t="s">
        <v>26</v>
      </c>
      <c r="Q150" t="s">
        <v>27</v>
      </c>
      <c r="R150" t="s">
        <v>36</v>
      </c>
      <c r="S150" t="str">
        <f>TRIM(PROPER(_xlfn.XLOOKUP(Table1[[#This Row],[ProductID_Clean]],Table3[ProductID],Table3[Category],"Missing Value",0)))</f>
        <v>Sensors</v>
      </c>
      <c r="T150" t="str">
        <f>_xlfn.XLOOKUP(Table1[[#This Row],[CustomerID_Check]],Table2[CustomerID],Table2[CustomerType],"Missing Value",0)</f>
        <v>Key Account</v>
      </c>
    </row>
    <row r="151" spans="1:20">
      <c r="A151" t="s">
        <v>327</v>
      </c>
      <c r="B151" s="1">
        <v>45722</v>
      </c>
      <c r="C151" t="s">
        <v>252</v>
      </c>
      <c r="D151" t="str">
        <f>UPPER(Table1[[#This Row],[ProductID_Clean]])</f>
        <v>P-SI-006</v>
      </c>
      <c r="E151" t="s">
        <v>43</v>
      </c>
      <c r="F151" t="s">
        <v>23</v>
      </c>
      <c r="G151" t="str">
        <f>TRIM(Table1[[#This Row],[Region_Clean]])</f>
        <v>N. AMERICA</v>
      </c>
      <c r="H151" t="s">
        <v>24</v>
      </c>
      <c r="I151" t="s">
        <v>25</v>
      </c>
      <c r="J151" s="3">
        <v>1</v>
      </c>
      <c r="K151" s="3">
        <v>159.15</v>
      </c>
      <c r="L151">
        <v>215</v>
      </c>
      <c r="M151">
        <v>215</v>
      </c>
      <c r="N151">
        <v>55.85</v>
      </c>
      <c r="O151">
        <v>159.15</v>
      </c>
      <c r="P151" t="s">
        <v>26</v>
      </c>
      <c r="Q151" t="s">
        <v>27</v>
      </c>
      <c r="R151" t="s">
        <v>44</v>
      </c>
      <c r="S151" t="str">
        <f>TRIM(PROPER(_xlfn.XLOOKUP(Table1[[#This Row],[ProductID_Clean]],Table3[ProductID],Table3[Category],"Missing Value",0)))</f>
        <v>Sensors</v>
      </c>
      <c r="T151" t="str">
        <f>_xlfn.XLOOKUP(Table1[[#This Row],[CustomerID_Check]],Table2[CustomerID],Table2[CustomerType],"Missing Value",0)</f>
        <v>Strategic</v>
      </c>
    </row>
    <row r="152" spans="1:20">
      <c r="A152" t="s">
        <v>328</v>
      </c>
      <c r="B152" s="1">
        <v>45681</v>
      </c>
      <c r="C152" t="s">
        <v>262</v>
      </c>
      <c r="D152" t="str">
        <f>UPPER(Table1[[#This Row],[ProductID_Clean]])</f>
        <v>P-SI-001</v>
      </c>
      <c r="E152" t="s">
        <v>72</v>
      </c>
      <c r="F152" t="s">
        <v>23</v>
      </c>
      <c r="G152" t="str">
        <f>TRIM(Table1[[#This Row],[Region_Clean]])</f>
        <v>N. AMERICA</v>
      </c>
      <c r="H152" t="s">
        <v>24</v>
      </c>
      <c r="I152" t="s">
        <v>184</v>
      </c>
      <c r="J152" s="3">
        <v>2</v>
      </c>
      <c r="K152" s="3">
        <v>398.67</v>
      </c>
      <c r="L152">
        <v>485</v>
      </c>
      <c r="M152">
        <v>970</v>
      </c>
      <c r="N152">
        <v>172.66</v>
      </c>
      <c r="O152">
        <v>797.34</v>
      </c>
      <c r="P152" t="s">
        <v>26</v>
      </c>
      <c r="Q152" t="s">
        <v>35</v>
      </c>
      <c r="R152" t="s">
        <v>48</v>
      </c>
      <c r="S152" t="str">
        <f>TRIM(PROPER(_xlfn.XLOOKUP(Table1[[#This Row],[ProductID_Clean]],Table3[ProductID],Table3[Category],"Missing Value",0)))</f>
        <v>Sensors</v>
      </c>
      <c r="T152" t="str">
        <f>_xlfn.XLOOKUP(Table1[[#This Row],[CustomerID_Check]],Table2[CustomerID],Table2[CustomerType],"Missing Value",0)</f>
        <v>Key Account</v>
      </c>
    </row>
    <row r="153" spans="1:20">
      <c r="A153" t="s">
        <v>329</v>
      </c>
      <c r="B153" s="1">
        <v>45830</v>
      </c>
      <c r="C153" t="s">
        <v>282</v>
      </c>
      <c r="D153" t="str">
        <f>UPPER(Table1[[#This Row],[ProductID_Clean]])</f>
        <v>P-SA-002</v>
      </c>
      <c r="E153" t="s">
        <v>147</v>
      </c>
      <c r="F153" t="s">
        <v>23</v>
      </c>
      <c r="G153" t="str">
        <f>TRIM(Table1[[#This Row],[Region_Clean]])</f>
        <v>N. AMERICA</v>
      </c>
      <c r="H153" t="s">
        <v>53</v>
      </c>
      <c r="I153" t="s">
        <v>25</v>
      </c>
      <c r="J153" s="3">
        <v>1</v>
      </c>
      <c r="K153" s="3">
        <v>8351.59</v>
      </c>
      <c r="L153">
        <v>9800</v>
      </c>
      <c r="M153">
        <v>9800</v>
      </c>
      <c r="N153">
        <v>1448.41</v>
      </c>
      <c r="O153">
        <v>8351.59</v>
      </c>
      <c r="P153" t="s">
        <v>26</v>
      </c>
      <c r="Q153" t="s">
        <v>88</v>
      </c>
      <c r="R153" t="s">
        <v>59</v>
      </c>
      <c r="S153" t="str">
        <f>TRIM(PROPER(_xlfn.XLOOKUP(Table1[[#This Row],[ProductID_Clean]],Table3[ProductID],Table3[Category],"Missing Value",0)))</f>
        <v>Software</v>
      </c>
      <c r="T153" t="str">
        <f>_xlfn.XLOOKUP(Table1[[#This Row],[CustomerID_Check]],Table2[CustomerID],Table2[CustomerType],"Missing Value",0)</f>
        <v>Strategic</v>
      </c>
    </row>
    <row r="154" spans="1:20">
      <c r="A154" t="s">
        <v>330</v>
      </c>
      <c r="B154" s="1">
        <v>45808</v>
      </c>
      <c r="C154" t="s">
        <v>163</v>
      </c>
      <c r="D154" t="str">
        <f>UPPER(Table1[[#This Row],[ProductID_Clean]])</f>
        <v>P-SI-001</v>
      </c>
      <c r="E154" t="s">
        <v>72</v>
      </c>
      <c r="F154" t="s">
        <v>23</v>
      </c>
      <c r="G154" t="str">
        <f>TRIM(Table1[[#This Row],[Region_Clean]])</f>
        <v>N. AMERICA</v>
      </c>
      <c r="H154" t="s">
        <v>24</v>
      </c>
      <c r="I154" t="s">
        <v>98</v>
      </c>
      <c r="J154" s="3">
        <v>2</v>
      </c>
      <c r="K154" s="3">
        <v>439.8</v>
      </c>
      <c r="L154">
        <v>485</v>
      </c>
      <c r="M154">
        <v>970</v>
      </c>
      <c r="N154">
        <v>90.4</v>
      </c>
      <c r="O154">
        <v>879.6</v>
      </c>
      <c r="P154" t="s">
        <v>26</v>
      </c>
      <c r="Q154" t="s">
        <v>35</v>
      </c>
      <c r="R154" t="s">
        <v>28</v>
      </c>
      <c r="S154" t="str">
        <f>TRIM(PROPER(_xlfn.XLOOKUP(Table1[[#This Row],[ProductID_Clean]],Table3[ProductID],Table3[Category],"Missing Value",0)))</f>
        <v>Sensors</v>
      </c>
      <c r="T154" t="str">
        <f>_xlfn.XLOOKUP(Table1[[#This Row],[CustomerID_Check]],Table2[CustomerID],Table2[CustomerType],"Missing Value",0)</f>
        <v>Strategic</v>
      </c>
    </row>
    <row r="155" spans="1:20">
      <c r="A155" t="s">
        <v>331</v>
      </c>
      <c r="B155" s="1">
        <v>45726</v>
      </c>
      <c r="C155" t="s">
        <v>332</v>
      </c>
      <c r="D155" t="str">
        <f>UPPER(Table1[[#This Row],[ProductID_Clean]])</f>
        <v>P-SI-002</v>
      </c>
      <c r="E155" t="s">
        <v>31</v>
      </c>
      <c r="F155" t="s">
        <v>23</v>
      </c>
      <c r="G155" t="str">
        <f>TRIM(Table1[[#This Row],[Region_Clean]])</f>
        <v>N. AMERICA</v>
      </c>
      <c r="H155" t="s">
        <v>24</v>
      </c>
      <c r="I155" t="s">
        <v>34</v>
      </c>
      <c r="J155" s="3">
        <v>12</v>
      </c>
      <c r="K155" s="3">
        <v>637.86</v>
      </c>
      <c r="L155">
        <v>725</v>
      </c>
      <c r="M155">
        <v>8700</v>
      </c>
      <c r="N155">
        <v>1045.68</v>
      </c>
      <c r="O155">
        <v>7654.32</v>
      </c>
      <c r="P155" t="s">
        <v>26</v>
      </c>
      <c r="Q155" t="s">
        <v>65</v>
      </c>
      <c r="R155" t="s">
        <v>28</v>
      </c>
      <c r="S155" t="str">
        <f>TRIM(PROPER(_xlfn.XLOOKUP(Table1[[#This Row],[ProductID_Clean]],Table3[ProductID],Table3[Category],"Missing Value",0)))</f>
        <v>Sensors</v>
      </c>
      <c r="T155" t="str">
        <f>_xlfn.XLOOKUP(Table1[[#This Row],[CustomerID_Check]],Table2[CustomerID],Table2[CustomerType],"Missing Value",0)</f>
        <v>Key Account</v>
      </c>
    </row>
    <row r="156" spans="1:20">
      <c r="A156" t="s">
        <v>333</v>
      </c>
      <c r="B156" s="1">
        <v>45778</v>
      </c>
      <c r="C156" t="s">
        <v>116</v>
      </c>
      <c r="D156" t="str">
        <f>UPPER(Table1[[#This Row],[ProductID_Clean]])</f>
        <v>P-SI-006</v>
      </c>
      <c r="E156" t="s">
        <v>43</v>
      </c>
      <c r="F156" t="s">
        <v>47</v>
      </c>
      <c r="G156" t="str">
        <f>TRIM(Table1[[#This Row],[Region_Clean]])</f>
        <v>EMEA</v>
      </c>
      <c r="H156" t="s">
        <v>24</v>
      </c>
      <c r="I156" t="s">
        <v>25</v>
      </c>
      <c r="J156" s="3">
        <v>2</v>
      </c>
      <c r="K156" s="3">
        <v>192.29</v>
      </c>
      <c r="L156">
        <v>215</v>
      </c>
      <c r="M156">
        <v>430</v>
      </c>
      <c r="N156">
        <v>45.42</v>
      </c>
      <c r="O156">
        <v>384.58</v>
      </c>
      <c r="P156" t="s">
        <v>126</v>
      </c>
      <c r="Q156" t="s">
        <v>35</v>
      </c>
      <c r="R156" t="s">
        <v>28</v>
      </c>
      <c r="S156" t="str">
        <f>TRIM(PROPER(_xlfn.XLOOKUP(Table1[[#This Row],[ProductID_Clean]],Table3[ProductID],Table3[Category],"Missing Value",0)))</f>
        <v>Sensors</v>
      </c>
      <c r="T156" t="str">
        <f>_xlfn.XLOOKUP(Table1[[#This Row],[CustomerID_Check]],Table2[CustomerID],Table2[CustomerType],"Missing Value",0)</f>
        <v>Standard</v>
      </c>
    </row>
    <row r="157" spans="1:20">
      <c r="A157" t="s">
        <v>334</v>
      </c>
      <c r="B157" s="1">
        <v>45824</v>
      </c>
      <c r="C157" t="s">
        <v>256</v>
      </c>
      <c r="D157" t="str">
        <f>UPPER(Table1[[#This Row],[ProductID_Clean]])</f>
        <v>P-SI-005</v>
      </c>
      <c r="E157" t="s">
        <v>57</v>
      </c>
      <c r="F157" t="s">
        <v>47</v>
      </c>
      <c r="G157" t="str">
        <f>TRIM(Table1[[#This Row],[Region_Clean]])</f>
        <v>EMEA</v>
      </c>
      <c r="H157" t="s">
        <v>24</v>
      </c>
      <c r="I157" t="s">
        <v>98</v>
      </c>
      <c r="J157" s="3">
        <v>3</v>
      </c>
      <c r="K157" s="3">
        <v>1013.67</v>
      </c>
      <c r="L157">
        <v>1120</v>
      </c>
      <c r="M157">
        <v>3360</v>
      </c>
      <c r="N157">
        <v>318.99</v>
      </c>
      <c r="O157">
        <v>3041.01</v>
      </c>
      <c r="P157" t="s">
        <v>26</v>
      </c>
      <c r="Q157" t="s">
        <v>35</v>
      </c>
      <c r="R157" t="s">
        <v>44</v>
      </c>
      <c r="S157" t="str">
        <f>TRIM(PROPER(_xlfn.XLOOKUP(Table1[[#This Row],[ProductID_Clean]],Table3[ProductID],Table3[Category],"Missing Value",0)))</f>
        <v>Sensors</v>
      </c>
      <c r="T157" t="str">
        <f>_xlfn.XLOOKUP(Table1[[#This Row],[CustomerID_Check]],Table2[CustomerID],Table2[CustomerType],"Missing Value",0)</f>
        <v>Strategic</v>
      </c>
    </row>
    <row r="158" spans="1:20">
      <c r="A158" t="s">
        <v>335</v>
      </c>
      <c r="B158" s="1">
        <v>45729</v>
      </c>
      <c r="C158" t="s">
        <v>206</v>
      </c>
      <c r="D158" t="str">
        <f>UPPER(Table1[[#This Row],[ProductID_Clean]])</f>
        <v>P-FS-002</v>
      </c>
      <c r="E158" t="s">
        <v>81</v>
      </c>
      <c r="F158" t="s">
        <v>23</v>
      </c>
      <c r="G158" t="str">
        <f>TRIM(Table1[[#This Row],[Region_Clean]])</f>
        <v>N. AMERICA</v>
      </c>
      <c r="H158" t="s">
        <v>82</v>
      </c>
      <c r="I158" t="s">
        <v>87</v>
      </c>
      <c r="J158" s="3">
        <v>1</v>
      </c>
      <c r="K158" s="3">
        <v>2127.9</v>
      </c>
      <c r="L158">
        <v>2400</v>
      </c>
      <c r="M158">
        <v>2400</v>
      </c>
      <c r="N158">
        <v>272.10000000000002</v>
      </c>
      <c r="O158">
        <v>2127.9</v>
      </c>
      <c r="P158" t="s">
        <v>26</v>
      </c>
      <c r="Q158" t="s">
        <v>94</v>
      </c>
      <c r="R158" t="s">
        <v>48</v>
      </c>
      <c r="S158" t="str">
        <f>TRIM(PROPER(_xlfn.XLOOKUP(Table1[[#This Row],[ProductID_Clean]],Table3[ProductID],Table3[Category],"Missing Value",0)))</f>
        <v>Services</v>
      </c>
      <c r="T158" t="str">
        <f>_xlfn.XLOOKUP(Table1[[#This Row],[CustomerID_Check]],Table2[CustomerID],Table2[CustomerType],"Missing Value",0)</f>
        <v>Standard</v>
      </c>
    </row>
    <row r="159" spans="1:20">
      <c r="A159" t="s">
        <v>336</v>
      </c>
      <c r="B159" s="1">
        <v>45807</v>
      </c>
      <c r="C159" t="s">
        <v>146</v>
      </c>
      <c r="D159" t="str">
        <f>UPPER(Table1[[#This Row],[ProductID_Clean]])</f>
        <v>P-SI-003</v>
      </c>
      <c r="E159" t="s">
        <v>39</v>
      </c>
      <c r="F159" t="s">
        <v>47</v>
      </c>
      <c r="G159" t="str">
        <f>TRIM(Table1[[#This Row],[Region_Clean]])</f>
        <v>EMEA</v>
      </c>
      <c r="H159" t="s">
        <v>24</v>
      </c>
      <c r="I159" t="s">
        <v>87</v>
      </c>
      <c r="J159" s="3">
        <v>12</v>
      </c>
      <c r="K159" s="3">
        <v>1480.13</v>
      </c>
      <c r="L159">
        <v>1890</v>
      </c>
      <c r="M159">
        <v>22680</v>
      </c>
      <c r="N159">
        <v>4918.4399999999996</v>
      </c>
      <c r="O159">
        <v>17761.560000000001</v>
      </c>
      <c r="P159" t="s">
        <v>26</v>
      </c>
      <c r="Q159" t="s">
        <v>35</v>
      </c>
      <c r="R159" t="s">
        <v>44</v>
      </c>
      <c r="S159" t="str">
        <f>TRIM(PROPER(_xlfn.XLOOKUP(Table1[[#This Row],[ProductID_Clean]],Table3[ProductID],Table3[Category],"Missing Value",0)))</f>
        <v>Instruments</v>
      </c>
      <c r="T159" t="str">
        <f>_xlfn.XLOOKUP(Table1[[#This Row],[CustomerID_Check]],Table2[CustomerID],Table2[CustomerType],"Missing Value",0)</f>
        <v>Key Account</v>
      </c>
    </row>
    <row r="160" spans="1:20">
      <c r="A160" t="s">
        <v>337</v>
      </c>
      <c r="B160" s="1">
        <v>45681</v>
      </c>
      <c r="C160" t="s">
        <v>200</v>
      </c>
      <c r="D160" t="str">
        <f>UPPER(Table1[[#This Row],[ProductID_Clean]])</f>
        <v>P-SA-004</v>
      </c>
      <c r="E160" t="s">
        <v>86</v>
      </c>
      <c r="F160" t="s">
        <v>47</v>
      </c>
      <c r="G160" t="str">
        <f>TRIM(Table1[[#This Row],[Region_Clean]])</f>
        <v>EMEA</v>
      </c>
      <c r="H160" t="s">
        <v>53</v>
      </c>
      <c r="I160" t="s">
        <v>34</v>
      </c>
      <c r="J160" s="3">
        <v>1</v>
      </c>
      <c r="K160" s="3">
        <v>1375.45</v>
      </c>
      <c r="L160">
        <v>1650</v>
      </c>
      <c r="M160">
        <v>1650</v>
      </c>
      <c r="N160">
        <v>274.55</v>
      </c>
      <c r="O160">
        <v>1375.45</v>
      </c>
      <c r="P160" t="s">
        <v>26</v>
      </c>
      <c r="Q160" t="s">
        <v>88</v>
      </c>
      <c r="R160" t="s">
        <v>36</v>
      </c>
      <c r="S160" t="str">
        <f>TRIM(PROPER(_xlfn.XLOOKUP(Table1[[#This Row],[ProductID_Clean]],Table3[ProductID],Table3[Category],"Missing Value",0)))</f>
        <v>Software</v>
      </c>
      <c r="T160" t="str">
        <f>_xlfn.XLOOKUP(Table1[[#This Row],[CustomerID_Check]],Table2[CustomerID],Table2[CustomerType],"Missing Value",0)</f>
        <v>Key Account</v>
      </c>
    </row>
    <row r="161" spans="1:20">
      <c r="A161" t="s">
        <v>338</v>
      </c>
      <c r="B161" s="1">
        <v>45747</v>
      </c>
      <c r="C161" t="s">
        <v>339</v>
      </c>
      <c r="D161" t="str">
        <f>UPPER(Table1[[#This Row],[ProductID_Clean]])</f>
        <v>P-SI-008</v>
      </c>
      <c r="E161" t="s">
        <v>152</v>
      </c>
      <c r="F161" t="s">
        <v>47</v>
      </c>
      <c r="G161" t="str">
        <f>TRIM(Table1[[#This Row],[Region_Clean]])</f>
        <v>EMEA</v>
      </c>
      <c r="H161" t="s">
        <v>24</v>
      </c>
      <c r="I161" t="s">
        <v>25</v>
      </c>
      <c r="J161" s="3">
        <v>2</v>
      </c>
      <c r="K161" s="3">
        <v>884.52</v>
      </c>
      <c r="L161">
        <v>950</v>
      </c>
      <c r="M161">
        <v>1900</v>
      </c>
      <c r="N161">
        <v>130.96</v>
      </c>
      <c r="O161">
        <v>1769.04</v>
      </c>
      <c r="P161" t="s">
        <v>26</v>
      </c>
      <c r="Q161" t="s">
        <v>35</v>
      </c>
      <c r="R161" t="s">
        <v>48</v>
      </c>
      <c r="S161" t="str">
        <f>TRIM(PROPER(_xlfn.XLOOKUP(Table1[[#This Row],[ProductID_Clean]],Table3[ProductID],Table3[Category],"Missing Value",0)))</f>
        <v>Instruments</v>
      </c>
      <c r="T161" t="str">
        <f>_xlfn.XLOOKUP(Table1[[#This Row],[CustomerID_Check]],Table2[CustomerID],Table2[CustomerType],"Missing Value",0)</f>
        <v>Key Account</v>
      </c>
    </row>
    <row r="162" spans="1:20">
      <c r="A162" t="s">
        <v>340</v>
      </c>
      <c r="B162" s="1">
        <v>45829</v>
      </c>
      <c r="C162" t="s">
        <v>122</v>
      </c>
      <c r="D162" t="str">
        <f>UPPER(Table1[[#This Row],[ProductID_Clean]])</f>
        <v>P-SI-008</v>
      </c>
      <c r="E162" t="s">
        <v>152</v>
      </c>
      <c r="F162" t="s">
        <v>23</v>
      </c>
      <c r="G162" t="str">
        <f>TRIM(Table1[[#This Row],[Region_Clean]])</f>
        <v>N. AMERICA</v>
      </c>
      <c r="H162" t="s">
        <v>24</v>
      </c>
      <c r="I162" t="s">
        <v>25</v>
      </c>
      <c r="J162" s="3">
        <v>8</v>
      </c>
      <c r="K162" s="3">
        <v>886.93</v>
      </c>
      <c r="L162">
        <v>950</v>
      </c>
      <c r="M162">
        <v>7600</v>
      </c>
      <c r="N162">
        <v>504.56</v>
      </c>
      <c r="O162">
        <v>7095.44</v>
      </c>
      <c r="P162" t="s">
        <v>26</v>
      </c>
      <c r="Q162" t="s">
        <v>27</v>
      </c>
      <c r="R162" t="s">
        <v>48</v>
      </c>
      <c r="S162" t="str">
        <f>TRIM(PROPER(_xlfn.XLOOKUP(Table1[[#This Row],[ProductID_Clean]],Table3[ProductID],Table3[Category],"Missing Value",0)))</f>
        <v>Instruments</v>
      </c>
      <c r="T162" t="str">
        <f>_xlfn.XLOOKUP(Table1[[#This Row],[CustomerID_Check]],Table2[CustomerID],Table2[CustomerType],"Missing Value",0)</f>
        <v>Emerging</v>
      </c>
    </row>
    <row r="163" spans="1:20">
      <c r="A163" t="s">
        <v>341</v>
      </c>
      <c r="B163" s="1">
        <v>45699</v>
      </c>
      <c r="C163" t="s">
        <v>190</v>
      </c>
      <c r="D163" t="str">
        <f>UPPER(Table1[[#This Row],[ProductID_Clean]])</f>
        <v>P-SI-003</v>
      </c>
      <c r="E163" t="s">
        <v>39</v>
      </c>
      <c r="F163" t="s">
        <v>47</v>
      </c>
      <c r="G163" t="str">
        <f>TRIM(Table1[[#This Row],[Region_Clean]])</f>
        <v>EMEA</v>
      </c>
      <c r="H163" t="s">
        <v>24</v>
      </c>
      <c r="I163" t="s">
        <v>25</v>
      </c>
      <c r="J163" s="3">
        <v>1</v>
      </c>
      <c r="K163" s="3">
        <v>1533.84</v>
      </c>
      <c r="L163">
        <v>1890</v>
      </c>
      <c r="M163">
        <v>1890</v>
      </c>
      <c r="N163">
        <v>356.16</v>
      </c>
      <c r="O163">
        <v>1533.84</v>
      </c>
      <c r="P163" t="s">
        <v>26</v>
      </c>
      <c r="Q163" t="s">
        <v>40</v>
      </c>
      <c r="R163" t="s">
        <v>36</v>
      </c>
      <c r="S163" t="str">
        <f>TRIM(PROPER(_xlfn.XLOOKUP(Table1[[#This Row],[ProductID_Clean]],Table3[ProductID],Table3[Category],"Missing Value",0)))</f>
        <v>Instruments</v>
      </c>
      <c r="T163" t="str">
        <f>_xlfn.XLOOKUP(Table1[[#This Row],[CustomerID_Check]],Table2[CustomerID],Table2[CustomerType],"Missing Value",0)</f>
        <v>Strategic</v>
      </c>
    </row>
    <row r="164" spans="1:20">
      <c r="A164" t="s">
        <v>342</v>
      </c>
      <c r="B164" s="1">
        <v>45763</v>
      </c>
      <c r="C164" t="s">
        <v>106</v>
      </c>
      <c r="D164" t="str">
        <f>UPPER(Table1[[#This Row],[ProductID_Clean]])</f>
        <v>P-SI-006</v>
      </c>
      <c r="E164" t="s">
        <v>43</v>
      </c>
      <c r="F164" t="s">
        <v>58</v>
      </c>
      <c r="G164" t="str">
        <f>TRIM(Table1[[#This Row],[Region_Clean]])</f>
        <v>APAC</v>
      </c>
      <c r="H164" t="s">
        <v>24</v>
      </c>
      <c r="I164" t="s">
        <v>34</v>
      </c>
      <c r="J164" s="3">
        <v>3</v>
      </c>
      <c r="K164" s="3">
        <v>160.44</v>
      </c>
      <c r="L164">
        <v>215</v>
      </c>
      <c r="M164">
        <v>645</v>
      </c>
      <c r="N164">
        <v>163.68</v>
      </c>
      <c r="O164">
        <v>481.32</v>
      </c>
      <c r="P164" t="s">
        <v>26</v>
      </c>
      <c r="Q164" t="s">
        <v>27</v>
      </c>
      <c r="R164" t="s">
        <v>59</v>
      </c>
      <c r="S164" t="str">
        <f>TRIM(PROPER(_xlfn.XLOOKUP(Table1[[#This Row],[ProductID_Clean]],Table3[ProductID],Table3[Category],"Missing Value",0)))</f>
        <v>Sensors</v>
      </c>
      <c r="T164" t="str">
        <f>_xlfn.XLOOKUP(Table1[[#This Row],[CustomerID_Check]],Table2[CustomerID],Table2[CustomerType],"Missing Value",0)</f>
        <v>Key Account</v>
      </c>
    </row>
    <row r="165" spans="1:20">
      <c r="A165" t="s">
        <v>343</v>
      </c>
      <c r="B165" s="1">
        <v>45784</v>
      </c>
      <c r="C165" t="s">
        <v>344</v>
      </c>
      <c r="D165" t="str">
        <f>UPPER(Table1[[#This Row],[ProductID_Clean]])</f>
        <v>P-SI-005</v>
      </c>
      <c r="E165" t="s">
        <v>57</v>
      </c>
      <c r="F165" t="s">
        <v>23</v>
      </c>
      <c r="G165" t="str">
        <f>TRIM(Table1[[#This Row],[Region_Clean]])</f>
        <v>N. AMERICA</v>
      </c>
      <c r="H165" t="s">
        <v>24</v>
      </c>
      <c r="I165" t="s">
        <v>25</v>
      </c>
      <c r="J165" s="3">
        <v>5</v>
      </c>
      <c r="K165" s="3">
        <v>1115.06</v>
      </c>
      <c r="L165">
        <v>1120</v>
      </c>
      <c r="M165">
        <v>5600</v>
      </c>
      <c r="N165">
        <v>24.7</v>
      </c>
      <c r="O165">
        <v>5575.3</v>
      </c>
      <c r="P165" t="s">
        <v>26</v>
      </c>
      <c r="Q165" t="s">
        <v>35</v>
      </c>
      <c r="R165" t="s">
        <v>59</v>
      </c>
      <c r="S165" t="str">
        <f>TRIM(PROPER(_xlfn.XLOOKUP(Table1[[#This Row],[ProductID_Clean]],Table3[ProductID],Table3[Category],"Missing Value",0)))</f>
        <v>Sensors</v>
      </c>
      <c r="T165" t="str">
        <f>_xlfn.XLOOKUP(Table1[[#This Row],[CustomerID_Check]],Table2[CustomerID],Table2[CustomerType],"Missing Value",0)</f>
        <v>Standard</v>
      </c>
    </row>
    <row r="166" spans="1:20">
      <c r="A166" t="s">
        <v>345</v>
      </c>
      <c r="B166" s="1">
        <v>45827</v>
      </c>
      <c r="C166" t="s">
        <v>172</v>
      </c>
      <c r="D166" t="str">
        <f>UPPER(Table1[[#This Row],[ProductID_Clean]])</f>
        <v>P-SA-005</v>
      </c>
      <c r="E166" t="s">
        <v>62</v>
      </c>
      <c r="F166" t="s">
        <v>23</v>
      </c>
      <c r="G166" t="str">
        <f>TRIM(Table1[[#This Row],[Region_Clean]])</f>
        <v>N. AMERICA</v>
      </c>
      <c r="H166" t="s">
        <v>53</v>
      </c>
      <c r="I166" t="s">
        <v>87</v>
      </c>
      <c r="J166" s="3">
        <v>1</v>
      </c>
      <c r="K166" s="3">
        <v>2714.43</v>
      </c>
      <c r="L166">
        <v>3200</v>
      </c>
      <c r="M166">
        <v>3200</v>
      </c>
      <c r="N166">
        <v>485.57</v>
      </c>
      <c r="O166">
        <v>2714.43</v>
      </c>
      <c r="P166" t="s">
        <v>26</v>
      </c>
      <c r="Q166" t="s">
        <v>54</v>
      </c>
      <c r="R166" t="s">
        <v>36</v>
      </c>
      <c r="S166" t="str">
        <f>TRIM(PROPER(_xlfn.XLOOKUP(Table1[[#This Row],[ProductID_Clean]],Table3[ProductID],Table3[Category],"Missing Value",0)))</f>
        <v>Software / Integration</v>
      </c>
      <c r="T166" t="str">
        <f>_xlfn.XLOOKUP(Table1[[#This Row],[CustomerID_Check]],Table2[CustomerID],Table2[CustomerType],"Missing Value",0)</f>
        <v>Key Account</v>
      </c>
    </row>
    <row r="167" spans="1:20">
      <c r="A167" t="s">
        <v>346</v>
      </c>
      <c r="B167" s="1">
        <v>45798</v>
      </c>
      <c r="C167" t="s">
        <v>132</v>
      </c>
      <c r="D167" t="str">
        <f>UPPER(Table1[[#This Row],[ProductID_Clean]])</f>
        <v>P-SA-001</v>
      </c>
      <c r="E167" t="s">
        <v>68</v>
      </c>
      <c r="F167" t="s">
        <v>47</v>
      </c>
      <c r="G167" t="str">
        <f>TRIM(Table1[[#This Row],[Region_Clean]])</f>
        <v>EMEA</v>
      </c>
      <c r="H167" t="s">
        <v>53</v>
      </c>
      <c r="I167" t="s">
        <v>184</v>
      </c>
      <c r="J167" s="3">
        <v>1</v>
      </c>
      <c r="K167" s="3">
        <v>3396.98</v>
      </c>
      <c r="L167">
        <v>4200</v>
      </c>
      <c r="M167">
        <v>4200</v>
      </c>
      <c r="N167">
        <v>803.02</v>
      </c>
      <c r="O167">
        <v>3396.98</v>
      </c>
      <c r="P167" t="s">
        <v>26</v>
      </c>
      <c r="Q167" t="s">
        <v>54</v>
      </c>
      <c r="R167" t="s">
        <v>48</v>
      </c>
      <c r="S167" t="str">
        <f>TRIM(PROPER(_xlfn.XLOOKUP(Table1[[#This Row],[ProductID_Clean]],Table3[ProductID],Table3[Category],"Missing Value",0)))</f>
        <v>Software</v>
      </c>
      <c r="T167" t="str">
        <f>_xlfn.XLOOKUP(Table1[[#This Row],[CustomerID_Check]],Table2[CustomerID],Table2[CustomerType],"Missing Value",0)</f>
        <v>Key Account</v>
      </c>
    </row>
    <row r="168" spans="1:20">
      <c r="A168" t="s">
        <v>347</v>
      </c>
      <c r="B168" s="1">
        <v>45774</v>
      </c>
      <c r="C168" t="s">
        <v>194</v>
      </c>
      <c r="D168" t="str">
        <f>UPPER(Table1[[#This Row],[ProductID_Clean]])</f>
        <v>P-SI-001</v>
      </c>
      <c r="E168" t="s">
        <v>72</v>
      </c>
      <c r="F168" t="s">
        <v>52</v>
      </c>
      <c r="G168" t="str">
        <f>TRIM(Table1[[#This Row],[Region_Clean]])</f>
        <v>N. AMERICA</v>
      </c>
      <c r="H168" t="s">
        <v>24</v>
      </c>
      <c r="I168" t="s">
        <v>87</v>
      </c>
      <c r="J168" s="3">
        <v>2</v>
      </c>
      <c r="K168" s="3">
        <v>375.7</v>
      </c>
      <c r="L168">
        <v>485</v>
      </c>
      <c r="M168">
        <v>970</v>
      </c>
      <c r="N168">
        <v>218.6</v>
      </c>
      <c r="O168">
        <v>751.4</v>
      </c>
      <c r="P168" t="s">
        <v>26</v>
      </c>
      <c r="Q168" t="s">
        <v>65</v>
      </c>
      <c r="R168" t="s">
        <v>36</v>
      </c>
      <c r="S168" t="str">
        <f>TRIM(PROPER(_xlfn.XLOOKUP(Table1[[#This Row],[ProductID_Clean]],Table3[ProductID],Table3[Category],"Missing Value",0)))</f>
        <v>Sensors</v>
      </c>
      <c r="T168" t="str">
        <f>_xlfn.XLOOKUP(Table1[[#This Row],[CustomerID_Check]],Table2[CustomerID],Table2[CustomerType],"Missing Value",0)</f>
        <v>Strategic</v>
      </c>
    </row>
    <row r="169" spans="1:20">
      <c r="A169" t="s">
        <v>348</v>
      </c>
      <c r="B169" s="1">
        <v>45740</v>
      </c>
      <c r="C169" t="s">
        <v>344</v>
      </c>
      <c r="D169" t="str">
        <f>UPPER(Table1[[#This Row],[ProductID_Clean]])</f>
        <v>P-SI-001</v>
      </c>
      <c r="E169" t="s">
        <v>72</v>
      </c>
      <c r="F169" t="s">
        <v>23</v>
      </c>
      <c r="G169" t="str">
        <f>TRIM(Table1[[#This Row],[Region_Clean]])</f>
        <v>N. AMERICA</v>
      </c>
      <c r="H169" t="s">
        <v>24</v>
      </c>
      <c r="I169" t="s">
        <v>87</v>
      </c>
      <c r="J169" s="3">
        <v>3</v>
      </c>
      <c r="K169" s="3">
        <v>420.9</v>
      </c>
      <c r="L169">
        <v>485</v>
      </c>
      <c r="M169">
        <v>1455</v>
      </c>
      <c r="N169">
        <v>192.3</v>
      </c>
      <c r="O169">
        <v>1262.7</v>
      </c>
      <c r="P169" t="s">
        <v>26</v>
      </c>
      <c r="Q169" t="s">
        <v>35</v>
      </c>
      <c r="R169" t="s">
        <v>59</v>
      </c>
      <c r="S169" t="str">
        <f>TRIM(PROPER(_xlfn.XLOOKUP(Table1[[#This Row],[ProductID_Clean]],Table3[ProductID],Table3[Category],"Missing Value",0)))</f>
        <v>Sensors</v>
      </c>
      <c r="T169" t="str">
        <f>_xlfn.XLOOKUP(Table1[[#This Row],[CustomerID_Check]],Table2[CustomerID],Table2[CustomerType],"Missing Value",0)</f>
        <v>Standard</v>
      </c>
    </row>
    <row r="170" spans="1:20">
      <c r="A170" t="s">
        <v>349</v>
      </c>
      <c r="B170" s="1">
        <v>45777</v>
      </c>
      <c r="C170" t="s">
        <v>30</v>
      </c>
      <c r="D170" t="str">
        <f>UPPER(Table1[[#This Row],[ProductID_Clean]])</f>
        <v>P-SA-002</v>
      </c>
      <c r="E170" t="s">
        <v>147</v>
      </c>
      <c r="F170" t="s">
        <v>32</v>
      </c>
      <c r="G170" t="str">
        <f>TRIM(Table1[[#This Row],[Region_Clean]])</f>
        <v>LATIN AMERICA</v>
      </c>
      <c r="H170" t="s">
        <v>53</v>
      </c>
      <c r="I170" t="s">
        <v>25</v>
      </c>
      <c r="J170" s="3">
        <v>1</v>
      </c>
      <c r="K170" s="3">
        <v>7470.53</v>
      </c>
      <c r="L170">
        <v>9800</v>
      </c>
      <c r="M170">
        <v>9800</v>
      </c>
      <c r="N170">
        <v>2329.4700000000003</v>
      </c>
      <c r="O170">
        <v>7470.53</v>
      </c>
      <c r="P170" t="s">
        <v>26</v>
      </c>
      <c r="Q170" t="s">
        <v>88</v>
      </c>
      <c r="R170" t="s">
        <v>36</v>
      </c>
      <c r="S170" t="str">
        <f>TRIM(PROPER(_xlfn.XLOOKUP(Table1[[#This Row],[ProductID_Clean]],Table3[ProductID],Table3[Category],"Missing Value",0)))</f>
        <v>Software</v>
      </c>
      <c r="T170" t="str">
        <f>_xlfn.XLOOKUP(Table1[[#This Row],[CustomerID_Check]],Table2[CustomerID],Table2[CustomerType],"Missing Value",0)</f>
        <v>Strategic</v>
      </c>
    </row>
    <row r="171" spans="1:20">
      <c r="A171" t="s">
        <v>350</v>
      </c>
      <c r="B171" s="1">
        <v>45658</v>
      </c>
      <c r="C171" t="s">
        <v>246</v>
      </c>
      <c r="D171" t="str">
        <f>UPPER(Table1[[#This Row],[ProductID_Clean]])</f>
        <v>P-SA-001</v>
      </c>
      <c r="E171" t="s">
        <v>68</v>
      </c>
      <c r="F171" t="s">
        <v>23</v>
      </c>
      <c r="G171" t="str">
        <f>TRIM(Table1[[#This Row],[Region_Clean]])</f>
        <v>N. AMERICA</v>
      </c>
      <c r="H171" t="s">
        <v>53</v>
      </c>
      <c r="I171" t="s">
        <v>25</v>
      </c>
      <c r="J171" s="3">
        <v>5</v>
      </c>
      <c r="K171" s="3">
        <v>3758.63</v>
      </c>
      <c r="L171">
        <v>4200</v>
      </c>
      <c r="M171">
        <v>21000</v>
      </c>
      <c r="N171">
        <v>2206.85</v>
      </c>
      <c r="O171">
        <v>18793.150000000001</v>
      </c>
      <c r="P171" t="s">
        <v>113</v>
      </c>
      <c r="Q171" t="s">
        <v>54</v>
      </c>
      <c r="R171" t="s">
        <v>48</v>
      </c>
      <c r="S171" t="str">
        <f>TRIM(PROPER(_xlfn.XLOOKUP(Table1[[#This Row],[ProductID_Clean]],Table3[ProductID],Table3[Category],"Missing Value",0)))</f>
        <v>Software</v>
      </c>
      <c r="T171" t="str">
        <f>_xlfn.XLOOKUP(Table1[[#This Row],[CustomerID_Check]],Table2[CustomerID],Table2[CustomerType],"Missing Value",0)</f>
        <v>Key Account</v>
      </c>
    </row>
    <row r="172" spans="1:20">
      <c r="A172" t="s">
        <v>351</v>
      </c>
      <c r="B172" s="1">
        <v>45796</v>
      </c>
      <c r="C172" t="s">
        <v>222</v>
      </c>
      <c r="D172" t="str">
        <f>UPPER(Table1[[#This Row],[ProductID_Clean]])</f>
        <v>P-SI-006</v>
      </c>
      <c r="E172" t="s">
        <v>43</v>
      </c>
      <c r="F172" t="s">
        <v>47</v>
      </c>
      <c r="G172" t="str">
        <f>TRIM(Table1[[#This Row],[Region_Clean]])</f>
        <v>EMEA</v>
      </c>
      <c r="H172" t="s">
        <v>24</v>
      </c>
      <c r="I172" t="s">
        <v>25</v>
      </c>
      <c r="J172" s="3">
        <v>3</v>
      </c>
      <c r="K172" s="3">
        <v>174.42</v>
      </c>
      <c r="L172">
        <v>215</v>
      </c>
      <c r="M172">
        <v>645</v>
      </c>
      <c r="N172">
        <v>121.74</v>
      </c>
      <c r="O172">
        <v>523.26</v>
      </c>
      <c r="P172" t="s">
        <v>26</v>
      </c>
      <c r="Q172" t="s">
        <v>27</v>
      </c>
      <c r="R172" t="s">
        <v>28</v>
      </c>
      <c r="S172" t="str">
        <f>TRIM(PROPER(_xlfn.XLOOKUP(Table1[[#This Row],[ProductID_Clean]],Table3[ProductID],Table3[Category],"Missing Value",0)))</f>
        <v>Sensors</v>
      </c>
      <c r="T172" t="str">
        <f>_xlfn.XLOOKUP(Table1[[#This Row],[CustomerID_Check]],Table2[CustomerID],Table2[CustomerType],"Missing Value",0)</f>
        <v>Standard</v>
      </c>
    </row>
    <row r="173" spans="1:20">
      <c r="A173" t="s">
        <v>352</v>
      </c>
      <c r="B173" s="1">
        <v>45763</v>
      </c>
      <c r="C173" t="s">
        <v>67</v>
      </c>
      <c r="D173" t="str">
        <f>UPPER(Table1[[#This Row],[ProductID_Clean]])</f>
        <v>P-SI-008</v>
      </c>
      <c r="E173" t="s">
        <v>152</v>
      </c>
      <c r="F173" t="s">
        <v>23</v>
      </c>
      <c r="G173" t="str">
        <f>TRIM(Table1[[#This Row],[Region_Clean]])</f>
        <v>N. AMERICA</v>
      </c>
      <c r="H173" t="s">
        <v>24</v>
      </c>
      <c r="I173" t="s">
        <v>87</v>
      </c>
      <c r="J173" s="3">
        <v>3</v>
      </c>
      <c r="K173" s="3">
        <v>789.34</v>
      </c>
      <c r="L173">
        <v>950</v>
      </c>
      <c r="M173">
        <v>2850</v>
      </c>
      <c r="N173">
        <v>481.98</v>
      </c>
      <c r="O173">
        <v>2368.02</v>
      </c>
      <c r="P173" t="s">
        <v>26</v>
      </c>
      <c r="Q173" t="s">
        <v>35</v>
      </c>
      <c r="R173" t="s">
        <v>59</v>
      </c>
      <c r="S173" t="str">
        <f>TRIM(PROPER(_xlfn.XLOOKUP(Table1[[#This Row],[ProductID_Clean]],Table3[ProductID],Table3[Category],"Missing Value",0)))</f>
        <v>Instruments</v>
      </c>
      <c r="T173" t="str">
        <f>_xlfn.XLOOKUP(Table1[[#This Row],[CustomerID_Check]],Table2[CustomerID],Table2[CustomerType],"Missing Value",0)</f>
        <v>Strategic</v>
      </c>
    </row>
    <row r="174" spans="1:20">
      <c r="A174" t="s">
        <v>354</v>
      </c>
      <c r="B174" s="1">
        <v>45750</v>
      </c>
      <c r="C174" t="s">
        <v>212</v>
      </c>
      <c r="D174" t="str">
        <f>UPPER(Table1[[#This Row],[ProductID_Clean]])</f>
        <v>P-SI-001</v>
      </c>
      <c r="E174" t="s">
        <v>72</v>
      </c>
      <c r="F174" t="s">
        <v>47</v>
      </c>
      <c r="G174" t="str">
        <f>TRIM(Table1[[#This Row],[Region_Clean]])</f>
        <v>EMEA</v>
      </c>
      <c r="H174" t="s">
        <v>24</v>
      </c>
      <c r="I174" t="s">
        <v>25</v>
      </c>
      <c r="J174" s="3">
        <v>8</v>
      </c>
      <c r="K174" s="3">
        <v>465</v>
      </c>
      <c r="L174">
        <v>485</v>
      </c>
      <c r="M174">
        <v>3880</v>
      </c>
      <c r="N174">
        <v>160</v>
      </c>
      <c r="O174">
        <v>3720</v>
      </c>
      <c r="P174" t="s">
        <v>26</v>
      </c>
      <c r="Q174" t="s">
        <v>35</v>
      </c>
      <c r="R174" t="s">
        <v>44</v>
      </c>
      <c r="S174" t="str">
        <f>TRIM(PROPER(_xlfn.XLOOKUP(Table1[[#This Row],[ProductID_Clean]],Table3[ProductID],Table3[Category],"Missing Value",0)))</f>
        <v>Sensors</v>
      </c>
      <c r="T174" t="str">
        <f>_xlfn.XLOOKUP(Table1[[#This Row],[CustomerID_Check]],Table2[CustomerID],Table2[CustomerType],"Missing Value",0)</f>
        <v>Key Account</v>
      </c>
    </row>
    <row r="175" spans="1:20">
      <c r="A175" t="s">
        <v>355</v>
      </c>
      <c r="B175" s="1">
        <v>45785</v>
      </c>
      <c r="C175" t="s">
        <v>89</v>
      </c>
      <c r="D175" t="str">
        <f>UPPER(Table1[[#This Row],[ProductID_Clean]])</f>
        <v>P-SI-004</v>
      </c>
      <c r="E175" t="s">
        <v>22</v>
      </c>
      <c r="F175" t="s">
        <v>58</v>
      </c>
      <c r="G175" t="str">
        <f>TRIM(Table1[[#This Row],[Region_Clean]])</f>
        <v>APAC</v>
      </c>
      <c r="H175" t="s">
        <v>24</v>
      </c>
      <c r="I175" t="s">
        <v>87</v>
      </c>
      <c r="J175" s="3">
        <v>8</v>
      </c>
      <c r="K175" s="3">
        <v>1787.13</v>
      </c>
      <c r="L175">
        <v>2450</v>
      </c>
      <c r="M175">
        <v>19600</v>
      </c>
      <c r="N175">
        <v>5302.96</v>
      </c>
      <c r="O175">
        <v>14297.04</v>
      </c>
      <c r="P175" t="s">
        <v>126</v>
      </c>
      <c r="Q175" t="s">
        <v>35</v>
      </c>
      <c r="R175" t="s">
        <v>44</v>
      </c>
      <c r="S175" t="str">
        <f>TRIM(PROPER(_xlfn.XLOOKUP(Table1[[#This Row],[ProductID_Clean]],Table3[ProductID],Table3[Category],"Missing Value",0)))</f>
        <v>Instruments</v>
      </c>
      <c r="T175" t="str">
        <f>_xlfn.XLOOKUP(Table1[[#This Row],[CustomerID_Check]],Table2[CustomerID],Table2[CustomerType],"Missing Value",0)</f>
        <v>Strategic</v>
      </c>
    </row>
    <row r="176" spans="1:20">
      <c r="A176" t="s">
        <v>356</v>
      </c>
      <c r="B176" s="1">
        <v>45771</v>
      </c>
      <c r="C176" t="s">
        <v>143</v>
      </c>
      <c r="D176" t="str">
        <f>UPPER(Table1[[#This Row],[ProductID_Clean]])</f>
        <v>P-SA-002</v>
      </c>
      <c r="E176" t="s">
        <v>147</v>
      </c>
      <c r="F176" t="s">
        <v>23</v>
      </c>
      <c r="G176" t="str">
        <f>TRIM(Table1[[#This Row],[Region_Clean]])</f>
        <v>N. AMERICA</v>
      </c>
      <c r="H176" t="s">
        <v>53</v>
      </c>
      <c r="I176" t="s">
        <v>87</v>
      </c>
      <c r="J176" s="3">
        <v>1</v>
      </c>
      <c r="K176" s="3">
        <v>7362.38</v>
      </c>
      <c r="L176">
        <v>9800</v>
      </c>
      <c r="M176">
        <v>9800</v>
      </c>
      <c r="N176">
        <v>2437.62</v>
      </c>
      <c r="O176">
        <v>7362.38</v>
      </c>
      <c r="P176" t="s">
        <v>26</v>
      </c>
      <c r="Q176" t="s">
        <v>54</v>
      </c>
      <c r="R176" t="s">
        <v>28</v>
      </c>
      <c r="S176" t="str">
        <f>TRIM(PROPER(_xlfn.XLOOKUP(Table1[[#This Row],[ProductID_Clean]],Table3[ProductID],Table3[Category],"Missing Value",0)))</f>
        <v>Software</v>
      </c>
      <c r="T176" t="str">
        <f>_xlfn.XLOOKUP(Table1[[#This Row],[CustomerID_Check]],Table2[CustomerID],Table2[CustomerType],"Missing Value",0)</f>
        <v>Strategic</v>
      </c>
    </row>
    <row r="177" spans="1:20">
      <c r="A177" t="s">
        <v>357</v>
      </c>
      <c r="B177" s="1">
        <v>45710</v>
      </c>
      <c r="C177" t="s">
        <v>182</v>
      </c>
      <c r="D177" t="str">
        <f>UPPER(Table1[[#This Row],[ProductID_Clean]])</f>
        <v>P-FS-005</v>
      </c>
      <c r="E177" t="s">
        <v>101</v>
      </c>
      <c r="F177" t="s">
        <v>47</v>
      </c>
      <c r="G177" t="str">
        <f>TRIM(Table1[[#This Row],[Region_Clean]])</f>
        <v>EMEA</v>
      </c>
      <c r="H177" t="s">
        <v>82</v>
      </c>
      <c r="I177" t="s">
        <v>87</v>
      </c>
      <c r="J177" s="3">
        <v>1</v>
      </c>
      <c r="K177" s="3">
        <v>717.35</v>
      </c>
      <c r="L177">
        <v>950</v>
      </c>
      <c r="M177">
        <v>950</v>
      </c>
      <c r="N177">
        <v>232.65</v>
      </c>
      <c r="O177">
        <v>717.35</v>
      </c>
      <c r="P177" t="s">
        <v>26</v>
      </c>
      <c r="Q177" t="s">
        <v>27</v>
      </c>
      <c r="R177" t="s">
        <v>44</v>
      </c>
      <c r="S177" t="str">
        <f>TRIM(PROPER(_xlfn.XLOOKUP(Table1[[#This Row],[ProductID_Clean]],Table3[ProductID],Table3[Category],"Missing Value",0)))</f>
        <v>Services</v>
      </c>
      <c r="T177" t="str">
        <f>_xlfn.XLOOKUP(Table1[[#This Row],[CustomerID_Check]],Table2[CustomerID],Table2[CustomerType],"Missing Value",0)</f>
        <v>Key Account</v>
      </c>
    </row>
    <row r="178" spans="1:20">
      <c r="A178" t="s">
        <v>358</v>
      </c>
      <c r="B178" s="1">
        <v>45798</v>
      </c>
      <c r="C178" t="s">
        <v>89</v>
      </c>
      <c r="D178" t="str">
        <f>UPPER(Table1[[#This Row],[ProductID_Clean]])</f>
        <v>P-FS-005</v>
      </c>
      <c r="E178" t="s">
        <v>101</v>
      </c>
      <c r="F178" t="s">
        <v>58</v>
      </c>
      <c r="G178" t="str">
        <f>TRIM(Table1[[#This Row],[Region_Clean]])</f>
        <v>APAC</v>
      </c>
      <c r="H178" t="s">
        <v>82</v>
      </c>
      <c r="I178" t="s">
        <v>25</v>
      </c>
      <c r="J178" s="3">
        <v>1</v>
      </c>
      <c r="K178" s="3">
        <v>728.71</v>
      </c>
      <c r="L178">
        <v>950</v>
      </c>
      <c r="M178">
        <v>950</v>
      </c>
      <c r="N178">
        <v>221.29</v>
      </c>
      <c r="O178">
        <v>728.71</v>
      </c>
      <c r="P178" t="s">
        <v>26</v>
      </c>
      <c r="Q178" t="s">
        <v>35</v>
      </c>
      <c r="R178" t="s">
        <v>44</v>
      </c>
      <c r="S178" t="str">
        <f>TRIM(PROPER(_xlfn.XLOOKUP(Table1[[#This Row],[ProductID_Clean]],Table3[ProductID],Table3[Category],"Missing Value",0)))</f>
        <v>Services</v>
      </c>
      <c r="T178" t="str">
        <f>_xlfn.XLOOKUP(Table1[[#This Row],[CustomerID_Check]],Table2[CustomerID],Table2[CustomerType],"Missing Value",0)</f>
        <v>Strategic</v>
      </c>
    </row>
    <row r="179" spans="1:20">
      <c r="A179" t="s">
        <v>359</v>
      </c>
      <c r="B179" s="1">
        <v>45731</v>
      </c>
      <c r="C179" t="s">
        <v>125</v>
      </c>
      <c r="D179" t="str">
        <f>UPPER(Table1[[#This Row],[ProductID_Clean]])</f>
        <v>P-SA-005</v>
      </c>
      <c r="E179" t="s">
        <v>62</v>
      </c>
      <c r="F179" t="s">
        <v>58</v>
      </c>
      <c r="G179" t="str">
        <f>TRIM(Table1[[#This Row],[Region_Clean]])</f>
        <v>APAC</v>
      </c>
      <c r="H179" t="s">
        <v>53</v>
      </c>
      <c r="I179" t="s">
        <v>87</v>
      </c>
      <c r="J179" s="3">
        <v>2</v>
      </c>
      <c r="K179" s="3">
        <v>2323.52</v>
      </c>
      <c r="L179">
        <v>3200</v>
      </c>
      <c r="M179">
        <v>6400</v>
      </c>
      <c r="N179">
        <v>1752.96</v>
      </c>
      <c r="O179">
        <v>4647.04</v>
      </c>
      <c r="P179" t="s">
        <v>26</v>
      </c>
      <c r="Q179" t="s">
        <v>189</v>
      </c>
      <c r="R179" t="s">
        <v>36</v>
      </c>
      <c r="S179" t="str">
        <f>TRIM(PROPER(_xlfn.XLOOKUP(Table1[[#This Row],[ProductID_Clean]],Table3[ProductID],Table3[Category],"Missing Value",0)))</f>
        <v>Software / Integration</v>
      </c>
      <c r="T179" t="str">
        <f>_xlfn.XLOOKUP(Table1[[#This Row],[CustomerID_Check]],Table2[CustomerID],Table2[CustomerType],"Missing Value",0)</f>
        <v>Strategic</v>
      </c>
    </row>
    <row r="180" spans="1:20">
      <c r="A180" t="s">
        <v>360</v>
      </c>
      <c r="B180" s="1">
        <v>45836</v>
      </c>
      <c r="C180" t="s">
        <v>361</v>
      </c>
      <c r="D180" t="str">
        <f>UPPER(Table1[[#This Row],[ProductID_Clean]])</f>
        <v>P-SI-002</v>
      </c>
      <c r="E180" t="s">
        <v>31</v>
      </c>
      <c r="F180" t="s">
        <v>58</v>
      </c>
      <c r="G180" t="str">
        <f>TRIM(Table1[[#This Row],[Region_Clean]])</f>
        <v>APAC</v>
      </c>
      <c r="H180" t="s">
        <v>24</v>
      </c>
      <c r="I180" t="s">
        <v>25</v>
      </c>
      <c r="J180" s="3">
        <v>4</v>
      </c>
      <c r="K180" s="3">
        <v>597.39</v>
      </c>
      <c r="L180">
        <v>725</v>
      </c>
      <c r="M180">
        <v>2900</v>
      </c>
      <c r="N180">
        <v>510.44</v>
      </c>
      <c r="O180">
        <v>2389.56</v>
      </c>
      <c r="P180" t="s">
        <v>26</v>
      </c>
      <c r="Q180" t="s">
        <v>27</v>
      </c>
      <c r="R180" t="s">
        <v>44</v>
      </c>
      <c r="S180" t="str">
        <f>TRIM(PROPER(_xlfn.XLOOKUP(Table1[[#This Row],[ProductID_Clean]],Table3[ProductID],Table3[Category],"Missing Value",0)))</f>
        <v>Sensors</v>
      </c>
      <c r="T180" t="str">
        <f>_xlfn.XLOOKUP(Table1[[#This Row],[CustomerID_Check]],Table2[CustomerID],Table2[CustomerType],"Missing Value",0)</f>
        <v>Standard</v>
      </c>
    </row>
    <row r="181" spans="1:20">
      <c r="A181" t="s">
        <v>362</v>
      </c>
      <c r="B181" s="1">
        <v>45819</v>
      </c>
      <c r="C181" t="s">
        <v>310</v>
      </c>
      <c r="D181" t="str">
        <f>UPPER(Table1[[#This Row],[ProductID_Clean]])</f>
        <v>P-SI-004</v>
      </c>
      <c r="E181" t="s">
        <v>22</v>
      </c>
      <c r="F181" t="s">
        <v>47</v>
      </c>
      <c r="G181" t="str">
        <f>TRIM(Table1[[#This Row],[Region_Clean]])</f>
        <v>EMEA</v>
      </c>
      <c r="H181" t="s">
        <v>24</v>
      </c>
      <c r="I181" t="s">
        <v>25</v>
      </c>
      <c r="J181" s="3">
        <v>2</v>
      </c>
      <c r="K181" s="3">
        <v>2339.25</v>
      </c>
      <c r="L181">
        <v>2450</v>
      </c>
      <c r="M181">
        <v>4900</v>
      </c>
      <c r="N181">
        <v>221.5</v>
      </c>
      <c r="O181">
        <v>4678.5</v>
      </c>
      <c r="P181" t="s">
        <v>26</v>
      </c>
      <c r="Q181" t="s">
        <v>35</v>
      </c>
      <c r="R181" t="s">
        <v>44</v>
      </c>
      <c r="S181" t="str">
        <f>TRIM(PROPER(_xlfn.XLOOKUP(Table1[[#This Row],[ProductID_Clean]],Table3[ProductID],Table3[Category],"Missing Value",0)))</f>
        <v>Instruments</v>
      </c>
      <c r="T181" t="str">
        <f>_xlfn.XLOOKUP(Table1[[#This Row],[CustomerID_Check]],Table2[CustomerID],Table2[CustomerType],"Missing Value",0)</f>
        <v>Standard</v>
      </c>
    </row>
    <row r="182" spans="1:20">
      <c r="A182" t="s">
        <v>363</v>
      </c>
      <c r="B182" s="1">
        <v>45719</v>
      </c>
      <c r="C182" t="s">
        <v>91</v>
      </c>
      <c r="D182" t="str">
        <f>UPPER(Table1[[#This Row],[ProductID_Clean]])</f>
        <v>P-SI-006</v>
      </c>
      <c r="E182" t="s">
        <v>43</v>
      </c>
      <c r="F182" t="s">
        <v>23</v>
      </c>
      <c r="G182" t="str">
        <f>TRIM(Table1[[#This Row],[Region_Clean]])</f>
        <v>N. AMERICA</v>
      </c>
      <c r="H182" t="s">
        <v>24</v>
      </c>
      <c r="I182" t="s">
        <v>98</v>
      </c>
      <c r="J182" s="3">
        <v>2</v>
      </c>
      <c r="K182" s="3">
        <v>191.1</v>
      </c>
      <c r="L182">
        <v>215</v>
      </c>
      <c r="M182">
        <v>430</v>
      </c>
      <c r="N182">
        <v>47.8</v>
      </c>
      <c r="O182">
        <v>382.2</v>
      </c>
      <c r="P182" t="s">
        <v>26</v>
      </c>
      <c r="Q182" t="s">
        <v>40</v>
      </c>
      <c r="R182" t="s">
        <v>48</v>
      </c>
      <c r="S182" t="str">
        <f>TRIM(PROPER(_xlfn.XLOOKUP(Table1[[#This Row],[ProductID_Clean]],Table3[ProductID],Table3[Category],"Missing Value",0)))</f>
        <v>Sensors</v>
      </c>
      <c r="T182" t="str">
        <f>_xlfn.XLOOKUP(Table1[[#This Row],[CustomerID_Check]],Table2[CustomerID],Table2[CustomerType],"Missing Value",0)</f>
        <v>Key Account</v>
      </c>
    </row>
    <row r="183" spans="1:20">
      <c r="A183" t="s">
        <v>364</v>
      </c>
      <c r="B183" s="1">
        <v>45698</v>
      </c>
      <c r="C183" t="s">
        <v>56</v>
      </c>
      <c r="D183" t="str">
        <f>UPPER(Table1[[#This Row],[ProductID_Clean]])</f>
        <v>P-SI-001</v>
      </c>
      <c r="E183" t="s">
        <v>72</v>
      </c>
      <c r="F183" t="s">
        <v>58</v>
      </c>
      <c r="G183" t="str">
        <f>TRIM(Table1[[#This Row],[Region_Clean]])</f>
        <v>APAC</v>
      </c>
      <c r="H183" t="s">
        <v>24</v>
      </c>
      <c r="I183" t="s">
        <v>25</v>
      </c>
      <c r="J183" s="3">
        <v>3</v>
      </c>
      <c r="K183" s="3">
        <v>381.71</v>
      </c>
      <c r="L183">
        <v>485</v>
      </c>
      <c r="M183">
        <v>1455</v>
      </c>
      <c r="N183">
        <v>309.87</v>
      </c>
      <c r="O183">
        <v>1145.1300000000001</v>
      </c>
      <c r="P183" t="s">
        <v>26</v>
      </c>
      <c r="Q183" t="s">
        <v>27</v>
      </c>
      <c r="R183" t="s">
        <v>59</v>
      </c>
      <c r="S183" t="str">
        <f>TRIM(PROPER(_xlfn.XLOOKUP(Table1[[#This Row],[ProductID_Clean]],Table3[ProductID],Table3[Category],"Missing Value",0)))</f>
        <v>Sensors</v>
      </c>
      <c r="T183" t="str">
        <f>_xlfn.XLOOKUP(Table1[[#This Row],[CustomerID_Check]],Table2[CustomerID],Table2[CustomerType],"Missing Value",0)</f>
        <v>Key Account</v>
      </c>
    </row>
    <row r="184" spans="1:20">
      <c r="A184" t="s">
        <v>365</v>
      </c>
      <c r="B184" s="1">
        <v>45799</v>
      </c>
      <c r="C184" t="s">
        <v>30</v>
      </c>
      <c r="D184" t="str">
        <f>UPPER(Table1[[#This Row],[ProductID_Clean]])</f>
        <v>P-FS-005</v>
      </c>
      <c r="E184" t="s">
        <v>101</v>
      </c>
      <c r="F184" t="s">
        <v>32</v>
      </c>
      <c r="G184" t="str">
        <f>TRIM(Table1[[#This Row],[Region_Clean]])</f>
        <v>LATIN AMERICA</v>
      </c>
      <c r="H184" t="s">
        <v>82</v>
      </c>
      <c r="I184" t="s">
        <v>87</v>
      </c>
      <c r="J184" s="3">
        <v>1</v>
      </c>
      <c r="K184" s="3">
        <v>685.08</v>
      </c>
      <c r="L184">
        <v>950</v>
      </c>
      <c r="M184">
        <v>950</v>
      </c>
      <c r="N184">
        <v>264.92</v>
      </c>
      <c r="O184">
        <v>685.08</v>
      </c>
      <c r="P184" t="s">
        <v>26</v>
      </c>
      <c r="Q184" t="s">
        <v>35</v>
      </c>
      <c r="R184" t="s">
        <v>36</v>
      </c>
      <c r="S184" t="str">
        <f>TRIM(PROPER(_xlfn.XLOOKUP(Table1[[#This Row],[ProductID_Clean]],Table3[ProductID],Table3[Category],"Missing Value",0)))</f>
        <v>Services</v>
      </c>
      <c r="T184" t="str">
        <f>_xlfn.XLOOKUP(Table1[[#This Row],[CustomerID_Check]],Table2[CustomerID],Table2[CustomerType],"Missing Value",0)</f>
        <v>Strategic</v>
      </c>
    </row>
    <row r="185" spans="1:20">
      <c r="A185" t="s">
        <v>366</v>
      </c>
      <c r="B185" s="1">
        <v>45799</v>
      </c>
      <c r="C185" t="s">
        <v>30</v>
      </c>
      <c r="D185" t="str">
        <f>UPPER(Table1[[#This Row],[ProductID_Clean]])</f>
        <v>P-SI-005</v>
      </c>
      <c r="E185" t="s">
        <v>57</v>
      </c>
      <c r="F185" t="s">
        <v>32</v>
      </c>
      <c r="G185" t="str">
        <f>TRIM(Table1[[#This Row],[Region_Clean]])</f>
        <v>LATIN AMERICA</v>
      </c>
      <c r="H185" t="s">
        <v>24</v>
      </c>
      <c r="I185" t="s">
        <v>25</v>
      </c>
      <c r="J185" s="3">
        <v>2</v>
      </c>
      <c r="K185" s="3">
        <v>982.64</v>
      </c>
      <c r="L185">
        <v>1120</v>
      </c>
      <c r="M185">
        <v>2240</v>
      </c>
      <c r="N185">
        <v>274.72000000000003</v>
      </c>
      <c r="O185">
        <v>1965.28</v>
      </c>
      <c r="P185" t="s">
        <v>26</v>
      </c>
      <c r="Q185" t="s">
        <v>27</v>
      </c>
      <c r="R185" t="s">
        <v>36</v>
      </c>
      <c r="S185" t="str">
        <f>TRIM(PROPER(_xlfn.XLOOKUP(Table1[[#This Row],[ProductID_Clean]],Table3[ProductID],Table3[Category],"Missing Value",0)))</f>
        <v>Sensors</v>
      </c>
      <c r="T185" t="str">
        <f>_xlfn.XLOOKUP(Table1[[#This Row],[CustomerID_Check]],Table2[CustomerID],Table2[CustomerType],"Missing Value",0)</f>
        <v>Strategic</v>
      </c>
    </row>
    <row r="186" spans="1:20">
      <c r="A186" t="s">
        <v>367</v>
      </c>
      <c r="B186" s="1">
        <v>45681</v>
      </c>
      <c r="C186" t="s">
        <v>332</v>
      </c>
      <c r="D186" t="str">
        <f>UPPER(Table1[[#This Row],[ProductID_Clean]])</f>
        <v>P-SA-004</v>
      </c>
      <c r="E186" t="s">
        <v>86</v>
      </c>
      <c r="F186" t="s">
        <v>23</v>
      </c>
      <c r="G186" t="str">
        <f>TRIM(Table1[[#This Row],[Region_Clean]])</f>
        <v>N. AMERICA</v>
      </c>
      <c r="H186" t="s">
        <v>53</v>
      </c>
      <c r="I186" t="s">
        <v>25</v>
      </c>
      <c r="J186" s="3">
        <v>1</v>
      </c>
      <c r="K186" s="3">
        <v>1480.17</v>
      </c>
      <c r="L186">
        <v>1650</v>
      </c>
      <c r="M186">
        <v>1650</v>
      </c>
      <c r="N186">
        <v>169.83</v>
      </c>
      <c r="O186">
        <v>1480.17</v>
      </c>
      <c r="P186" t="s">
        <v>26</v>
      </c>
      <c r="Q186" t="s">
        <v>54</v>
      </c>
      <c r="R186" t="s">
        <v>28</v>
      </c>
      <c r="S186" t="str">
        <f>TRIM(PROPER(_xlfn.XLOOKUP(Table1[[#This Row],[ProductID_Clean]],Table3[ProductID],Table3[Category],"Missing Value",0)))</f>
        <v>Software</v>
      </c>
      <c r="T186" t="str">
        <f>_xlfn.XLOOKUP(Table1[[#This Row],[CustomerID_Check]],Table2[CustomerID],Table2[CustomerType],"Missing Value",0)</f>
        <v>Key Account</v>
      </c>
    </row>
    <row r="187" spans="1:20">
      <c r="A187" t="s">
        <v>368</v>
      </c>
      <c r="B187" s="1">
        <v>45687</v>
      </c>
      <c r="C187" t="s">
        <v>61</v>
      </c>
      <c r="D187" t="str">
        <f>UPPER(Table1[[#This Row],[ProductID_Clean]])</f>
        <v>P-SI-007</v>
      </c>
      <c r="E187" t="s">
        <v>97</v>
      </c>
      <c r="F187" t="s">
        <v>47</v>
      </c>
      <c r="G187" t="str">
        <f>TRIM(Table1[[#This Row],[Region_Clean]])</f>
        <v>EMEA</v>
      </c>
      <c r="H187" t="s">
        <v>24</v>
      </c>
      <c r="I187" t="s">
        <v>25</v>
      </c>
      <c r="J187" s="3">
        <v>5</v>
      </c>
      <c r="K187" s="3">
        <v>851.91</v>
      </c>
      <c r="L187">
        <v>980</v>
      </c>
      <c r="M187">
        <v>4900</v>
      </c>
      <c r="N187">
        <v>640.45000000000005</v>
      </c>
      <c r="O187">
        <v>4259.55</v>
      </c>
      <c r="P187" t="s">
        <v>26</v>
      </c>
      <c r="Q187" t="s">
        <v>65</v>
      </c>
      <c r="R187" t="s">
        <v>48</v>
      </c>
      <c r="S187" t="str">
        <f>TRIM(PROPER(_xlfn.XLOOKUP(Table1[[#This Row],[ProductID_Clean]],Table3[ProductID],Table3[Category],"Missing Value",0)))</f>
        <v>Sensors</v>
      </c>
      <c r="T187" t="str">
        <f>_xlfn.XLOOKUP(Table1[[#This Row],[CustomerID_Check]],Table2[CustomerID],Table2[CustomerType],"Missing Value",0)</f>
        <v>Strategic</v>
      </c>
    </row>
    <row r="188" spans="1:20">
      <c r="A188" t="s">
        <v>369</v>
      </c>
      <c r="B188" s="1">
        <v>45823</v>
      </c>
      <c r="C188" t="s">
        <v>370</v>
      </c>
      <c r="D188" t="str">
        <f>UPPER(Table1[[#This Row],[ProductID_Clean]])</f>
        <v>P-SI-008</v>
      </c>
      <c r="E188" t="s">
        <v>152</v>
      </c>
      <c r="F188" t="s">
        <v>58</v>
      </c>
      <c r="G188" t="str">
        <f>TRIM(Table1[[#This Row],[Region_Clean]])</f>
        <v>APAC</v>
      </c>
      <c r="H188" t="s">
        <v>24</v>
      </c>
      <c r="I188" t="s">
        <v>25</v>
      </c>
      <c r="J188" s="3">
        <v>12</v>
      </c>
      <c r="K188" s="3">
        <v>901.31</v>
      </c>
      <c r="L188">
        <v>950</v>
      </c>
      <c r="M188">
        <v>11400</v>
      </c>
      <c r="N188">
        <v>584.28</v>
      </c>
      <c r="O188">
        <v>10815.72</v>
      </c>
      <c r="P188" t="s">
        <v>26</v>
      </c>
      <c r="Q188" t="s">
        <v>35</v>
      </c>
      <c r="R188" t="s">
        <v>59</v>
      </c>
      <c r="S188" t="str">
        <f>TRIM(PROPER(_xlfn.XLOOKUP(Table1[[#This Row],[ProductID_Clean]],Table3[ProductID],Table3[Category],"Missing Value",0)))</f>
        <v>Instruments</v>
      </c>
      <c r="T188" t="str">
        <f>_xlfn.XLOOKUP(Table1[[#This Row],[CustomerID_Check]],Table2[CustomerID],Table2[CustomerType],"Missing Value",0)</f>
        <v>Standard</v>
      </c>
    </row>
    <row r="189" spans="1:20">
      <c r="A189" t="s">
        <v>371</v>
      </c>
      <c r="B189" s="1">
        <v>45785</v>
      </c>
      <c r="C189" t="s">
        <v>372</v>
      </c>
      <c r="D189" t="str">
        <f>UPPER(Table1[[#This Row],[ProductID_Clean]])</f>
        <v>P-SI-008</v>
      </c>
      <c r="E189" t="s">
        <v>152</v>
      </c>
      <c r="F189" t="s">
        <v>23</v>
      </c>
      <c r="G189" t="str">
        <f>TRIM(Table1[[#This Row],[Region_Clean]])</f>
        <v>N. AMERICA</v>
      </c>
      <c r="H189" t="s">
        <v>24</v>
      </c>
      <c r="I189" t="s">
        <v>87</v>
      </c>
      <c r="J189" s="3">
        <v>1</v>
      </c>
      <c r="K189" s="3">
        <v>757.37</v>
      </c>
      <c r="L189">
        <v>950</v>
      </c>
      <c r="M189">
        <v>950</v>
      </c>
      <c r="N189">
        <v>192.63</v>
      </c>
      <c r="O189">
        <v>757.37</v>
      </c>
      <c r="P189" t="s">
        <v>26</v>
      </c>
      <c r="Q189" t="s">
        <v>35</v>
      </c>
      <c r="R189" t="s">
        <v>44</v>
      </c>
      <c r="S189" t="str">
        <f>TRIM(PROPER(_xlfn.XLOOKUP(Table1[[#This Row],[ProductID_Clean]],Table3[ProductID],Table3[Category],"Missing Value",0)))</f>
        <v>Instruments</v>
      </c>
      <c r="T189" t="str">
        <f>_xlfn.XLOOKUP(Table1[[#This Row],[CustomerID_Check]],Table2[CustomerID],Table2[CustomerType],"Missing Value",0)</f>
        <v>Key Account</v>
      </c>
    </row>
    <row r="190" spans="1:20">
      <c r="A190" t="s">
        <v>373</v>
      </c>
      <c r="B190" s="1">
        <v>45732</v>
      </c>
      <c r="C190" t="s">
        <v>64</v>
      </c>
      <c r="D190" t="str">
        <f>UPPER(Table1[[#This Row],[ProductID_Clean]])</f>
        <v>P-SI-004</v>
      </c>
      <c r="E190" t="s">
        <v>22</v>
      </c>
      <c r="F190" t="s">
        <v>47</v>
      </c>
      <c r="G190" t="str">
        <f>TRIM(Table1[[#This Row],[Region_Clean]])</f>
        <v>EMEA</v>
      </c>
      <c r="H190" t="s">
        <v>24</v>
      </c>
      <c r="I190" t="s">
        <v>87</v>
      </c>
      <c r="J190" s="3">
        <v>3</v>
      </c>
      <c r="K190" s="3">
        <v>1948.37</v>
      </c>
      <c r="L190">
        <v>2450</v>
      </c>
      <c r="M190">
        <v>7350</v>
      </c>
      <c r="N190">
        <v>1504.89</v>
      </c>
      <c r="O190">
        <v>5845.11</v>
      </c>
      <c r="P190" t="s">
        <v>26</v>
      </c>
      <c r="Q190" t="s">
        <v>35</v>
      </c>
      <c r="R190" t="s">
        <v>36</v>
      </c>
      <c r="S190" t="str">
        <f>TRIM(PROPER(_xlfn.XLOOKUP(Table1[[#This Row],[ProductID_Clean]],Table3[ProductID],Table3[Category],"Missing Value",0)))</f>
        <v>Instruments</v>
      </c>
      <c r="T190" t="str">
        <f>_xlfn.XLOOKUP(Table1[[#This Row],[CustomerID_Check]],Table2[CustomerID],Table2[CustomerType],"Missing Value",0)</f>
        <v>Key Account</v>
      </c>
    </row>
    <row r="191" spans="1:20">
      <c r="A191" t="s">
        <v>374</v>
      </c>
      <c r="B191" s="1">
        <v>45838</v>
      </c>
      <c r="C191" t="s">
        <v>375</v>
      </c>
      <c r="D191" t="str">
        <f>UPPER(Table1[[#This Row],[ProductID_Clean]])</f>
        <v>P-SI-002</v>
      </c>
      <c r="E191" t="s">
        <v>31</v>
      </c>
      <c r="F191" t="s">
        <v>32</v>
      </c>
      <c r="G191" t="str">
        <f>TRIM(Table1[[#This Row],[Region_Clean]])</f>
        <v>LATIN AMERICA</v>
      </c>
      <c r="H191" t="s">
        <v>24</v>
      </c>
      <c r="I191" t="s">
        <v>25</v>
      </c>
      <c r="J191" s="3">
        <v>12</v>
      </c>
      <c r="K191" s="3">
        <v>662.73</v>
      </c>
      <c r="L191">
        <v>725</v>
      </c>
      <c r="M191">
        <v>8700</v>
      </c>
      <c r="N191">
        <v>747.24</v>
      </c>
      <c r="O191">
        <v>7952.76</v>
      </c>
      <c r="P191" t="s">
        <v>26</v>
      </c>
      <c r="Q191" t="s">
        <v>35</v>
      </c>
      <c r="R191" t="s">
        <v>36</v>
      </c>
      <c r="S191" t="str">
        <f>TRIM(PROPER(_xlfn.XLOOKUP(Table1[[#This Row],[ProductID_Clean]],Table3[ProductID],Table3[Category],"Missing Value",0)))</f>
        <v>Sensors</v>
      </c>
      <c r="T191" t="str">
        <f>_xlfn.XLOOKUP(Table1[[#This Row],[CustomerID_Check]],Table2[CustomerID],Table2[CustomerType],"Missing Value",0)</f>
        <v>Standard</v>
      </c>
    </row>
    <row r="192" spans="1:20">
      <c r="A192" t="s">
        <v>376</v>
      </c>
      <c r="B192" s="1">
        <v>45778</v>
      </c>
      <c r="C192" t="s">
        <v>67</v>
      </c>
      <c r="D192" t="str">
        <f>UPPER(Table1[[#This Row],[ProductID_Clean]])</f>
        <v>P-SI-006</v>
      </c>
      <c r="E192" t="s">
        <v>43</v>
      </c>
      <c r="F192" t="s">
        <v>23</v>
      </c>
      <c r="G192" t="str">
        <f>TRIM(Table1[[#This Row],[Region_Clean]])</f>
        <v>N. AMERICA</v>
      </c>
      <c r="H192" t="s">
        <v>24</v>
      </c>
      <c r="I192" t="s">
        <v>98</v>
      </c>
      <c r="J192" s="3">
        <v>3</v>
      </c>
      <c r="K192" s="3">
        <v>175.44</v>
      </c>
      <c r="L192">
        <v>215</v>
      </c>
      <c r="M192">
        <v>645</v>
      </c>
      <c r="N192">
        <v>118.68</v>
      </c>
      <c r="O192">
        <v>526.32000000000005</v>
      </c>
      <c r="P192" t="s">
        <v>26</v>
      </c>
      <c r="Q192" t="s">
        <v>35</v>
      </c>
      <c r="R192" t="s">
        <v>59</v>
      </c>
      <c r="S192" t="str">
        <f>TRIM(PROPER(_xlfn.XLOOKUP(Table1[[#This Row],[ProductID_Clean]],Table3[ProductID],Table3[Category],"Missing Value",0)))</f>
        <v>Sensors</v>
      </c>
      <c r="T192" t="str">
        <f>_xlfn.XLOOKUP(Table1[[#This Row],[CustomerID_Check]],Table2[CustomerID],Table2[CustomerType],"Missing Value",0)</f>
        <v>Strategic</v>
      </c>
    </row>
    <row r="193" spans="1:20">
      <c r="A193" t="s">
        <v>377</v>
      </c>
      <c r="B193" s="1">
        <v>45774</v>
      </c>
      <c r="C193" t="s">
        <v>378</v>
      </c>
      <c r="D193" t="str">
        <f>UPPER(Table1[[#This Row],[ProductID_Clean]])</f>
        <v>P-FS-006</v>
      </c>
      <c r="E193" t="s">
        <v>92</v>
      </c>
      <c r="F193" t="s">
        <v>58</v>
      </c>
      <c r="G193" t="str">
        <f>TRIM(Table1[[#This Row],[Region_Clean]])</f>
        <v>APAC</v>
      </c>
      <c r="H193" t="s">
        <v>82</v>
      </c>
      <c r="I193" t="s">
        <v>25</v>
      </c>
      <c r="J193" s="3">
        <v>1</v>
      </c>
      <c r="K193" s="3">
        <v>1223.3699999999999</v>
      </c>
      <c r="L193">
        <v>1450</v>
      </c>
      <c r="M193">
        <v>1450</v>
      </c>
      <c r="N193">
        <v>226.63</v>
      </c>
      <c r="O193">
        <v>1223.3699999999999</v>
      </c>
      <c r="P193" t="s">
        <v>26</v>
      </c>
      <c r="Q193" t="s">
        <v>65</v>
      </c>
      <c r="R193" t="s">
        <v>48</v>
      </c>
      <c r="S193" t="str">
        <f>TRIM(PROPER(_xlfn.XLOOKUP(Table1[[#This Row],[ProductID_Clean]],Table3[ProductID],Table3[Category],"Missing Value",0)))</f>
        <v>Services</v>
      </c>
      <c r="T193" t="str">
        <f>_xlfn.XLOOKUP(Table1[[#This Row],[CustomerID_Check]],Table2[CustomerID],Table2[CustomerType],"Missing Value",0)</f>
        <v>Emerging</v>
      </c>
    </row>
    <row r="194" spans="1:20">
      <c r="A194" t="s">
        <v>379</v>
      </c>
      <c r="B194" s="1">
        <v>45706</v>
      </c>
      <c r="C194" t="s">
        <v>157</v>
      </c>
      <c r="D194" t="str">
        <f>UPPER(Table1[[#This Row],[ProductID_Clean]])</f>
        <v>P-FS-006</v>
      </c>
      <c r="E194" t="s">
        <v>92</v>
      </c>
      <c r="F194" t="s">
        <v>23</v>
      </c>
      <c r="G194" t="str">
        <f>TRIM(Table1[[#This Row],[Region_Clean]])</f>
        <v>N. AMERICA</v>
      </c>
      <c r="H194" t="s">
        <v>82</v>
      </c>
      <c r="I194" t="s">
        <v>25</v>
      </c>
      <c r="J194" s="3">
        <v>1</v>
      </c>
      <c r="K194" s="3">
        <v>1344.88</v>
      </c>
      <c r="L194">
        <v>1450</v>
      </c>
      <c r="M194">
        <v>1450</v>
      </c>
      <c r="N194">
        <v>105.12</v>
      </c>
      <c r="O194">
        <v>1344.88</v>
      </c>
      <c r="P194" t="s">
        <v>26</v>
      </c>
      <c r="Q194" t="s">
        <v>35</v>
      </c>
      <c r="R194" t="s">
        <v>36</v>
      </c>
      <c r="S194" t="str">
        <f>TRIM(PROPER(_xlfn.XLOOKUP(Table1[[#This Row],[ProductID_Clean]],Table3[ProductID],Table3[Category],"Missing Value",0)))</f>
        <v>Services</v>
      </c>
      <c r="T194" t="str">
        <f>_xlfn.XLOOKUP(Table1[[#This Row],[CustomerID_Check]],Table2[CustomerID],Table2[CustomerType],"Missing Value",0)</f>
        <v>Key Account</v>
      </c>
    </row>
    <row r="195" spans="1:20">
      <c r="A195" t="s">
        <v>380</v>
      </c>
      <c r="B195" s="1">
        <v>45692</v>
      </c>
      <c r="C195" t="s">
        <v>252</v>
      </c>
      <c r="D195" t="str">
        <f>UPPER(Table1[[#This Row],[ProductID_Clean]])</f>
        <v>P-SI-007</v>
      </c>
      <c r="E195" t="s">
        <v>97</v>
      </c>
      <c r="F195" t="s">
        <v>23</v>
      </c>
      <c r="G195" t="str">
        <f>TRIM(Table1[[#This Row],[Region_Clean]])</f>
        <v>N. AMERICA</v>
      </c>
      <c r="H195" t="s">
        <v>24</v>
      </c>
      <c r="I195" t="s">
        <v>87</v>
      </c>
      <c r="J195" s="3">
        <v>4</v>
      </c>
      <c r="K195" s="3">
        <v>762.51</v>
      </c>
      <c r="L195">
        <v>980</v>
      </c>
      <c r="M195">
        <v>3920</v>
      </c>
      <c r="N195">
        <v>869.96</v>
      </c>
      <c r="O195">
        <v>3050.04</v>
      </c>
      <c r="P195" t="s">
        <v>26</v>
      </c>
      <c r="Q195" t="s">
        <v>35</v>
      </c>
      <c r="R195" t="s">
        <v>44</v>
      </c>
      <c r="S195" t="str">
        <f>TRIM(PROPER(_xlfn.XLOOKUP(Table1[[#This Row],[ProductID_Clean]],Table3[ProductID],Table3[Category],"Missing Value",0)))</f>
        <v>Sensors</v>
      </c>
      <c r="T195" t="str">
        <f>_xlfn.XLOOKUP(Table1[[#This Row],[CustomerID_Check]],Table2[CustomerID],Table2[CustomerType],"Missing Value",0)</f>
        <v>Strategic</v>
      </c>
    </row>
    <row r="196" spans="1:20">
      <c r="A196" t="s">
        <v>381</v>
      </c>
      <c r="B196" s="1">
        <v>45713</v>
      </c>
      <c r="C196" t="s">
        <v>382</v>
      </c>
      <c r="D196" t="str">
        <f>UPPER(Table1[[#This Row],[ProductID_Clean]])</f>
        <v>P-SA-001</v>
      </c>
      <c r="E196" t="s">
        <v>68</v>
      </c>
      <c r="F196" t="s">
        <v>23</v>
      </c>
      <c r="G196" t="str">
        <f>TRIM(Table1[[#This Row],[Region_Clean]])</f>
        <v>N. AMERICA</v>
      </c>
      <c r="H196" t="s">
        <v>53</v>
      </c>
      <c r="I196" t="s">
        <v>87</v>
      </c>
      <c r="J196" s="3">
        <v>1</v>
      </c>
      <c r="K196" s="3">
        <v>3492.9</v>
      </c>
      <c r="L196">
        <v>4200</v>
      </c>
      <c r="M196">
        <v>4200</v>
      </c>
      <c r="N196">
        <v>707.09999999999991</v>
      </c>
      <c r="O196">
        <v>3492.9</v>
      </c>
      <c r="P196" t="s">
        <v>113</v>
      </c>
      <c r="Q196" t="s">
        <v>54</v>
      </c>
      <c r="R196" t="s">
        <v>36</v>
      </c>
      <c r="S196" t="str">
        <f>TRIM(PROPER(_xlfn.XLOOKUP(Table1[[#This Row],[ProductID_Clean]],Table3[ProductID],Table3[Category],"Missing Value",0)))</f>
        <v>Software</v>
      </c>
      <c r="T196" t="str">
        <f>_xlfn.XLOOKUP(Table1[[#This Row],[CustomerID_Check]],Table2[CustomerID],Table2[CustomerType],"Missing Value",0)</f>
        <v>Emerging</v>
      </c>
    </row>
    <row r="197" spans="1:20">
      <c r="A197" t="s">
        <v>383</v>
      </c>
      <c r="B197" s="1">
        <v>45745</v>
      </c>
      <c r="C197" t="s">
        <v>250</v>
      </c>
      <c r="D197" t="str">
        <f>UPPER(Table1[[#This Row],[ProductID_Clean]])</f>
        <v>P-SI-001</v>
      </c>
      <c r="E197" t="s">
        <v>72</v>
      </c>
      <c r="F197" t="s">
        <v>23</v>
      </c>
      <c r="G197" t="str">
        <f>TRIM(Table1[[#This Row],[Region_Clean]])</f>
        <v>N. AMERICA</v>
      </c>
      <c r="H197" t="s">
        <v>24</v>
      </c>
      <c r="I197" t="s">
        <v>25</v>
      </c>
      <c r="J197" s="3">
        <v>2</v>
      </c>
      <c r="K197" s="3">
        <v>487.01</v>
      </c>
      <c r="L197">
        <v>485</v>
      </c>
      <c r="M197">
        <v>970</v>
      </c>
      <c r="N197">
        <v>-4.0199999999999996</v>
      </c>
      <c r="O197">
        <v>974.02</v>
      </c>
      <c r="P197" t="s">
        <v>26</v>
      </c>
      <c r="Q197" t="s">
        <v>35</v>
      </c>
      <c r="R197" t="s">
        <v>36</v>
      </c>
      <c r="S197" t="str">
        <f>TRIM(PROPER(_xlfn.XLOOKUP(Table1[[#This Row],[ProductID_Clean]],Table3[ProductID],Table3[Category],"Missing Value",0)))</f>
        <v>Sensors</v>
      </c>
      <c r="T197" t="str">
        <f>_xlfn.XLOOKUP(Table1[[#This Row],[CustomerID_Check]],Table2[CustomerID],Table2[CustomerType],"Missing Value",0)</f>
        <v>Standard</v>
      </c>
    </row>
    <row r="198" spans="1:20">
      <c r="A198" t="s">
        <v>384</v>
      </c>
      <c r="B198" s="1">
        <v>45726</v>
      </c>
      <c r="C198" t="s">
        <v>385</v>
      </c>
      <c r="D198" t="str">
        <f>UPPER(Table1[[#This Row],[ProductID_Clean]])</f>
        <v>P-FS-003</v>
      </c>
      <c r="E198" t="s">
        <v>216</v>
      </c>
      <c r="F198" t="s">
        <v>47</v>
      </c>
      <c r="G198" t="str">
        <f>TRIM(Table1[[#This Row],[Region_Clean]])</f>
        <v>EMEA</v>
      </c>
      <c r="H198" t="s">
        <v>82</v>
      </c>
      <c r="I198" t="s">
        <v>87</v>
      </c>
      <c r="J198" s="3">
        <v>2</v>
      </c>
      <c r="K198" s="3">
        <v>3590.39</v>
      </c>
      <c r="L198">
        <v>4100</v>
      </c>
      <c r="M198">
        <v>8200</v>
      </c>
      <c r="N198">
        <v>1019.22</v>
      </c>
      <c r="O198">
        <v>7180.78</v>
      </c>
      <c r="P198" t="s">
        <v>113</v>
      </c>
      <c r="Q198" t="s">
        <v>83</v>
      </c>
      <c r="R198" t="s">
        <v>44</v>
      </c>
      <c r="S198" t="str">
        <f>TRIM(PROPER(_xlfn.XLOOKUP(Table1[[#This Row],[ProductID_Clean]],Table3[ProductID],Table3[Category],"Missing Value",0)))</f>
        <v>Services</v>
      </c>
      <c r="T198" t="str">
        <f>_xlfn.XLOOKUP(Table1[[#This Row],[CustomerID_Check]],Table2[CustomerID],Table2[CustomerType],"Missing Value",0)</f>
        <v>Standard</v>
      </c>
    </row>
    <row r="199" spans="1:20">
      <c r="A199" t="s">
        <v>386</v>
      </c>
      <c r="B199" s="1">
        <v>45730</v>
      </c>
      <c r="C199" t="s">
        <v>387</v>
      </c>
      <c r="D199" t="str">
        <f>UPPER(Table1[[#This Row],[ProductID_Clean]])</f>
        <v>P-SI-008</v>
      </c>
      <c r="E199" t="s">
        <v>152</v>
      </c>
      <c r="F199" t="s">
        <v>23</v>
      </c>
      <c r="G199" t="str">
        <f>TRIM(Table1[[#This Row],[Region_Clean]])</f>
        <v>N. AMERICA</v>
      </c>
      <c r="H199" t="s">
        <v>24</v>
      </c>
      <c r="I199" t="s">
        <v>25</v>
      </c>
      <c r="J199" s="3">
        <v>2</v>
      </c>
      <c r="K199" s="3">
        <v>839.33</v>
      </c>
      <c r="L199">
        <v>950</v>
      </c>
      <c r="M199">
        <v>1900</v>
      </c>
      <c r="N199">
        <v>221.34</v>
      </c>
      <c r="O199">
        <v>1678.66</v>
      </c>
      <c r="P199" t="s">
        <v>26</v>
      </c>
      <c r="Q199" t="s">
        <v>35</v>
      </c>
      <c r="R199" t="s">
        <v>44</v>
      </c>
      <c r="S199" t="str">
        <f>TRIM(PROPER(_xlfn.XLOOKUP(Table1[[#This Row],[ProductID_Clean]],Table3[ProductID],Table3[Category],"Missing Value",0)))</f>
        <v>Instruments</v>
      </c>
      <c r="T199" t="str">
        <f>_xlfn.XLOOKUP(Table1[[#This Row],[CustomerID_Check]],Table2[CustomerID],Table2[CustomerType],"Missing Value",0)</f>
        <v>Standard</v>
      </c>
    </row>
    <row r="200" spans="1:20">
      <c r="A200" t="s">
        <v>388</v>
      </c>
      <c r="B200" s="1">
        <v>45806</v>
      </c>
      <c r="C200" t="s">
        <v>208</v>
      </c>
      <c r="D200" t="str">
        <f>UPPER(Table1[[#This Row],[ProductID_Clean]])</f>
        <v>P-FS-002</v>
      </c>
      <c r="E200" t="s">
        <v>81</v>
      </c>
      <c r="F200" t="s">
        <v>47</v>
      </c>
      <c r="G200" t="str">
        <f>TRIM(Table1[[#This Row],[Region_Clean]])</f>
        <v>EMEA</v>
      </c>
      <c r="H200" t="s">
        <v>82</v>
      </c>
      <c r="I200" t="s">
        <v>184</v>
      </c>
      <c r="J200" s="3">
        <v>1</v>
      </c>
      <c r="K200" s="3">
        <v>2030.65</v>
      </c>
      <c r="L200">
        <v>2400</v>
      </c>
      <c r="M200">
        <v>2400</v>
      </c>
      <c r="N200">
        <v>369.35</v>
      </c>
      <c r="O200">
        <v>2030.65</v>
      </c>
      <c r="P200" t="s">
        <v>26</v>
      </c>
      <c r="Q200" t="s">
        <v>94</v>
      </c>
      <c r="R200" t="s">
        <v>36</v>
      </c>
      <c r="S200" t="str">
        <f>TRIM(PROPER(_xlfn.XLOOKUP(Table1[[#This Row],[ProductID_Clean]],Table3[ProductID],Table3[Category],"Missing Value",0)))</f>
        <v>Services</v>
      </c>
      <c r="T200" t="str">
        <f>_xlfn.XLOOKUP(Table1[[#This Row],[CustomerID_Check]],Table2[CustomerID],Table2[CustomerType],"Missing Value",0)</f>
        <v>Standard</v>
      </c>
    </row>
    <row r="201" spans="1:20" hidden="1">
      <c r="A201" t="s">
        <v>389</v>
      </c>
      <c r="B201" s="1">
        <v>45795</v>
      </c>
      <c r="C201" t="s">
        <v>56</v>
      </c>
      <c r="D201" t="str">
        <f>UPPER(Table1[[#This Row],[ProductID_Clean]])</f>
        <v>INVALID ID</v>
      </c>
      <c r="E201" t="s">
        <v>76</v>
      </c>
      <c r="F201" t="s">
        <v>58</v>
      </c>
      <c r="G201" t="str">
        <f>TRIM(Table1[[#This Row],[Region_Clean]])</f>
        <v>APAC</v>
      </c>
      <c r="H201" t="s">
        <v>24</v>
      </c>
      <c r="I201" t="s">
        <v>25</v>
      </c>
      <c r="J201" s="3">
        <v>2</v>
      </c>
      <c r="K201" s="3">
        <v>598.66</v>
      </c>
      <c r="L201">
        <v>725</v>
      </c>
      <c r="M201">
        <v>1450</v>
      </c>
      <c r="N201">
        <v>252.68</v>
      </c>
      <c r="O201">
        <v>1197.32</v>
      </c>
      <c r="P201" t="s">
        <v>26</v>
      </c>
      <c r="Q201" t="s">
        <v>65</v>
      </c>
      <c r="R201" t="s">
        <v>59</v>
      </c>
      <c r="S201" t="str">
        <f>TRIM(PROPER(_xlfn.XLOOKUP(Table1[[#This Row],[ProductID_Clean]],Table3[ProductID],Table3[Category],"Missing Value",0)))</f>
        <v>Missing Value</v>
      </c>
      <c r="T201" t="str">
        <f>_xlfn.XLOOKUP(Table1[[#This Row],[CustomerID_Check]],Table2[CustomerID],Table2[CustomerType],"Missing Value",0)</f>
        <v>Key Account</v>
      </c>
    </row>
    <row r="202" spans="1:20">
      <c r="A202" t="s">
        <v>390</v>
      </c>
      <c r="B202" s="1">
        <v>45746</v>
      </c>
      <c r="C202" t="s">
        <v>194</v>
      </c>
      <c r="D202" t="str">
        <f>UPPER(Table1[[#This Row],[ProductID_Clean]])</f>
        <v>P-SA-005</v>
      </c>
      <c r="E202" t="s">
        <v>62</v>
      </c>
      <c r="F202" t="s">
        <v>23</v>
      </c>
      <c r="G202" t="str">
        <f>TRIM(Table1[[#This Row],[Region_Clean]])</f>
        <v>N. AMERICA</v>
      </c>
      <c r="H202" t="s">
        <v>53</v>
      </c>
      <c r="I202" t="s">
        <v>87</v>
      </c>
      <c r="J202" s="3">
        <v>2</v>
      </c>
      <c r="K202" s="3">
        <v>2477.6799999999998</v>
      </c>
      <c r="L202">
        <v>3200</v>
      </c>
      <c r="M202">
        <v>6400</v>
      </c>
      <c r="N202">
        <v>1444.64</v>
      </c>
      <c r="O202">
        <v>4955.3599999999997</v>
      </c>
      <c r="P202" t="s">
        <v>113</v>
      </c>
      <c r="Q202" t="s">
        <v>54</v>
      </c>
      <c r="R202" t="s">
        <v>36</v>
      </c>
      <c r="S202" t="str">
        <f>TRIM(PROPER(_xlfn.XLOOKUP(Table1[[#This Row],[ProductID_Clean]],Table3[ProductID],Table3[Category],"Missing Value",0)))</f>
        <v>Software / Integration</v>
      </c>
      <c r="T202" t="str">
        <f>_xlfn.XLOOKUP(Table1[[#This Row],[CustomerID_Check]],Table2[CustomerID],Table2[CustomerType],"Missing Value",0)</f>
        <v>Strategic</v>
      </c>
    </row>
    <row r="203" spans="1:20">
      <c r="A203" t="s">
        <v>391</v>
      </c>
      <c r="B203" s="1">
        <v>45754</v>
      </c>
      <c r="C203" t="s">
        <v>118</v>
      </c>
      <c r="D203" t="str">
        <f>UPPER(Table1[[#This Row],[ProductID_Clean]])</f>
        <v>P-SI-004</v>
      </c>
      <c r="E203" t="s">
        <v>22</v>
      </c>
      <c r="F203" t="s">
        <v>23</v>
      </c>
      <c r="G203" t="str">
        <f>TRIM(Table1[[#This Row],[Region_Clean]])</f>
        <v>N. AMERICA</v>
      </c>
      <c r="H203" t="s">
        <v>24</v>
      </c>
      <c r="I203" t="s">
        <v>25</v>
      </c>
      <c r="J203" s="3">
        <v>2</v>
      </c>
      <c r="K203" s="3">
        <v>2342.92</v>
      </c>
      <c r="L203">
        <v>2450</v>
      </c>
      <c r="M203">
        <v>4900</v>
      </c>
      <c r="N203">
        <v>214.16</v>
      </c>
      <c r="O203">
        <v>4685.84</v>
      </c>
      <c r="P203" t="s">
        <v>26</v>
      </c>
      <c r="Q203" t="s">
        <v>35</v>
      </c>
      <c r="R203" t="s">
        <v>59</v>
      </c>
      <c r="S203" t="str">
        <f>TRIM(PROPER(_xlfn.XLOOKUP(Table1[[#This Row],[ProductID_Clean]],Table3[ProductID],Table3[Category],"Missing Value",0)))</f>
        <v>Instruments</v>
      </c>
      <c r="T203" t="str">
        <f>_xlfn.XLOOKUP(Table1[[#This Row],[CustomerID_Check]],Table2[CustomerID],Table2[CustomerType],"Missing Value",0)</f>
        <v>Key Account</v>
      </c>
    </row>
    <row r="204" spans="1:20">
      <c r="A204" t="s">
        <v>392</v>
      </c>
      <c r="B204" s="1">
        <v>45740</v>
      </c>
      <c r="C204" t="s">
        <v>30</v>
      </c>
      <c r="D204" t="str">
        <f>UPPER(Table1[[#This Row],[ProductID_Clean]])</f>
        <v>P-SI-001</v>
      </c>
      <c r="E204" t="s">
        <v>72</v>
      </c>
      <c r="F204" t="s">
        <v>32</v>
      </c>
      <c r="G204" t="str">
        <f>TRIM(Table1[[#This Row],[Region_Clean]])</f>
        <v>LATIN AMERICA</v>
      </c>
      <c r="H204" t="s">
        <v>24</v>
      </c>
      <c r="I204" t="s">
        <v>25</v>
      </c>
      <c r="J204" s="3">
        <v>15</v>
      </c>
      <c r="K204" s="3">
        <v>407.86</v>
      </c>
      <c r="L204">
        <v>485</v>
      </c>
      <c r="M204">
        <v>7275</v>
      </c>
      <c r="N204">
        <v>1157.0999999999999</v>
      </c>
      <c r="O204">
        <v>6117.9</v>
      </c>
      <c r="P204" t="s">
        <v>26</v>
      </c>
      <c r="Q204" t="s">
        <v>40</v>
      </c>
      <c r="R204" t="s">
        <v>36</v>
      </c>
      <c r="S204" t="str">
        <f>TRIM(PROPER(_xlfn.XLOOKUP(Table1[[#This Row],[ProductID_Clean]],Table3[ProductID],Table3[Category],"Missing Value",0)))</f>
        <v>Sensors</v>
      </c>
      <c r="T204" t="str">
        <f>_xlfn.XLOOKUP(Table1[[#This Row],[CustomerID_Check]],Table2[CustomerID],Table2[CustomerType],"Missing Value",0)</f>
        <v>Strategic</v>
      </c>
    </row>
    <row r="205" spans="1:20">
      <c r="A205" t="s">
        <v>393</v>
      </c>
      <c r="B205" s="1">
        <v>45836</v>
      </c>
      <c r="C205" t="s">
        <v>190</v>
      </c>
      <c r="D205" t="str">
        <f>UPPER(Table1[[#This Row],[ProductID_Clean]])</f>
        <v>P-SI-003</v>
      </c>
      <c r="E205" t="s">
        <v>39</v>
      </c>
      <c r="F205" t="s">
        <v>47</v>
      </c>
      <c r="G205" t="str">
        <f>TRIM(Table1[[#This Row],[Region_Clean]])</f>
        <v>EMEA</v>
      </c>
      <c r="H205" t="s">
        <v>24</v>
      </c>
      <c r="I205" t="s">
        <v>87</v>
      </c>
      <c r="J205" s="3">
        <v>4</v>
      </c>
      <c r="K205" s="3">
        <v>1381.11</v>
      </c>
      <c r="L205">
        <v>1890</v>
      </c>
      <c r="M205">
        <v>7560</v>
      </c>
      <c r="N205">
        <v>2035.56</v>
      </c>
      <c r="O205">
        <v>5524.44</v>
      </c>
      <c r="P205" t="s">
        <v>26</v>
      </c>
      <c r="Q205" t="s">
        <v>35</v>
      </c>
      <c r="R205" t="s">
        <v>36</v>
      </c>
      <c r="S205" t="str">
        <f>TRIM(PROPER(_xlfn.XLOOKUP(Table1[[#This Row],[ProductID_Clean]],Table3[ProductID],Table3[Category],"Missing Value",0)))</f>
        <v>Instruments</v>
      </c>
      <c r="T205" t="str">
        <f>_xlfn.XLOOKUP(Table1[[#This Row],[CustomerID_Check]],Table2[CustomerID],Table2[CustomerType],"Missing Value",0)</f>
        <v>Strategic</v>
      </c>
    </row>
    <row r="206" spans="1:20">
      <c r="A206" t="s">
        <v>394</v>
      </c>
      <c r="B206" s="1">
        <v>45717</v>
      </c>
      <c r="C206" t="s">
        <v>104</v>
      </c>
      <c r="D206" t="str">
        <f>UPPER(Table1[[#This Row],[ProductID_Clean]])</f>
        <v>P-SI-002</v>
      </c>
      <c r="E206" t="s">
        <v>31</v>
      </c>
      <c r="F206" t="s">
        <v>58</v>
      </c>
      <c r="G206" t="str">
        <f>TRIM(Table1[[#This Row],[Region_Clean]])</f>
        <v>APAC</v>
      </c>
      <c r="H206" t="s">
        <v>24</v>
      </c>
      <c r="I206" t="s">
        <v>87</v>
      </c>
      <c r="J206" s="3">
        <v>2</v>
      </c>
      <c r="K206" s="3">
        <v>536.84</v>
      </c>
      <c r="L206">
        <v>725</v>
      </c>
      <c r="M206">
        <v>1450</v>
      </c>
      <c r="N206">
        <v>376.32</v>
      </c>
      <c r="O206">
        <v>1073.68</v>
      </c>
      <c r="P206" t="s">
        <v>26</v>
      </c>
      <c r="Q206" t="s">
        <v>35</v>
      </c>
      <c r="R206" t="s">
        <v>36</v>
      </c>
      <c r="S206" t="str">
        <f>TRIM(PROPER(_xlfn.XLOOKUP(Table1[[#This Row],[ProductID_Clean]],Table3[ProductID],Table3[Category],"Missing Value",0)))</f>
        <v>Sensors</v>
      </c>
      <c r="T206" t="str">
        <f>_xlfn.XLOOKUP(Table1[[#This Row],[CustomerID_Check]],Table2[CustomerID],Table2[CustomerType],"Missing Value",0)</f>
        <v>Standard</v>
      </c>
    </row>
    <row r="207" spans="1:20">
      <c r="A207" t="s">
        <v>395</v>
      </c>
      <c r="B207" s="1">
        <v>45669</v>
      </c>
      <c r="C207" t="s">
        <v>264</v>
      </c>
      <c r="D207" t="str">
        <f>UPPER(Table1[[#This Row],[ProductID_Clean]])</f>
        <v>P-SI-008</v>
      </c>
      <c r="E207" t="s">
        <v>152</v>
      </c>
      <c r="F207" t="s">
        <v>23</v>
      </c>
      <c r="G207" t="str">
        <f>TRIM(Table1[[#This Row],[Region_Clean]])</f>
        <v>N. AMERICA</v>
      </c>
      <c r="H207" t="s">
        <v>24</v>
      </c>
      <c r="I207" t="s">
        <v>87</v>
      </c>
      <c r="J207" s="3">
        <v>4</v>
      </c>
      <c r="K207" s="3">
        <v>866.36</v>
      </c>
      <c r="L207">
        <v>950</v>
      </c>
      <c r="M207">
        <v>3800</v>
      </c>
      <c r="N207">
        <v>334.56</v>
      </c>
      <c r="O207">
        <v>3465.44</v>
      </c>
      <c r="P207" t="s">
        <v>26</v>
      </c>
      <c r="Q207" t="s">
        <v>35</v>
      </c>
      <c r="R207" t="s">
        <v>48</v>
      </c>
      <c r="S207" t="str">
        <f>TRIM(PROPER(_xlfn.XLOOKUP(Table1[[#This Row],[ProductID_Clean]],Table3[ProductID],Table3[Category],"Missing Value",0)))</f>
        <v>Instruments</v>
      </c>
      <c r="T207" t="str">
        <f>_xlfn.XLOOKUP(Table1[[#This Row],[CustomerID_Check]],Table2[CustomerID],Table2[CustomerType],"Missing Value",0)</f>
        <v>Standard</v>
      </c>
    </row>
    <row r="208" spans="1:20">
      <c r="A208" t="s">
        <v>396</v>
      </c>
      <c r="B208" s="1">
        <v>45779</v>
      </c>
      <c r="C208" t="s">
        <v>139</v>
      </c>
      <c r="D208" t="str">
        <f>UPPER(Table1[[#This Row],[ProductID_Clean]])</f>
        <v>P-SI-004</v>
      </c>
      <c r="E208" t="s">
        <v>22</v>
      </c>
      <c r="F208" t="s">
        <v>47</v>
      </c>
      <c r="G208" t="str">
        <f>TRIM(Table1[[#This Row],[Region_Clean]])</f>
        <v>EMEA</v>
      </c>
      <c r="H208" t="s">
        <v>24</v>
      </c>
      <c r="I208" t="s">
        <v>25</v>
      </c>
      <c r="J208" s="3">
        <v>4</v>
      </c>
      <c r="K208" s="3">
        <v>2142.73</v>
      </c>
      <c r="L208">
        <v>2450</v>
      </c>
      <c r="M208">
        <v>9800</v>
      </c>
      <c r="N208">
        <v>1229.08</v>
      </c>
      <c r="O208">
        <v>8570.92</v>
      </c>
      <c r="P208" t="s">
        <v>26</v>
      </c>
      <c r="Q208" t="s">
        <v>35</v>
      </c>
      <c r="R208" t="s">
        <v>59</v>
      </c>
      <c r="S208" t="str">
        <f>TRIM(PROPER(_xlfn.XLOOKUP(Table1[[#This Row],[ProductID_Clean]],Table3[ProductID],Table3[Category],"Missing Value",0)))</f>
        <v>Instruments</v>
      </c>
      <c r="T208" t="str">
        <f>_xlfn.XLOOKUP(Table1[[#This Row],[CustomerID_Check]],Table2[CustomerID],Table2[CustomerType],"Missing Value",0)</f>
        <v>Key Account</v>
      </c>
    </row>
    <row r="209" spans="1:20">
      <c r="A209" t="s">
        <v>397</v>
      </c>
      <c r="B209" s="1">
        <v>45755</v>
      </c>
      <c r="C209" t="s">
        <v>121</v>
      </c>
      <c r="D209" t="str">
        <f>UPPER(Table1[[#This Row],[ProductID_Clean]])</f>
        <v>P-SA-005</v>
      </c>
      <c r="E209" t="s">
        <v>62</v>
      </c>
      <c r="F209" t="s">
        <v>58</v>
      </c>
      <c r="G209" t="str">
        <f>TRIM(Table1[[#This Row],[Region_Clean]])</f>
        <v>APAC</v>
      </c>
      <c r="H209" t="s">
        <v>53</v>
      </c>
      <c r="I209" t="s">
        <v>25</v>
      </c>
      <c r="J209" s="3">
        <v>1</v>
      </c>
      <c r="K209" s="3">
        <v>2590.59</v>
      </c>
      <c r="L209">
        <v>3200</v>
      </c>
      <c r="M209">
        <v>3200</v>
      </c>
      <c r="N209">
        <v>609.41</v>
      </c>
      <c r="O209">
        <v>2590.59</v>
      </c>
      <c r="P209" t="s">
        <v>113</v>
      </c>
      <c r="Q209" t="s">
        <v>88</v>
      </c>
      <c r="R209" t="s">
        <v>36</v>
      </c>
      <c r="S209" t="str">
        <f>TRIM(PROPER(_xlfn.XLOOKUP(Table1[[#This Row],[ProductID_Clean]],Table3[ProductID],Table3[Category],"Missing Value",0)))</f>
        <v>Software / Integration</v>
      </c>
      <c r="T209" t="str">
        <f>_xlfn.XLOOKUP(Table1[[#This Row],[CustomerID_Check]],Table2[CustomerID],Table2[CustomerType],"Missing Value",0)</f>
        <v>Key Account</v>
      </c>
    </row>
    <row r="210" spans="1:20">
      <c r="A210" t="s">
        <v>398</v>
      </c>
      <c r="B210" s="1">
        <v>45827</v>
      </c>
      <c r="C210" t="s">
        <v>399</v>
      </c>
      <c r="D210" t="str">
        <f>UPPER(Table1[[#This Row],[ProductID_Clean]])</f>
        <v>P-SA-005</v>
      </c>
      <c r="E210" t="s">
        <v>62</v>
      </c>
      <c r="F210" t="s">
        <v>47</v>
      </c>
      <c r="G210" t="str">
        <f>TRIM(Table1[[#This Row],[Region_Clean]])</f>
        <v>EMEA</v>
      </c>
      <c r="H210" t="s">
        <v>53</v>
      </c>
      <c r="I210" t="s">
        <v>25</v>
      </c>
      <c r="J210" s="3">
        <v>1</v>
      </c>
      <c r="K210" s="3">
        <v>3171.15</v>
      </c>
      <c r="L210">
        <v>3200</v>
      </c>
      <c r="M210">
        <v>3200</v>
      </c>
      <c r="N210">
        <v>28.85</v>
      </c>
      <c r="O210">
        <v>3171.15</v>
      </c>
      <c r="P210" t="s">
        <v>26</v>
      </c>
      <c r="Q210" t="s">
        <v>88</v>
      </c>
      <c r="R210" t="s">
        <v>59</v>
      </c>
      <c r="S210" t="str">
        <f>TRIM(PROPER(_xlfn.XLOOKUP(Table1[[#This Row],[ProductID_Clean]],Table3[ProductID],Table3[Category],"Missing Value",0)))</f>
        <v>Software / Integration</v>
      </c>
      <c r="T210" t="str">
        <f>_xlfn.XLOOKUP(Table1[[#This Row],[CustomerID_Check]],Table2[CustomerID],Table2[CustomerType],"Missing Value",0)</f>
        <v>Emerging</v>
      </c>
    </row>
    <row r="211" spans="1:20">
      <c r="A211" t="s">
        <v>400</v>
      </c>
      <c r="B211" s="1">
        <v>45696</v>
      </c>
      <c r="C211" t="s">
        <v>250</v>
      </c>
      <c r="D211" t="str">
        <f>UPPER(Table1[[#This Row],[ProductID_Clean]])</f>
        <v>P-SI-008</v>
      </c>
      <c r="E211" t="s">
        <v>152</v>
      </c>
      <c r="F211" t="s">
        <v>52</v>
      </c>
      <c r="G211" t="str">
        <f>TRIM(Table1[[#This Row],[Region_Clean]])</f>
        <v>N. AMERICA</v>
      </c>
      <c r="H211" t="s">
        <v>24</v>
      </c>
      <c r="I211" t="s">
        <v>25</v>
      </c>
      <c r="J211" s="3">
        <v>12</v>
      </c>
      <c r="K211" s="3">
        <v>899.99</v>
      </c>
      <c r="L211">
        <v>950</v>
      </c>
      <c r="M211">
        <v>11400</v>
      </c>
      <c r="N211">
        <v>600.12</v>
      </c>
      <c r="O211">
        <v>10799.88</v>
      </c>
      <c r="P211" t="s">
        <v>26</v>
      </c>
      <c r="Q211" t="s">
        <v>27</v>
      </c>
      <c r="R211" t="s">
        <v>36</v>
      </c>
      <c r="S211" t="str">
        <f>TRIM(PROPER(_xlfn.XLOOKUP(Table1[[#This Row],[ProductID_Clean]],Table3[ProductID],Table3[Category],"Missing Value",0)))</f>
        <v>Instruments</v>
      </c>
      <c r="T211" t="str">
        <f>_xlfn.XLOOKUP(Table1[[#This Row],[CustomerID_Check]],Table2[CustomerID],Table2[CustomerType],"Missing Value",0)</f>
        <v>Standard</v>
      </c>
    </row>
    <row r="212" spans="1:20">
      <c r="A212" t="s">
        <v>401</v>
      </c>
      <c r="B212" s="1">
        <v>45667</v>
      </c>
      <c r="C212" t="s">
        <v>46</v>
      </c>
      <c r="D212" t="str">
        <f>UPPER(Table1[[#This Row],[ProductID_Clean]])</f>
        <v>P-SI-001</v>
      </c>
      <c r="E212" t="s">
        <v>72</v>
      </c>
      <c r="F212" t="s">
        <v>47</v>
      </c>
      <c r="G212" t="str">
        <f>TRIM(Table1[[#This Row],[Region_Clean]])</f>
        <v>EMEA</v>
      </c>
      <c r="H212" t="s">
        <v>24</v>
      </c>
      <c r="I212" t="s">
        <v>87</v>
      </c>
      <c r="J212" s="3">
        <v>8</v>
      </c>
      <c r="K212" s="3">
        <v>387.27</v>
      </c>
      <c r="L212">
        <v>485</v>
      </c>
      <c r="M212">
        <v>3880</v>
      </c>
      <c r="N212">
        <v>781.84</v>
      </c>
      <c r="O212">
        <v>3098.16</v>
      </c>
      <c r="P212" t="s">
        <v>26</v>
      </c>
      <c r="Q212" t="s">
        <v>35</v>
      </c>
      <c r="R212" t="s">
        <v>48</v>
      </c>
      <c r="S212" t="str">
        <f>TRIM(PROPER(_xlfn.XLOOKUP(Table1[[#This Row],[ProductID_Clean]],Table3[ProductID],Table3[Category],"Missing Value",0)))</f>
        <v>Sensors</v>
      </c>
      <c r="T212" t="str">
        <f>_xlfn.XLOOKUP(Table1[[#This Row],[CustomerID_Check]],Table2[CustomerID],Table2[CustomerType],"Missing Value",0)</f>
        <v>Strategic</v>
      </c>
    </row>
    <row r="213" spans="1:20">
      <c r="A213" t="s">
        <v>402</v>
      </c>
      <c r="B213" s="1">
        <v>45786</v>
      </c>
      <c r="C213" t="s">
        <v>104</v>
      </c>
      <c r="D213" t="str">
        <f>UPPER(Table1[[#This Row],[ProductID_Clean]])</f>
        <v>P-SI-008</v>
      </c>
      <c r="E213" t="s">
        <v>152</v>
      </c>
      <c r="F213" t="s">
        <v>58</v>
      </c>
      <c r="G213" t="str">
        <f>TRIM(Table1[[#This Row],[Region_Clean]])</f>
        <v>APAC</v>
      </c>
      <c r="H213" t="s">
        <v>24</v>
      </c>
      <c r="I213" t="s">
        <v>98</v>
      </c>
      <c r="J213" s="3">
        <v>12</v>
      </c>
      <c r="K213" s="3">
        <v>898.98</v>
      </c>
      <c r="L213">
        <v>950</v>
      </c>
      <c r="M213">
        <v>11400</v>
      </c>
      <c r="N213">
        <v>612.24</v>
      </c>
      <c r="O213">
        <v>10787.76</v>
      </c>
      <c r="P213" t="s">
        <v>26</v>
      </c>
      <c r="Q213" t="s">
        <v>40</v>
      </c>
      <c r="R213" t="s">
        <v>36</v>
      </c>
      <c r="S213" t="str">
        <f>TRIM(PROPER(_xlfn.XLOOKUP(Table1[[#This Row],[ProductID_Clean]],Table3[ProductID],Table3[Category],"Missing Value",0)))</f>
        <v>Instruments</v>
      </c>
      <c r="T213" t="str">
        <f>_xlfn.XLOOKUP(Table1[[#This Row],[CustomerID_Check]],Table2[CustomerID],Table2[CustomerType],"Missing Value",0)</f>
        <v>Standard</v>
      </c>
    </row>
    <row r="214" spans="1:20">
      <c r="A214" t="s">
        <v>403</v>
      </c>
      <c r="B214" s="1">
        <v>45742</v>
      </c>
      <c r="C214" t="s">
        <v>256</v>
      </c>
      <c r="D214" t="str">
        <f>UPPER(Table1[[#This Row],[ProductID_Clean]])</f>
        <v>P-SI-006</v>
      </c>
      <c r="E214" t="s">
        <v>43</v>
      </c>
      <c r="F214" t="s">
        <v>47</v>
      </c>
      <c r="G214" t="str">
        <f>TRIM(Table1[[#This Row],[Region_Clean]])</f>
        <v>EMEA</v>
      </c>
      <c r="H214" t="s">
        <v>24</v>
      </c>
      <c r="I214" t="s">
        <v>25</v>
      </c>
      <c r="J214" s="3">
        <v>1</v>
      </c>
      <c r="K214" s="3">
        <v>159.29</v>
      </c>
      <c r="L214">
        <v>215</v>
      </c>
      <c r="M214">
        <v>215</v>
      </c>
      <c r="N214">
        <v>55.71</v>
      </c>
      <c r="O214">
        <v>159.29</v>
      </c>
      <c r="P214" t="s">
        <v>26</v>
      </c>
      <c r="Q214" t="s">
        <v>65</v>
      </c>
      <c r="R214" t="s">
        <v>44</v>
      </c>
      <c r="S214" t="str">
        <f>TRIM(PROPER(_xlfn.XLOOKUP(Table1[[#This Row],[ProductID_Clean]],Table3[ProductID],Table3[Category],"Missing Value",0)))</f>
        <v>Sensors</v>
      </c>
      <c r="T214" t="str">
        <f>_xlfn.XLOOKUP(Table1[[#This Row],[CustomerID_Check]],Table2[CustomerID],Table2[CustomerType],"Missing Value",0)</f>
        <v>Strategic</v>
      </c>
    </row>
    <row r="215" spans="1:20">
      <c r="A215" t="s">
        <v>404</v>
      </c>
      <c r="B215" s="1">
        <v>45683</v>
      </c>
      <c r="C215" t="s">
        <v>405</v>
      </c>
      <c r="D215" t="str">
        <f>UPPER(Table1[[#This Row],[ProductID_Clean]])</f>
        <v>P-SI-003</v>
      </c>
      <c r="E215" t="s">
        <v>39</v>
      </c>
      <c r="F215" t="s">
        <v>58</v>
      </c>
      <c r="G215" t="str">
        <f>TRIM(Table1[[#This Row],[Region_Clean]])</f>
        <v>APAC</v>
      </c>
      <c r="H215" t="s">
        <v>24</v>
      </c>
      <c r="I215" t="s">
        <v>87</v>
      </c>
      <c r="J215" s="3">
        <v>4</v>
      </c>
      <c r="K215" s="3">
        <v>1560.79</v>
      </c>
      <c r="L215">
        <v>1890</v>
      </c>
      <c r="M215">
        <v>7560</v>
      </c>
      <c r="N215">
        <v>1316.84</v>
      </c>
      <c r="O215">
        <v>6243.16</v>
      </c>
      <c r="P215" t="s">
        <v>26</v>
      </c>
      <c r="Q215" t="s">
        <v>35</v>
      </c>
      <c r="R215" t="s">
        <v>59</v>
      </c>
      <c r="S215" t="str">
        <f>TRIM(PROPER(_xlfn.XLOOKUP(Table1[[#This Row],[ProductID_Clean]],Table3[ProductID],Table3[Category],"Missing Value",0)))</f>
        <v>Instruments</v>
      </c>
      <c r="T215" t="str">
        <f>_xlfn.XLOOKUP(Table1[[#This Row],[CustomerID_Check]],Table2[CustomerID],Table2[CustomerType],"Missing Value",0)</f>
        <v>Emerging</v>
      </c>
    </row>
    <row r="216" spans="1:20">
      <c r="A216" t="s">
        <v>406</v>
      </c>
      <c r="B216" s="1">
        <v>45661</v>
      </c>
      <c r="C216" t="s">
        <v>316</v>
      </c>
      <c r="D216" t="str">
        <f>UPPER(Table1[[#This Row],[ProductID_Clean]])</f>
        <v>P-SI-005</v>
      </c>
      <c r="E216" t="s">
        <v>57</v>
      </c>
      <c r="F216" t="s">
        <v>32</v>
      </c>
      <c r="G216" t="str">
        <f>TRIM(Table1[[#This Row],[Region_Clean]])</f>
        <v>LATIN AMERICA</v>
      </c>
      <c r="H216" t="s">
        <v>24</v>
      </c>
      <c r="I216" t="s">
        <v>25</v>
      </c>
      <c r="J216" s="3">
        <v>2</v>
      </c>
      <c r="K216" s="3">
        <v>919.25</v>
      </c>
      <c r="L216">
        <v>1120</v>
      </c>
      <c r="M216">
        <v>2240</v>
      </c>
      <c r="N216">
        <v>401.5</v>
      </c>
      <c r="O216">
        <v>1838.5</v>
      </c>
      <c r="P216" t="s">
        <v>26</v>
      </c>
      <c r="Q216" t="s">
        <v>35</v>
      </c>
      <c r="R216" t="s">
        <v>48</v>
      </c>
      <c r="S216" t="str">
        <f>TRIM(PROPER(_xlfn.XLOOKUP(Table1[[#This Row],[ProductID_Clean]],Table3[ProductID],Table3[Category],"Missing Value",0)))</f>
        <v>Sensors</v>
      </c>
      <c r="T216" t="str">
        <f>_xlfn.XLOOKUP(Table1[[#This Row],[CustomerID_Check]],Table2[CustomerID],Table2[CustomerType],"Missing Value",0)</f>
        <v>Key Account</v>
      </c>
    </row>
    <row r="217" spans="1:20">
      <c r="A217" t="s">
        <v>407</v>
      </c>
      <c r="B217" s="1">
        <v>45837</v>
      </c>
      <c r="C217" t="s">
        <v>408</v>
      </c>
      <c r="D217" t="str">
        <f>UPPER(Table1[[#This Row],[ProductID_Clean]])</f>
        <v>P-SI-003</v>
      </c>
      <c r="E217" t="s">
        <v>39</v>
      </c>
      <c r="F217" t="s">
        <v>23</v>
      </c>
      <c r="G217" t="str">
        <f>TRIM(Table1[[#This Row],[Region_Clean]])</f>
        <v>N. AMERICA</v>
      </c>
      <c r="H217" t="s">
        <v>24</v>
      </c>
      <c r="I217" t="s">
        <v>25</v>
      </c>
      <c r="J217" s="3">
        <v>1</v>
      </c>
      <c r="K217" s="3">
        <v>1703.51</v>
      </c>
      <c r="L217">
        <v>1890</v>
      </c>
      <c r="M217">
        <v>1890</v>
      </c>
      <c r="N217">
        <v>186.49</v>
      </c>
      <c r="O217">
        <v>1703.51</v>
      </c>
      <c r="P217" t="s">
        <v>26</v>
      </c>
      <c r="Q217" t="s">
        <v>35</v>
      </c>
      <c r="R217" t="s">
        <v>44</v>
      </c>
      <c r="S217" t="str">
        <f>TRIM(PROPER(_xlfn.XLOOKUP(Table1[[#This Row],[ProductID_Clean]],Table3[ProductID],Table3[Category],"Missing Value",0)))</f>
        <v>Instruments</v>
      </c>
      <c r="T217" t="str">
        <f>_xlfn.XLOOKUP(Table1[[#This Row],[CustomerID_Check]],Table2[CustomerID],Table2[CustomerType],"Missing Value",0)</f>
        <v>Emerging</v>
      </c>
    </row>
    <row r="218" spans="1:20">
      <c r="A218" t="s">
        <v>409</v>
      </c>
      <c r="B218" s="1">
        <v>45825</v>
      </c>
      <c r="C218" t="s">
        <v>410</v>
      </c>
      <c r="D218" t="str">
        <f>UPPER(Table1[[#This Row],[ProductID_Clean]])</f>
        <v>P-SI-006</v>
      </c>
      <c r="E218" t="s">
        <v>43</v>
      </c>
      <c r="F218" t="s">
        <v>23</v>
      </c>
      <c r="G218" t="str">
        <f>TRIM(Table1[[#This Row],[Region_Clean]])</f>
        <v>N. AMERICA</v>
      </c>
      <c r="H218" t="s">
        <v>24</v>
      </c>
      <c r="I218" t="s">
        <v>25</v>
      </c>
      <c r="J218" s="3">
        <v>5</v>
      </c>
      <c r="K218" s="3">
        <v>190.94</v>
      </c>
      <c r="L218">
        <v>215</v>
      </c>
      <c r="M218">
        <v>1075</v>
      </c>
      <c r="N218">
        <v>120.3</v>
      </c>
      <c r="O218">
        <v>954.7</v>
      </c>
      <c r="P218" t="s">
        <v>26</v>
      </c>
      <c r="Q218" t="s">
        <v>65</v>
      </c>
      <c r="R218" t="s">
        <v>28</v>
      </c>
      <c r="S218" t="str">
        <f>TRIM(PROPER(_xlfn.XLOOKUP(Table1[[#This Row],[ProductID_Clean]],Table3[ProductID],Table3[Category],"Missing Value",0)))</f>
        <v>Sensors</v>
      </c>
      <c r="T218" t="str">
        <f>_xlfn.XLOOKUP(Table1[[#This Row],[CustomerID_Check]],Table2[CustomerID],Table2[CustomerType],"Missing Value",0)</f>
        <v>Key Account</v>
      </c>
    </row>
    <row r="219" spans="1:20">
      <c r="A219" t="s">
        <v>411</v>
      </c>
      <c r="B219" s="1">
        <v>45677</v>
      </c>
      <c r="C219" t="s">
        <v>30</v>
      </c>
      <c r="D219" t="str">
        <f>UPPER(Table1[[#This Row],[ProductID_Clean]])</f>
        <v>P-SI-002</v>
      </c>
      <c r="E219" t="s">
        <v>31</v>
      </c>
      <c r="F219" t="s">
        <v>32</v>
      </c>
      <c r="G219" t="str">
        <f>TRIM(Table1[[#This Row],[Region_Clean]])</f>
        <v>LATIN AMERICA</v>
      </c>
      <c r="H219" t="s">
        <v>24</v>
      </c>
      <c r="I219" t="s">
        <v>25</v>
      </c>
      <c r="J219" s="3">
        <v>15</v>
      </c>
      <c r="K219" s="3">
        <v>613.88</v>
      </c>
      <c r="L219">
        <v>725</v>
      </c>
      <c r="M219">
        <v>10875</v>
      </c>
      <c r="N219">
        <v>1666.8</v>
      </c>
      <c r="O219">
        <v>9208.2000000000007</v>
      </c>
      <c r="P219" t="s">
        <v>26</v>
      </c>
      <c r="Q219" t="s">
        <v>35</v>
      </c>
      <c r="R219" t="s">
        <v>36</v>
      </c>
      <c r="S219" t="str">
        <f>TRIM(PROPER(_xlfn.XLOOKUP(Table1[[#This Row],[ProductID_Clean]],Table3[ProductID],Table3[Category],"Missing Value",0)))</f>
        <v>Sensors</v>
      </c>
      <c r="T219" t="str">
        <f>_xlfn.XLOOKUP(Table1[[#This Row],[CustomerID_Check]],Table2[CustomerID],Table2[CustomerType],"Missing Value",0)</f>
        <v>Strategic</v>
      </c>
    </row>
    <row r="220" spans="1:20" hidden="1">
      <c r="A220" t="s">
        <v>412</v>
      </c>
      <c r="B220" s="1">
        <v>45725</v>
      </c>
      <c r="C220" t="s">
        <v>385</v>
      </c>
      <c r="D220" t="str">
        <f>UPPER(Table1[[#This Row],[ProductID_Clean]])</f>
        <v>INVALID ID</v>
      </c>
      <c r="E220" t="s">
        <v>76</v>
      </c>
      <c r="F220" t="s">
        <v>47</v>
      </c>
      <c r="G220" t="str">
        <f>TRIM(Table1[[#This Row],[Region_Clean]])</f>
        <v>EMEA</v>
      </c>
      <c r="H220" t="s">
        <v>24</v>
      </c>
      <c r="I220" t="s">
        <v>25</v>
      </c>
      <c r="J220" s="3">
        <v>1</v>
      </c>
      <c r="K220" s="3">
        <v>2214.67</v>
      </c>
      <c r="L220">
        <v>2450</v>
      </c>
      <c r="M220">
        <v>2450</v>
      </c>
      <c r="N220">
        <v>235.33</v>
      </c>
      <c r="O220">
        <v>2214.67</v>
      </c>
      <c r="P220" t="s">
        <v>126</v>
      </c>
      <c r="Q220" t="s">
        <v>27</v>
      </c>
      <c r="R220" t="s">
        <v>44</v>
      </c>
      <c r="S220" t="str">
        <f>TRIM(PROPER(_xlfn.XLOOKUP(Table1[[#This Row],[ProductID_Clean]],Table3[ProductID],Table3[Category],"Missing Value",0)))</f>
        <v>Missing Value</v>
      </c>
      <c r="T220" t="str">
        <f>_xlfn.XLOOKUP(Table1[[#This Row],[CustomerID_Check]],Table2[CustomerID],Table2[CustomerType],"Missing Value",0)</f>
        <v>Standard</v>
      </c>
    </row>
    <row r="221" spans="1:20">
      <c r="A221" t="s">
        <v>413</v>
      </c>
      <c r="B221" s="1">
        <v>45817</v>
      </c>
      <c r="C221" t="s">
        <v>139</v>
      </c>
      <c r="D221" t="str">
        <f>UPPER(Table1[[#This Row],[ProductID_Clean]])</f>
        <v>P-SI-001</v>
      </c>
      <c r="E221" t="s">
        <v>72</v>
      </c>
      <c r="F221" t="s">
        <v>47</v>
      </c>
      <c r="G221" t="str">
        <f>TRIM(Table1[[#This Row],[Region_Clean]])</f>
        <v>EMEA</v>
      </c>
      <c r="H221" t="s">
        <v>24</v>
      </c>
      <c r="I221" t="s">
        <v>25</v>
      </c>
      <c r="J221" s="3">
        <v>1</v>
      </c>
      <c r="K221" s="3">
        <v>407.84</v>
      </c>
      <c r="L221">
        <v>485</v>
      </c>
      <c r="M221">
        <v>485</v>
      </c>
      <c r="N221">
        <v>77.16</v>
      </c>
      <c r="O221">
        <v>407.84</v>
      </c>
      <c r="P221" t="s">
        <v>26</v>
      </c>
      <c r="Q221" t="s">
        <v>35</v>
      </c>
      <c r="R221" t="s">
        <v>59</v>
      </c>
      <c r="S221" t="str">
        <f>TRIM(PROPER(_xlfn.XLOOKUP(Table1[[#This Row],[ProductID_Clean]],Table3[ProductID],Table3[Category],"Missing Value",0)))</f>
        <v>Sensors</v>
      </c>
      <c r="T221" t="str">
        <f>_xlfn.XLOOKUP(Table1[[#This Row],[CustomerID_Check]],Table2[CustomerID],Table2[CustomerType],"Missing Value",0)</f>
        <v>Key Account</v>
      </c>
    </row>
    <row r="222" spans="1:20">
      <c r="A222" t="s">
        <v>414</v>
      </c>
      <c r="B222" s="1">
        <v>45759</v>
      </c>
      <c r="C222" t="s">
        <v>225</v>
      </c>
      <c r="D222" t="str">
        <f>UPPER(Table1[[#This Row],[ProductID_Clean]])</f>
        <v>P-SI-004</v>
      </c>
      <c r="E222" t="s">
        <v>22</v>
      </c>
      <c r="F222" t="s">
        <v>23</v>
      </c>
      <c r="G222" t="str">
        <f>TRIM(Table1[[#This Row],[Region_Clean]])</f>
        <v>N. AMERICA</v>
      </c>
      <c r="H222" t="s">
        <v>24</v>
      </c>
      <c r="I222" t="s">
        <v>25</v>
      </c>
      <c r="J222" s="3">
        <v>1</v>
      </c>
      <c r="K222" s="3">
        <v>2105.79</v>
      </c>
      <c r="L222">
        <v>2450</v>
      </c>
      <c r="M222">
        <v>2450</v>
      </c>
      <c r="N222">
        <v>344.21</v>
      </c>
      <c r="O222">
        <v>2105.79</v>
      </c>
      <c r="P222" t="s">
        <v>26</v>
      </c>
      <c r="Q222" t="s">
        <v>27</v>
      </c>
      <c r="R222" t="s">
        <v>36</v>
      </c>
      <c r="S222" t="str">
        <f>TRIM(PROPER(_xlfn.XLOOKUP(Table1[[#This Row],[ProductID_Clean]],Table3[ProductID],Table3[Category],"Missing Value",0)))</f>
        <v>Instruments</v>
      </c>
      <c r="T222" t="str">
        <f>_xlfn.XLOOKUP(Table1[[#This Row],[CustomerID_Check]],Table2[CustomerID],Table2[CustomerType],"Missing Value",0)</f>
        <v>Key Account</v>
      </c>
    </row>
    <row r="223" spans="1:20">
      <c r="A223" t="s">
        <v>415</v>
      </c>
      <c r="B223" s="1">
        <v>45678</v>
      </c>
      <c r="C223" t="s">
        <v>188</v>
      </c>
      <c r="D223" t="str">
        <f>UPPER(Table1[[#This Row],[ProductID_Clean]])</f>
        <v>P-SI-004</v>
      </c>
      <c r="E223" t="s">
        <v>22</v>
      </c>
      <c r="F223" t="s">
        <v>58</v>
      </c>
      <c r="G223" t="str">
        <f>TRIM(Table1[[#This Row],[Region_Clean]])</f>
        <v>APAC</v>
      </c>
      <c r="H223" t="s">
        <v>24</v>
      </c>
      <c r="I223" t="s">
        <v>34</v>
      </c>
      <c r="J223" s="3">
        <v>3</v>
      </c>
      <c r="K223" s="3">
        <v>2016.82</v>
      </c>
      <c r="L223">
        <v>2450</v>
      </c>
      <c r="M223">
        <v>7350</v>
      </c>
      <c r="N223">
        <v>1299.54</v>
      </c>
      <c r="O223">
        <v>6050.46</v>
      </c>
      <c r="P223" t="s">
        <v>113</v>
      </c>
      <c r="Q223" t="s">
        <v>27</v>
      </c>
      <c r="R223" t="s">
        <v>44</v>
      </c>
      <c r="S223" t="str">
        <f>TRIM(PROPER(_xlfn.XLOOKUP(Table1[[#This Row],[ProductID_Clean]],Table3[ProductID],Table3[Category],"Missing Value",0)))</f>
        <v>Instruments</v>
      </c>
      <c r="T223" t="str">
        <f>_xlfn.XLOOKUP(Table1[[#This Row],[CustomerID_Check]],Table2[CustomerID],Table2[CustomerType],"Missing Value",0)</f>
        <v>Key Account</v>
      </c>
    </row>
    <row r="224" spans="1:20">
      <c r="A224" t="s">
        <v>417</v>
      </c>
      <c r="B224" s="1">
        <v>45755</v>
      </c>
      <c r="C224" t="s">
        <v>375</v>
      </c>
      <c r="D224" t="str">
        <f>UPPER(Table1[[#This Row],[ProductID_Clean]])</f>
        <v>P-FS-005</v>
      </c>
      <c r="E224" t="s">
        <v>101</v>
      </c>
      <c r="F224" t="s">
        <v>32</v>
      </c>
      <c r="G224" t="str">
        <f>TRIM(Table1[[#This Row],[Region_Clean]])</f>
        <v>LATIN AMERICA</v>
      </c>
      <c r="H224" t="s">
        <v>82</v>
      </c>
      <c r="I224" t="s">
        <v>25</v>
      </c>
      <c r="J224" s="3">
        <v>1</v>
      </c>
      <c r="K224" s="3">
        <v>723.66</v>
      </c>
      <c r="L224">
        <v>950</v>
      </c>
      <c r="M224">
        <v>950</v>
      </c>
      <c r="N224">
        <v>226.34</v>
      </c>
      <c r="O224">
        <v>723.66</v>
      </c>
      <c r="P224" t="s">
        <v>26</v>
      </c>
      <c r="Q224" t="s">
        <v>35</v>
      </c>
      <c r="R224" t="s">
        <v>36</v>
      </c>
      <c r="S224" t="str">
        <f>TRIM(PROPER(_xlfn.XLOOKUP(Table1[[#This Row],[ProductID_Clean]],Table3[ProductID],Table3[Category],"Missing Value",0)))</f>
        <v>Services</v>
      </c>
      <c r="T224" t="str">
        <f>_xlfn.XLOOKUP(Table1[[#This Row],[CustomerID_Check]],Table2[CustomerID],Table2[CustomerType],"Missing Value",0)</f>
        <v>Standard</v>
      </c>
    </row>
    <row r="225" spans="1:20">
      <c r="A225" t="s">
        <v>418</v>
      </c>
      <c r="B225" s="1">
        <v>45818</v>
      </c>
      <c r="C225" t="s">
        <v>197</v>
      </c>
      <c r="D225" t="str">
        <f>UPPER(Table1[[#This Row],[ProductID_Clean]])</f>
        <v>P-SA-003</v>
      </c>
      <c r="E225" t="s">
        <v>51</v>
      </c>
      <c r="F225" t="s">
        <v>58</v>
      </c>
      <c r="G225" t="str">
        <f>TRIM(Table1[[#This Row],[Region_Clean]])</f>
        <v>APAC</v>
      </c>
      <c r="H225" t="s">
        <v>53</v>
      </c>
      <c r="I225" t="s">
        <v>25</v>
      </c>
      <c r="J225" s="3">
        <v>3</v>
      </c>
      <c r="K225" s="3">
        <v>2256.21</v>
      </c>
      <c r="L225">
        <v>2750</v>
      </c>
      <c r="M225">
        <v>8250</v>
      </c>
      <c r="N225">
        <v>1481.37</v>
      </c>
      <c r="O225">
        <v>6768.63</v>
      </c>
      <c r="P225" t="s">
        <v>26</v>
      </c>
      <c r="Q225" t="s">
        <v>54</v>
      </c>
      <c r="R225" t="s">
        <v>28</v>
      </c>
      <c r="S225" t="str">
        <f>TRIM(PROPER(_xlfn.XLOOKUP(Table1[[#This Row],[ProductID_Clean]],Table3[ProductID],Table3[Category],"Missing Value",0)))</f>
        <v>Software</v>
      </c>
      <c r="T225" t="str">
        <f>_xlfn.XLOOKUP(Table1[[#This Row],[CustomerID_Check]],Table2[CustomerID],Table2[CustomerType],"Missing Value",0)</f>
        <v>Strategic</v>
      </c>
    </row>
    <row r="226" spans="1:20">
      <c r="A226" t="s">
        <v>419</v>
      </c>
      <c r="B226" s="1">
        <v>45782</v>
      </c>
      <c r="C226" t="s">
        <v>239</v>
      </c>
      <c r="D226" t="str">
        <f>UPPER(Table1[[#This Row],[ProductID_Clean]])</f>
        <v>P-SA-001</v>
      </c>
      <c r="E226" t="s">
        <v>68</v>
      </c>
      <c r="F226" t="s">
        <v>23</v>
      </c>
      <c r="G226" t="str">
        <f>TRIM(Table1[[#This Row],[Region_Clean]])</f>
        <v>N. AMERICA</v>
      </c>
      <c r="H226" t="s">
        <v>53</v>
      </c>
      <c r="I226" t="s">
        <v>25</v>
      </c>
      <c r="J226" s="3">
        <v>1</v>
      </c>
      <c r="K226" s="3">
        <v>3402.71</v>
      </c>
      <c r="L226">
        <v>4200</v>
      </c>
      <c r="M226">
        <v>4200</v>
      </c>
      <c r="N226">
        <v>797.29</v>
      </c>
      <c r="O226">
        <v>3402.71</v>
      </c>
      <c r="P226" t="s">
        <v>26</v>
      </c>
      <c r="Q226" t="s">
        <v>88</v>
      </c>
      <c r="R226" t="s">
        <v>44</v>
      </c>
      <c r="S226" t="str">
        <f>TRIM(PROPER(_xlfn.XLOOKUP(Table1[[#This Row],[ProductID_Clean]],Table3[ProductID],Table3[Category],"Missing Value",0)))</f>
        <v>Software</v>
      </c>
      <c r="T226" t="str">
        <f>_xlfn.XLOOKUP(Table1[[#This Row],[CustomerID_Check]],Table2[CustomerID],Table2[CustomerType],"Missing Value",0)</f>
        <v>Strategic</v>
      </c>
    </row>
    <row r="227" spans="1:20">
      <c r="A227" t="s">
        <v>420</v>
      </c>
      <c r="B227" s="1">
        <v>45667</v>
      </c>
      <c r="C227" t="s">
        <v>91</v>
      </c>
      <c r="D227" t="str">
        <f>UPPER(Table1[[#This Row],[ProductID_Clean]])</f>
        <v>P-SI-003</v>
      </c>
      <c r="E227" t="s">
        <v>39</v>
      </c>
      <c r="F227" t="s">
        <v>23</v>
      </c>
      <c r="G227" t="str">
        <f>TRIM(Table1[[#This Row],[Region_Clean]])</f>
        <v>N. AMERICA</v>
      </c>
      <c r="H227" t="s">
        <v>24</v>
      </c>
      <c r="I227" t="s">
        <v>25</v>
      </c>
      <c r="J227" s="3">
        <v>1</v>
      </c>
      <c r="K227" s="3">
        <v>1713.79</v>
      </c>
      <c r="L227">
        <v>1890</v>
      </c>
      <c r="M227">
        <v>1890</v>
      </c>
      <c r="N227">
        <v>176.21</v>
      </c>
      <c r="O227">
        <v>1713.79</v>
      </c>
      <c r="P227" t="s">
        <v>26</v>
      </c>
      <c r="Q227" t="s">
        <v>35</v>
      </c>
      <c r="R227" t="s">
        <v>48</v>
      </c>
      <c r="S227" t="str">
        <f>TRIM(PROPER(_xlfn.XLOOKUP(Table1[[#This Row],[ProductID_Clean]],Table3[ProductID],Table3[Category],"Missing Value",0)))</f>
        <v>Instruments</v>
      </c>
      <c r="T227" t="str">
        <f>_xlfn.XLOOKUP(Table1[[#This Row],[CustomerID_Check]],Table2[CustomerID],Table2[CustomerType],"Missing Value",0)</f>
        <v>Key Account</v>
      </c>
    </row>
    <row r="228" spans="1:20">
      <c r="A228" t="s">
        <v>421</v>
      </c>
      <c r="B228" s="1">
        <v>45675</v>
      </c>
      <c r="C228" t="s">
        <v>96</v>
      </c>
      <c r="D228" t="str">
        <f>UPPER(Table1[[#This Row],[ProductID_Clean]])</f>
        <v>P-SA-001</v>
      </c>
      <c r="E228" t="s">
        <v>68</v>
      </c>
      <c r="F228" t="s">
        <v>23</v>
      </c>
      <c r="G228" t="str">
        <f>TRIM(Table1[[#This Row],[Region_Clean]])</f>
        <v>N. AMERICA</v>
      </c>
      <c r="H228" t="s">
        <v>53</v>
      </c>
      <c r="I228" t="s">
        <v>87</v>
      </c>
      <c r="J228" s="3">
        <v>1</v>
      </c>
      <c r="K228" s="3">
        <v>3226.83</v>
      </c>
      <c r="L228">
        <v>4200</v>
      </c>
      <c r="M228">
        <v>4200</v>
      </c>
      <c r="N228">
        <v>973.17</v>
      </c>
      <c r="O228">
        <v>3226.83</v>
      </c>
      <c r="P228" t="s">
        <v>26</v>
      </c>
      <c r="Q228" t="s">
        <v>88</v>
      </c>
      <c r="R228" t="s">
        <v>44</v>
      </c>
      <c r="S228" t="str">
        <f>TRIM(PROPER(_xlfn.XLOOKUP(Table1[[#This Row],[ProductID_Clean]],Table3[ProductID],Table3[Category],"Missing Value",0)))</f>
        <v>Software</v>
      </c>
      <c r="T228" t="str">
        <f>_xlfn.XLOOKUP(Table1[[#This Row],[CustomerID_Check]],Table2[CustomerID],Table2[CustomerType],"Missing Value",0)</f>
        <v>Standard</v>
      </c>
    </row>
    <row r="229" spans="1:20">
      <c r="A229" t="s">
        <v>422</v>
      </c>
      <c r="B229" s="1">
        <v>45819</v>
      </c>
      <c r="C229" t="s">
        <v>410</v>
      </c>
      <c r="D229" t="str">
        <f>UPPER(Table1[[#This Row],[ProductID_Clean]])</f>
        <v>P-SA-001</v>
      </c>
      <c r="E229" t="s">
        <v>68</v>
      </c>
      <c r="F229" t="s">
        <v>23</v>
      </c>
      <c r="G229" t="str">
        <f>TRIM(Table1[[#This Row],[Region_Clean]])</f>
        <v>N. AMERICA</v>
      </c>
      <c r="H229" t="s">
        <v>53</v>
      </c>
      <c r="I229" t="s">
        <v>25</v>
      </c>
      <c r="J229" s="3">
        <v>1</v>
      </c>
      <c r="K229" s="3">
        <v>3616.55</v>
      </c>
      <c r="L229">
        <v>4200</v>
      </c>
      <c r="M229">
        <v>4200</v>
      </c>
      <c r="N229">
        <v>583.45000000000005</v>
      </c>
      <c r="O229">
        <v>3616.55</v>
      </c>
      <c r="P229" t="s">
        <v>113</v>
      </c>
      <c r="Q229" t="s">
        <v>54</v>
      </c>
      <c r="R229" t="s">
        <v>28</v>
      </c>
      <c r="S229" t="str">
        <f>TRIM(PROPER(_xlfn.XLOOKUP(Table1[[#This Row],[ProductID_Clean]],Table3[ProductID],Table3[Category],"Missing Value",0)))</f>
        <v>Software</v>
      </c>
      <c r="T229" t="str">
        <f>_xlfn.XLOOKUP(Table1[[#This Row],[CustomerID_Check]],Table2[CustomerID],Table2[CustomerType],"Missing Value",0)</f>
        <v>Key Account</v>
      </c>
    </row>
    <row r="230" spans="1:20">
      <c r="A230" t="s">
        <v>423</v>
      </c>
      <c r="B230" s="1">
        <v>45731</v>
      </c>
      <c r="C230" t="s">
        <v>424</v>
      </c>
      <c r="D230" t="str">
        <f>UPPER(Table1[[#This Row],[ProductID_Clean]])</f>
        <v>P-SI-007</v>
      </c>
      <c r="E230" t="s">
        <v>97</v>
      </c>
      <c r="F230" t="s">
        <v>23</v>
      </c>
      <c r="G230" t="str">
        <f>TRIM(Table1[[#This Row],[Region_Clean]])</f>
        <v>N. AMERICA</v>
      </c>
      <c r="H230" t="s">
        <v>24</v>
      </c>
      <c r="I230" t="s">
        <v>34</v>
      </c>
      <c r="J230" s="3">
        <v>2</v>
      </c>
      <c r="K230" s="3">
        <v>852.32</v>
      </c>
      <c r="L230">
        <v>980</v>
      </c>
      <c r="M230">
        <v>1960</v>
      </c>
      <c r="N230">
        <v>255.36</v>
      </c>
      <c r="O230">
        <v>1704.64</v>
      </c>
      <c r="P230" t="s">
        <v>26</v>
      </c>
      <c r="Q230" t="s">
        <v>35</v>
      </c>
      <c r="R230" t="s">
        <v>44</v>
      </c>
      <c r="S230" t="str">
        <f>TRIM(PROPER(_xlfn.XLOOKUP(Table1[[#This Row],[ProductID_Clean]],Table3[ProductID],Table3[Category],"Missing Value",0)))</f>
        <v>Sensors</v>
      </c>
      <c r="T230" t="str">
        <f>_xlfn.XLOOKUP(Table1[[#This Row],[CustomerID_Check]],Table2[CustomerID],Table2[CustomerType],"Missing Value",0)</f>
        <v>Key Account</v>
      </c>
    </row>
    <row r="231" spans="1:20">
      <c r="A231" t="s">
        <v>425</v>
      </c>
      <c r="B231" s="1">
        <v>45681</v>
      </c>
      <c r="C231" t="s">
        <v>61</v>
      </c>
      <c r="D231" t="str">
        <f>UPPER(Table1[[#This Row],[ProductID_Clean]])</f>
        <v>P-SA-002</v>
      </c>
      <c r="E231" t="s">
        <v>147</v>
      </c>
      <c r="F231" t="s">
        <v>47</v>
      </c>
      <c r="G231" t="str">
        <f>TRIM(Table1[[#This Row],[Region_Clean]])</f>
        <v>EMEA</v>
      </c>
      <c r="H231" t="s">
        <v>53</v>
      </c>
      <c r="I231" t="s">
        <v>40</v>
      </c>
      <c r="J231" s="3">
        <v>1</v>
      </c>
      <c r="K231" s="3">
        <v>7149.64</v>
      </c>
      <c r="L231">
        <v>9800</v>
      </c>
      <c r="M231">
        <v>9800</v>
      </c>
      <c r="N231">
        <v>2650.36</v>
      </c>
      <c r="O231">
        <v>7149.64</v>
      </c>
      <c r="P231" t="s">
        <v>26</v>
      </c>
      <c r="Q231" t="s">
        <v>88</v>
      </c>
      <c r="R231" t="s">
        <v>48</v>
      </c>
      <c r="S231" t="str">
        <f>TRIM(PROPER(_xlfn.XLOOKUP(Table1[[#This Row],[ProductID_Clean]],Table3[ProductID],Table3[Category],"Missing Value",0)))</f>
        <v>Software</v>
      </c>
      <c r="T231" t="str">
        <f>_xlfn.XLOOKUP(Table1[[#This Row],[CustomerID_Check]],Table2[CustomerID],Table2[CustomerType],"Missing Value",0)</f>
        <v>Strategic</v>
      </c>
    </row>
    <row r="232" spans="1:20" hidden="1">
      <c r="A232" t="s">
        <v>426</v>
      </c>
      <c r="B232" s="1">
        <v>45683</v>
      </c>
      <c r="C232" t="s">
        <v>427</v>
      </c>
      <c r="D232" t="str">
        <f>UPPER(Table1[[#This Row],[ProductID_Clean]])</f>
        <v>INVALID ID</v>
      </c>
      <c r="E232" t="s">
        <v>76</v>
      </c>
      <c r="F232" t="s">
        <v>58</v>
      </c>
      <c r="G232" t="str">
        <f>TRIM(Table1[[#This Row],[Region_Clean]])</f>
        <v>APAC</v>
      </c>
      <c r="H232" t="s">
        <v>24</v>
      </c>
      <c r="I232" t="s">
        <v>25</v>
      </c>
      <c r="J232" s="3">
        <v>2</v>
      </c>
      <c r="K232" s="3">
        <v>449.05</v>
      </c>
      <c r="L232">
        <v>485</v>
      </c>
      <c r="M232">
        <v>970</v>
      </c>
      <c r="N232">
        <v>71.900000000000006</v>
      </c>
      <c r="O232">
        <v>898.1</v>
      </c>
      <c r="P232" t="s">
        <v>26</v>
      </c>
      <c r="Q232" t="s">
        <v>35</v>
      </c>
      <c r="R232" t="s">
        <v>59</v>
      </c>
      <c r="S232" t="str">
        <f>TRIM(PROPER(_xlfn.XLOOKUP(Table1[[#This Row],[ProductID_Clean]],Table3[ProductID],Table3[Category],"Missing Value",0)))</f>
        <v>Missing Value</v>
      </c>
      <c r="T232" t="str">
        <f>_xlfn.XLOOKUP(Table1[[#This Row],[CustomerID_Check]],Table2[CustomerID],Table2[CustomerType],"Missing Value",0)</f>
        <v>Standard</v>
      </c>
    </row>
    <row r="233" spans="1:20">
      <c r="A233" t="s">
        <v>428</v>
      </c>
      <c r="B233" s="1">
        <v>45683</v>
      </c>
      <c r="C233" t="s">
        <v>194</v>
      </c>
      <c r="D233" t="str">
        <f>UPPER(Table1[[#This Row],[ProductID_Clean]])</f>
        <v>P-SA-001</v>
      </c>
      <c r="E233" t="s">
        <v>68</v>
      </c>
      <c r="F233" t="s">
        <v>23</v>
      </c>
      <c r="G233" t="str">
        <f>TRIM(Table1[[#This Row],[Region_Clean]])</f>
        <v>N. AMERICA</v>
      </c>
      <c r="H233" t="s">
        <v>53</v>
      </c>
      <c r="I233" t="s">
        <v>25</v>
      </c>
      <c r="J233" s="3">
        <v>1</v>
      </c>
      <c r="K233" s="3">
        <v>3705.44</v>
      </c>
      <c r="L233">
        <v>4200</v>
      </c>
      <c r="M233">
        <v>4200</v>
      </c>
      <c r="N233">
        <v>494.56</v>
      </c>
      <c r="O233">
        <v>3705.44</v>
      </c>
      <c r="P233" t="s">
        <v>26</v>
      </c>
      <c r="Q233" t="s">
        <v>54</v>
      </c>
      <c r="R233" t="s">
        <v>36</v>
      </c>
      <c r="S233" t="str">
        <f>TRIM(PROPER(_xlfn.XLOOKUP(Table1[[#This Row],[ProductID_Clean]],Table3[ProductID],Table3[Category],"Missing Value",0)))</f>
        <v>Software</v>
      </c>
      <c r="T233" t="str">
        <f>_xlfn.XLOOKUP(Table1[[#This Row],[CustomerID_Check]],Table2[CustomerID],Table2[CustomerType],"Missing Value",0)</f>
        <v>Strategic</v>
      </c>
    </row>
    <row r="234" spans="1:20">
      <c r="A234" t="s">
        <v>429</v>
      </c>
      <c r="B234" s="1">
        <v>45669</v>
      </c>
      <c r="C234" t="s">
        <v>89</v>
      </c>
      <c r="D234" t="str">
        <f>UPPER(Table1[[#This Row],[ProductID_Clean]])</f>
        <v>P-SI-005</v>
      </c>
      <c r="E234" t="s">
        <v>57</v>
      </c>
      <c r="F234" t="s">
        <v>58</v>
      </c>
      <c r="G234" t="str">
        <f>TRIM(Table1[[#This Row],[Region_Clean]])</f>
        <v>APAC</v>
      </c>
      <c r="H234" t="s">
        <v>24</v>
      </c>
      <c r="I234" t="s">
        <v>25</v>
      </c>
      <c r="J234" s="3">
        <v>8</v>
      </c>
      <c r="K234" s="3">
        <v>837.74</v>
      </c>
      <c r="L234">
        <v>1120</v>
      </c>
      <c r="M234">
        <v>8960</v>
      </c>
      <c r="N234">
        <v>2258.08</v>
      </c>
      <c r="O234">
        <v>6701.92</v>
      </c>
      <c r="P234" t="s">
        <v>26</v>
      </c>
      <c r="Q234" t="s">
        <v>35</v>
      </c>
      <c r="R234" t="s">
        <v>44</v>
      </c>
      <c r="S234" t="str">
        <f>TRIM(PROPER(_xlfn.XLOOKUP(Table1[[#This Row],[ProductID_Clean]],Table3[ProductID],Table3[Category],"Missing Value",0)))</f>
        <v>Sensors</v>
      </c>
      <c r="T234" t="str">
        <f>_xlfn.XLOOKUP(Table1[[#This Row],[CustomerID_Check]],Table2[CustomerID],Table2[CustomerType],"Missing Value",0)</f>
        <v>Strategic</v>
      </c>
    </row>
    <row r="235" spans="1:20">
      <c r="A235" t="s">
        <v>430</v>
      </c>
      <c r="B235" s="1">
        <v>45672</v>
      </c>
      <c r="C235" t="s">
        <v>431</v>
      </c>
      <c r="D235" t="str">
        <f>UPPER(Table1[[#This Row],[ProductID_Clean]])</f>
        <v>P-FS-004</v>
      </c>
      <c r="E235" t="s">
        <v>432</v>
      </c>
      <c r="F235" t="s">
        <v>23</v>
      </c>
      <c r="G235" t="str">
        <f>TRIM(Table1[[#This Row],[Region_Clean]])</f>
        <v>N. AMERICA</v>
      </c>
      <c r="H235" t="s">
        <v>82</v>
      </c>
      <c r="I235" t="s">
        <v>98</v>
      </c>
      <c r="J235" s="3">
        <v>1</v>
      </c>
      <c r="K235" s="3">
        <v>3045.67</v>
      </c>
      <c r="L235">
        <v>3200</v>
      </c>
      <c r="M235">
        <v>3200</v>
      </c>
      <c r="N235">
        <v>154.33000000000001</v>
      </c>
      <c r="O235">
        <v>3045.67</v>
      </c>
      <c r="P235" t="s">
        <v>26</v>
      </c>
      <c r="Q235" t="s">
        <v>35</v>
      </c>
      <c r="R235" t="s">
        <v>44</v>
      </c>
      <c r="S235" t="str">
        <f>TRIM(PROPER(_xlfn.XLOOKUP(Table1[[#This Row],[ProductID_Clean]],Table3[ProductID],Table3[Category],"Missing Value",0)))</f>
        <v>Services</v>
      </c>
      <c r="T235" t="str">
        <f>_xlfn.XLOOKUP(Table1[[#This Row],[CustomerID_Check]],Table2[CustomerID],Table2[CustomerType],"Missing Value",0)</f>
        <v>Standard</v>
      </c>
    </row>
    <row r="236" spans="1:20">
      <c r="A236" t="s">
        <v>433</v>
      </c>
      <c r="B236" s="1">
        <v>45749</v>
      </c>
      <c r="C236" t="s">
        <v>339</v>
      </c>
      <c r="D236" t="str">
        <f>UPPER(Table1[[#This Row],[ProductID_Clean]])</f>
        <v>P-SA-002</v>
      </c>
      <c r="E236" t="s">
        <v>147</v>
      </c>
      <c r="F236" t="s">
        <v>47</v>
      </c>
      <c r="G236" t="str">
        <f>TRIM(Table1[[#This Row],[Region_Clean]])</f>
        <v>EMEA</v>
      </c>
      <c r="H236" t="s">
        <v>53</v>
      </c>
      <c r="I236" t="s">
        <v>87</v>
      </c>
      <c r="J236" s="3">
        <v>2</v>
      </c>
      <c r="K236" s="3">
        <v>7711.06</v>
      </c>
      <c r="L236">
        <v>9800</v>
      </c>
      <c r="M236">
        <v>19600</v>
      </c>
      <c r="N236">
        <v>4177.88</v>
      </c>
      <c r="O236">
        <v>15422.12</v>
      </c>
      <c r="P236" t="s">
        <v>26</v>
      </c>
      <c r="Q236" t="s">
        <v>54</v>
      </c>
      <c r="R236" t="s">
        <v>48</v>
      </c>
      <c r="S236" t="str">
        <f>TRIM(PROPER(_xlfn.XLOOKUP(Table1[[#This Row],[ProductID_Clean]],Table3[ProductID],Table3[Category],"Missing Value",0)))</f>
        <v>Software</v>
      </c>
      <c r="T236" t="str">
        <f>_xlfn.XLOOKUP(Table1[[#This Row],[CustomerID_Check]],Table2[CustomerID],Table2[CustomerType],"Missing Value",0)</f>
        <v>Key Account</v>
      </c>
    </row>
    <row r="237" spans="1:20">
      <c r="A237" t="s">
        <v>434</v>
      </c>
      <c r="B237" s="1">
        <v>45768</v>
      </c>
      <c r="C237" t="s">
        <v>288</v>
      </c>
      <c r="D237" t="str">
        <f>UPPER(Table1[[#This Row],[ProductID_Clean]])</f>
        <v>P-SA-002</v>
      </c>
      <c r="E237" t="s">
        <v>147</v>
      </c>
      <c r="F237" t="s">
        <v>23</v>
      </c>
      <c r="G237" t="str">
        <f>TRIM(Table1[[#This Row],[Region_Clean]])</f>
        <v>N. AMERICA</v>
      </c>
      <c r="H237" t="s">
        <v>53</v>
      </c>
      <c r="I237" t="s">
        <v>25</v>
      </c>
      <c r="J237" s="3">
        <v>1</v>
      </c>
      <c r="K237" s="3">
        <v>9011.64</v>
      </c>
      <c r="L237">
        <v>9800</v>
      </c>
      <c r="M237">
        <v>9800</v>
      </c>
      <c r="N237">
        <v>788.36</v>
      </c>
      <c r="O237">
        <v>9011.64</v>
      </c>
      <c r="P237" t="s">
        <v>26</v>
      </c>
      <c r="Q237" t="s">
        <v>88</v>
      </c>
      <c r="R237" t="s">
        <v>59</v>
      </c>
      <c r="S237" t="str">
        <f>TRIM(PROPER(_xlfn.XLOOKUP(Table1[[#This Row],[ProductID_Clean]],Table3[ProductID],Table3[Category],"Missing Value",0)))</f>
        <v>Software</v>
      </c>
      <c r="T237" t="str">
        <f>_xlfn.XLOOKUP(Table1[[#This Row],[CustomerID_Check]],Table2[CustomerID],Table2[CustomerType],"Missing Value",0)</f>
        <v>Key Account</v>
      </c>
    </row>
    <row r="238" spans="1:20">
      <c r="A238" t="s">
        <v>435</v>
      </c>
      <c r="B238" s="1">
        <v>45720</v>
      </c>
      <c r="C238" t="s">
        <v>30</v>
      </c>
      <c r="D238" t="str">
        <f>UPPER(Table1[[#This Row],[ProductID_Clean]])</f>
        <v>P-SI-002</v>
      </c>
      <c r="E238" t="s">
        <v>31</v>
      </c>
      <c r="F238" t="s">
        <v>32</v>
      </c>
      <c r="G238" t="str">
        <f>TRIM(Table1[[#This Row],[Region_Clean]])</f>
        <v>LATIN AMERICA</v>
      </c>
      <c r="H238" t="s">
        <v>24</v>
      </c>
      <c r="I238" t="s">
        <v>25</v>
      </c>
      <c r="J238" s="3">
        <v>1</v>
      </c>
      <c r="K238" s="3">
        <v>605.48</v>
      </c>
      <c r="L238">
        <v>725</v>
      </c>
      <c r="M238">
        <v>725</v>
      </c>
      <c r="N238">
        <v>119.52</v>
      </c>
      <c r="O238">
        <v>605.48</v>
      </c>
      <c r="P238" t="s">
        <v>26</v>
      </c>
      <c r="Q238" t="s">
        <v>35</v>
      </c>
      <c r="R238" t="s">
        <v>36</v>
      </c>
      <c r="S238" t="str">
        <f>TRIM(PROPER(_xlfn.XLOOKUP(Table1[[#This Row],[ProductID_Clean]],Table3[ProductID],Table3[Category],"Missing Value",0)))</f>
        <v>Sensors</v>
      </c>
      <c r="T238" t="str">
        <f>_xlfn.XLOOKUP(Table1[[#This Row],[CustomerID_Check]],Table2[CustomerID],Table2[CustomerType],"Missing Value",0)</f>
        <v>Strategic</v>
      </c>
    </row>
    <row r="239" spans="1:20">
      <c r="A239" t="s">
        <v>436</v>
      </c>
      <c r="B239" s="1">
        <v>45763</v>
      </c>
      <c r="C239" t="s">
        <v>246</v>
      </c>
      <c r="D239" t="str">
        <f>UPPER(Table1[[#This Row],[ProductID_Clean]])</f>
        <v>P-SI-007</v>
      </c>
      <c r="E239" t="s">
        <v>97</v>
      </c>
      <c r="F239" t="s">
        <v>23</v>
      </c>
      <c r="G239" t="str">
        <f>TRIM(Table1[[#This Row],[Region_Clean]])</f>
        <v>N. AMERICA</v>
      </c>
      <c r="H239" t="s">
        <v>24</v>
      </c>
      <c r="I239" t="s">
        <v>25</v>
      </c>
      <c r="J239" s="3">
        <v>4</v>
      </c>
      <c r="K239" s="3">
        <v>903</v>
      </c>
      <c r="L239">
        <v>980</v>
      </c>
      <c r="M239">
        <v>3920</v>
      </c>
      <c r="N239">
        <v>308</v>
      </c>
      <c r="O239">
        <v>3612</v>
      </c>
      <c r="P239" t="s">
        <v>26</v>
      </c>
      <c r="Q239" t="s">
        <v>35</v>
      </c>
      <c r="R239" t="s">
        <v>48</v>
      </c>
      <c r="S239" t="str">
        <f>TRIM(PROPER(_xlfn.XLOOKUP(Table1[[#This Row],[ProductID_Clean]],Table3[ProductID],Table3[Category],"Missing Value",0)))</f>
        <v>Sensors</v>
      </c>
      <c r="T239" t="str">
        <f>_xlfn.XLOOKUP(Table1[[#This Row],[CustomerID_Check]],Table2[CustomerID],Table2[CustomerType],"Missing Value",0)</f>
        <v>Key Account</v>
      </c>
    </row>
    <row r="240" spans="1:20">
      <c r="A240" t="s">
        <v>437</v>
      </c>
      <c r="B240" s="1">
        <v>45832</v>
      </c>
      <c r="C240" t="s">
        <v>190</v>
      </c>
      <c r="D240" t="str">
        <f>UPPER(Table1[[#This Row],[ProductID_Clean]])</f>
        <v>P-SA-001</v>
      </c>
      <c r="E240" t="s">
        <v>68</v>
      </c>
      <c r="F240" t="s">
        <v>47</v>
      </c>
      <c r="G240" t="str">
        <f>TRIM(Table1[[#This Row],[Region_Clean]])</f>
        <v>EMEA</v>
      </c>
      <c r="H240" t="s">
        <v>53</v>
      </c>
      <c r="I240" t="s">
        <v>25</v>
      </c>
      <c r="J240" s="3">
        <v>1</v>
      </c>
      <c r="K240" s="3">
        <v>3625.45</v>
      </c>
      <c r="L240">
        <v>4200</v>
      </c>
      <c r="M240">
        <v>4200</v>
      </c>
      <c r="N240">
        <v>574.54999999999995</v>
      </c>
      <c r="O240">
        <v>3625.45</v>
      </c>
      <c r="P240" t="s">
        <v>26</v>
      </c>
      <c r="Q240" t="s">
        <v>189</v>
      </c>
      <c r="R240" t="s">
        <v>36</v>
      </c>
      <c r="S240" t="str">
        <f>TRIM(PROPER(_xlfn.XLOOKUP(Table1[[#This Row],[ProductID_Clean]],Table3[ProductID],Table3[Category],"Missing Value",0)))</f>
        <v>Software</v>
      </c>
      <c r="T240" t="str">
        <f>_xlfn.XLOOKUP(Table1[[#This Row],[CustomerID_Check]],Table2[CustomerID],Table2[CustomerType],"Missing Value",0)</f>
        <v>Strategic</v>
      </c>
    </row>
    <row r="241" spans="1:20">
      <c r="A241" t="s">
        <v>438</v>
      </c>
      <c r="B241" s="1">
        <v>45701</v>
      </c>
      <c r="C241" t="s">
        <v>185</v>
      </c>
      <c r="D241" t="str">
        <f>UPPER(Table1[[#This Row],[ProductID_Clean]])</f>
        <v>P-SI-007</v>
      </c>
      <c r="E241" t="s">
        <v>97</v>
      </c>
      <c r="F241" t="s">
        <v>23</v>
      </c>
      <c r="G241" t="str">
        <f>TRIM(Table1[[#This Row],[Region_Clean]])</f>
        <v>N. AMERICA</v>
      </c>
      <c r="H241" t="s">
        <v>24</v>
      </c>
      <c r="I241" t="s">
        <v>87</v>
      </c>
      <c r="J241" s="3">
        <v>2</v>
      </c>
      <c r="K241" s="3">
        <v>813.51</v>
      </c>
      <c r="L241">
        <v>980</v>
      </c>
      <c r="M241">
        <v>1960</v>
      </c>
      <c r="N241">
        <v>332.98</v>
      </c>
      <c r="O241">
        <v>1627.02</v>
      </c>
      <c r="P241" t="s">
        <v>26</v>
      </c>
      <c r="Q241" t="s">
        <v>27</v>
      </c>
      <c r="R241" t="s">
        <v>59</v>
      </c>
      <c r="S241" t="str">
        <f>TRIM(PROPER(_xlfn.XLOOKUP(Table1[[#This Row],[ProductID_Clean]],Table3[ProductID],Table3[Category],"Missing Value",0)))</f>
        <v>Sensors</v>
      </c>
      <c r="T241" t="str">
        <f>_xlfn.XLOOKUP(Table1[[#This Row],[CustomerID_Check]],Table2[CustomerID],Table2[CustomerType],"Missing Value",0)</f>
        <v>Standard</v>
      </c>
    </row>
    <row r="242" spans="1:20">
      <c r="A242" t="s">
        <v>439</v>
      </c>
      <c r="B242" s="1">
        <v>45678</v>
      </c>
      <c r="C242" t="s">
        <v>266</v>
      </c>
      <c r="D242" t="str">
        <f>UPPER(Table1[[#This Row],[ProductID_Clean]])</f>
        <v>P-SI-002</v>
      </c>
      <c r="E242" t="s">
        <v>31</v>
      </c>
      <c r="F242" t="s">
        <v>23</v>
      </c>
      <c r="G242" t="str">
        <f>TRIM(Table1[[#This Row],[Region_Clean]])</f>
        <v>N. AMERICA</v>
      </c>
      <c r="H242" t="s">
        <v>24</v>
      </c>
      <c r="I242" t="s">
        <v>25</v>
      </c>
      <c r="J242" s="3">
        <v>4</v>
      </c>
      <c r="K242" s="3">
        <v>656.29</v>
      </c>
      <c r="L242">
        <v>725</v>
      </c>
      <c r="M242">
        <v>2900</v>
      </c>
      <c r="N242">
        <v>274.83999999999997</v>
      </c>
      <c r="O242">
        <v>2625.16</v>
      </c>
      <c r="P242" t="s">
        <v>26</v>
      </c>
      <c r="Q242" t="s">
        <v>35</v>
      </c>
      <c r="R242" t="s">
        <v>44</v>
      </c>
      <c r="S242" t="str">
        <f>TRIM(PROPER(_xlfn.XLOOKUP(Table1[[#This Row],[ProductID_Clean]],Table3[ProductID],Table3[Category],"Missing Value",0)))</f>
        <v>Sensors</v>
      </c>
      <c r="T242" t="str">
        <f>_xlfn.XLOOKUP(Table1[[#This Row],[CustomerID_Check]],Table2[CustomerID],Table2[CustomerType],"Missing Value",0)</f>
        <v>Strategic</v>
      </c>
    </row>
    <row r="243" spans="1:20">
      <c r="A243" t="s">
        <v>440</v>
      </c>
      <c r="B243" s="1">
        <v>45755</v>
      </c>
      <c r="C243" t="s">
        <v>125</v>
      </c>
      <c r="D243" t="str">
        <f>UPPER(Table1[[#This Row],[ProductID_Clean]])</f>
        <v>P-SI-001</v>
      </c>
      <c r="E243" t="s">
        <v>72</v>
      </c>
      <c r="F243" t="s">
        <v>58</v>
      </c>
      <c r="G243" t="str">
        <f>TRIM(Table1[[#This Row],[Region_Clean]])</f>
        <v>APAC</v>
      </c>
      <c r="H243" t="s">
        <v>24</v>
      </c>
      <c r="I243" t="s">
        <v>25</v>
      </c>
      <c r="J243" s="3">
        <v>5</v>
      </c>
      <c r="K243" s="3">
        <v>417.63</v>
      </c>
      <c r="L243">
        <v>485</v>
      </c>
      <c r="M243">
        <v>2425</v>
      </c>
      <c r="N243">
        <v>336.85</v>
      </c>
      <c r="O243">
        <v>2088.15</v>
      </c>
      <c r="P243" t="s">
        <v>26</v>
      </c>
      <c r="Q243" t="s">
        <v>27</v>
      </c>
      <c r="R243" t="s">
        <v>36</v>
      </c>
      <c r="S243" t="str">
        <f>TRIM(PROPER(_xlfn.XLOOKUP(Table1[[#This Row],[ProductID_Clean]],Table3[ProductID],Table3[Category],"Missing Value",0)))</f>
        <v>Sensors</v>
      </c>
      <c r="T243" t="str">
        <f>_xlfn.XLOOKUP(Table1[[#This Row],[CustomerID_Check]],Table2[CustomerID],Table2[CustomerType],"Missing Value",0)</f>
        <v>Strategic</v>
      </c>
    </row>
    <row r="244" spans="1:20">
      <c r="A244" t="s">
        <v>441</v>
      </c>
      <c r="B244" s="1">
        <v>45832</v>
      </c>
      <c r="C244" t="s">
        <v>442</v>
      </c>
      <c r="D244" t="str">
        <f>UPPER(Table1[[#This Row],[ProductID_Clean]])</f>
        <v>P-SA-003</v>
      </c>
      <c r="E244" t="s">
        <v>51</v>
      </c>
      <c r="F244" t="s">
        <v>23</v>
      </c>
      <c r="G244" t="str">
        <f>TRIM(Table1[[#This Row],[Region_Clean]])</f>
        <v>N. AMERICA</v>
      </c>
      <c r="H244" t="s">
        <v>53</v>
      </c>
      <c r="I244" t="s">
        <v>87</v>
      </c>
      <c r="J244" s="3">
        <v>1</v>
      </c>
      <c r="K244" s="3">
        <v>2264.86</v>
      </c>
      <c r="L244">
        <v>2750</v>
      </c>
      <c r="M244">
        <v>2750</v>
      </c>
      <c r="N244">
        <v>485.14</v>
      </c>
      <c r="O244">
        <v>2264.86</v>
      </c>
      <c r="P244" t="s">
        <v>26</v>
      </c>
      <c r="Q244" t="s">
        <v>54</v>
      </c>
      <c r="R244" t="s">
        <v>36</v>
      </c>
      <c r="S244" t="str">
        <f>TRIM(PROPER(_xlfn.XLOOKUP(Table1[[#This Row],[ProductID_Clean]],Table3[ProductID],Table3[Category],"Missing Value",0)))</f>
        <v>Software</v>
      </c>
      <c r="T244" t="str">
        <f>_xlfn.XLOOKUP(Table1[[#This Row],[CustomerID_Check]],Table2[CustomerID],Table2[CustomerType],"Missing Value",0)</f>
        <v>Standard</v>
      </c>
    </row>
    <row r="245" spans="1:20">
      <c r="A245" t="s">
        <v>443</v>
      </c>
      <c r="B245" s="1">
        <v>45785</v>
      </c>
      <c r="C245" t="s">
        <v>282</v>
      </c>
      <c r="D245" t="str">
        <f>UPPER(Table1[[#This Row],[ProductID_Clean]])</f>
        <v>P-SI-002</v>
      </c>
      <c r="E245" t="s">
        <v>31</v>
      </c>
      <c r="F245" t="s">
        <v>23</v>
      </c>
      <c r="G245" t="str">
        <f>TRIM(Table1[[#This Row],[Region_Clean]])</f>
        <v>N. AMERICA</v>
      </c>
      <c r="H245" t="s">
        <v>24</v>
      </c>
      <c r="I245" t="s">
        <v>25</v>
      </c>
      <c r="J245" s="3">
        <v>8</v>
      </c>
      <c r="K245" s="3">
        <v>567.62</v>
      </c>
      <c r="L245">
        <v>725</v>
      </c>
      <c r="M245">
        <v>5800</v>
      </c>
      <c r="N245">
        <v>1259.04</v>
      </c>
      <c r="O245">
        <v>4540.96</v>
      </c>
      <c r="P245" t="s">
        <v>26</v>
      </c>
      <c r="Q245" t="s">
        <v>35</v>
      </c>
      <c r="R245" t="s">
        <v>59</v>
      </c>
      <c r="S245" t="str">
        <f>TRIM(PROPER(_xlfn.XLOOKUP(Table1[[#This Row],[ProductID_Clean]],Table3[ProductID],Table3[Category],"Missing Value",0)))</f>
        <v>Sensors</v>
      </c>
      <c r="T245" t="str">
        <f>_xlfn.XLOOKUP(Table1[[#This Row],[CustomerID_Check]],Table2[CustomerID],Table2[CustomerType],"Missing Value",0)</f>
        <v>Strategic</v>
      </c>
    </row>
    <row r="246" spans="1:20">
      <c r="A246" t="s">
        <v>444</v>
      </c>
      <c r="B246" s="1">
        <v>45694</v>
      </c>
      <c r="C246" t="s">
        <v>155</v>
      </c>
      <c r="D246" t="str">
        <f>UPPER(Table1[[#This Row],[ProductID_Clean]])</f>
        <v>P-SI-003</v>
      </c>
      <c r="E246" t="s">
        <v>39</v>
      </c>
      <c r="F246" t="s">
        <v>23</v>
      </c>
      <c r="G246" t="str">
        <f>TRIM(Table1[[#This Row],[Region_Clean]])</f>
        <v>N. AMERICA</v>
      </c>
      <c r="H246" t="s">
        <v>24</v>
      </c>
      <c r="I246" t="s">
        <v>25</v>
      </c>
      <c r="J246" s="3">
        <v>1</v>
      </c>
      <c r="K246" s="3">
        <v>1760.28</v>
      </c>
      <c r="L246">
        <v>1890</v>
      </c>
      <c r="M246">
        <v>1890</v>
      </c>
      <c r="N246">
        <v>129.72</v>
      </c>
      <c r="O246">
        <v>1760.28</v>
      </c>
      <c r="P246" t="s">
        <v>26</v>
      </c>
      <c r="Q246" t="s">
        <v>65</v>
      </c>
      <c r="R246" t="s">
        <v>59</v>
      </c>
      <c r="S246" t="str">
        <f>TRIM(PROPER(_xlfn.XLOOKUP(Table1[[#This Row],[ProductID_Clean]],Table3[ProductID],Table3[Category],"Missing Value",0)))</f>
        <v>Instruments</v>
      </c>
      <c r="T246" t="str">
        <f>_xlfn.XLOOKUP(Table1[[#This Row],[CustomerID_Check]],Table2[CustomerID],Table2[CustomerType],"Missing Value",0)</f>
        <v>Standard</v>
      </c>
    </row>
    <row r="247" spans="1:20">
      <c r="A247" t="s">
        <v>445</v>
      </c>
      <c r="B247" s="1">
        <v>45776</v>
      </c>
      <c r="C247" t="s">
        <v>225</v>
      </c>
      <c r="D247" t="str">
        <f>UPPER(Table1[[#This Row],[ProductID_Clean]])</f>
        <v>P-SI-001</v>
      </c>
      <c r="E247" t="s">
        <v>72</v>
      </c>
      <c r="F247" t="s">
        <v>23</v>
      </c>
      <c r="G247" t="str">
        <f>TRIM(Table1[[#This Row],[Region_Clean]])</f>
        <v>N. AMERICA</v>
      </c>
      <c r="H247" t="s">
        <v>24</v>
      </c>
      <c r="I247" t="s">
        <v>25</v>
      </c>
      <c r="J247" s="3">
        <v>2</v>
      </c>
      <c r="K247" s="3">
        <v>430.15</v>
      </c>
      <c r="L247">
        <v>485</v>
      </c>
      <c r="M247">
        <v>970</v>
      </c>
      <c r="N247">
        <v>109.7</v>
      </c>
      <c r="O247">
        <v>860.3</v>
      </c>
      <c r="P247" t="s">
        <v>26</v>
      </c>
      <c r="Q247" t="s">
        <v>35</v>
      </c>
      <c r="R247" t="s">
        <v>36</v>
      </c>
      <c r="S247" t="str">
        <f>TRIM(PROPER(_xlfn.XLOOKUP(Table1[[#This Row],[ProductID_Clean]],Table3[ProductID],Table3[Category],"Missing Value",0)))</f>
        <v>Sensors</v>
      </c>
      <c r="T247" t="str">
        <f>_xlfn.XLOOKUP(Table1[[#This Row],[CustomerID_Check]],Table2[CustomerID],Table2[CustomerType],"Missing Value",0)</f>
        <v>Key Account</v>
      </c>
    </row>
    <row r="248" spans="1:20">
      <c r="A248" t="s">
        <v>446</v>
      </c>
      <c r="B248" s="1">
        <v>45723</v>
      </c>
      <c r="C248" t="s">
        <v>246</v>
      </c>
      <c r="D248" t="str">
        <f>UPPER(Table1[[#This Row],[ProductID_Clean]])</f>
        <v>P-SI-005</v>
      </c>
      <c r="E248" t="s">
        <v>57</v>
      </c>
      <c r="F248" t="s">
        <v>23</v>
      </c>
      <c r="G248" t="str">
        <f>TRIM(Table1[[#This Row],[Region_Clean]])</f>
        <v>N. AMERICA</v>
      </c>
      <c r="H248" t="s">
        <v>24</v>
      </c>
      <c r="I248" t="s">
        <v>98</v>
      </c>
      <c r="J248" s="3">
        <v>2</v>
      </c>
      <c r="K248" s="3">
        <v>1054.79</v>
      </c>
      <c r="L248">
        <v>1120</v>
      </c>
      <c r="M248">
        <v>2240</v>
      </c>
      <c r="N248">
        <v>130.41999999999999</v>
      </c>
      <c r="O248">
        <v>2109.58</v>
      </c>
      <c r="P248" t="s">
        <v>26</v>
      </c>
      <c r="Q248" t="s">
        <v>27</v>
      </c>
      <c r="R248" t="s">
        <v>48</v>
      </c>
      <c r="S248" t="str">
        <f>TRIM(PROPER(_xlfn.XLOOKUP(Table1[[#This Row],[ProductID_Clean]],Table3[ProductID],Table3[Category],"Missing Value",0)))</f>
        <v>Sensors</v>
      </c>
      <c r="T248" t="str">
        <f>_xlfn.XLOOKUP(Table1[[#This Row],[CustomerID_Check]],Table2[CustomerID],Table2[CustomerType],"Missing Value",0)</f>
        <v>Key Account</v>
      </c>
    </row>
    <row r="249" spans="1:20">
      <c r="A249" t="s">
        <v>447</v>
      </c>
      <c r="B249" s="1">
        <v>45660</v>
      </c>
      <c r="C249" t="s">
        <v>212</v>
      </c>
      <c r="D249" t="str">
        <f>UPPER(Table1[[#This Row],[ProductID_Clean]])</f>
        <v>P-SI-001</v>
      </c>
      <c r="E249" t="s">
        <v>72</v>
      </c>
      <c r="F249" t="s">
        <v>47</v>
      </c>
      <c r="G249" t="str">
        <f>TRIM(Table1[[#This Row],[Region_Clean]])</f>
        <v>EMEA</v>
      </c>
      <c r="H249" t="s">
        <v>24</v>
      </c>
      <c r="I249" t="s">
        <v>25</v>
      </c>
      <c r="J249" s="3">
        <v>1</v>
      </c>
      <c r="K249" s="3">
        <v>420.18</v>
      </c>
      <c r="L249">
        <v>485</v>
      </c>
      <c r="M249">
        <v>485</v>
      </c>
      <c r="N249">
        <v>64.819999999999993</v>
      </c>
      <c r="O249">
        <v>420.18</v>
      </c>
      <c r="P249" t="s">
        <v>26</v>
      </c>
      <c r="Q249" t="s">
        <v>27</v>
      </c>
      <c r="R249" t="s">
        <v>44</v>
      </c>
      <c r="S249" t="str">
        <f>TRIM(PROPER(_xlfn.XLOOKUP(Table1[[#This Row],[ProductID_Clean]],Table3[ProductID],Table3[Category],"Missing Value",0)))</f>
        <v>Sensors</v>
      </c>
      <c r="T249" t="str">
        <f>_xlfn.XLOOKUP(Table1[[#This Row],[CustomerID_Check]],Table2[CustomerID],Table2[CustomerType],"Missing Value",0)</f>
        <v>Key Account</v>
      </c>
    </row>
    <row r="250" spans="1:20">
      <c r="A250" t="s">
        <v>448</v>
      </c>
      <c r="B250" s="1">
        <v>45731</v>
      </c>
      <c r="C250" t="s">
        <v>146</v>
      </c>
      <c r="D250" t="str">
        <f>UPPER(Table1[[#This Row],[ProductID_Clean]])</f>
        <v>P-SI-001</v>
      </c>
      <c r="E250" t="s">
        <v>72</v>
      </c>
      <c r="F250" t="s">
        <v>47</v>
      </c>
      <c r="G250" t="str">
        <f>TRIM(Table1[[#This Row],[Region_Clean]])</f>
        <v>EMEA</v>
      </c>
      <c r="H250" t="s">
        <v>24</v>
      </c>
      <c r="I250" t="s">
        <v>87</v>
      </c>
      <c r="J250" s="3">
        <v>5</v>
      </c>
      <c r="K250" s="3">
        <v>387.31</v>
      </c>
      <c r="L250">
        <v>485</v>
      </c>
      <c r="M250">
        <v>2425</v>
      </c>
      <c r="N250">
        <v>488.45</v>
      </c>
      <c r="O250">
        <v>1936.55</v>
      </c>
      <c r="P250" t="s">
        <v>26</v>
      </c>
      <c r="Q250" t="s">
        <v>35</v>
      </c>
      <c r="R250" t="s">
        <v>44</v>
      </c>
      <c r="S250" t="str">
        <f>TRIM(PROPER(_xlfn.XLOOKUP(Table1[[#This Row],[ProductID_Clean]],Table3[ProductID],Table3[Category],"Missing Value",0)))</f>
        <v>Sensors</v>
      </c>
      <c r="T250" t="str">
        <f>_xlfn.XLOOKUP(Table1[[#This Row],[CustomerID_Check]],Table2[CustomerID],Table2[CustomerType],"Missing Value",0)</f>
        <v>Key Account</v>
      </c>
    </row>
    <row r="251" spans="1:20">
      <c r="A251" t="s">
        <v>449</v>
      </c>
      <c r="B251" s="1">
        <v>45797</v>
      </c>
      <c r="C251" t="s">
        <v>172</v>
      </c>
      <c r="D251" t="str">
        <f>UPPER(Table1[[#This Row],[ProductID_Clean]])</f>
        <v>P-SA-001</v>
      </c>
      <c r="E251" t="s">
        <v>68</v>
      </c>
      <c r="F251" t="s">
        <v>23</v>
      </c>
      <c r="G251" t="str">
        <f>TRIM(Table1[[#This Row],[Region_Clean]])</f>
        <v>N. AMERICA</v>
      </c>
      <c r="H251" t="s">
        <v>53</v>
      </c>
      <c r="I251" t="s">
        <v>25</v>
      </c>
      <c r="J251" s="3">
        <v>1</v>
      </c>
      <c r="K251" s="3">
        <v>3979.85</v>
      </c>
      <c r="L251">
        <v>4200</v>
      </c>
      <c r="M251">
        <v>4200</v>
      </c>
      <c r="N251">
        <v>220.15</v>
      </c>
      <c r="O251">
        <v>3979.85</v>
      </c>
      <c r="P251" t="s">
        <v>113</v>
      </c>
      <c r="Q251" t="s">
        <v>88</v>
      </c>
      <c r="R251" t="s">
        <v>36</v>
      </c>
      <c r="S251" t="str">
        <f>TRIM(PROPER(_xlfn.XLOOKUP(Table1[[#This Row],[ProductID_Clean]],Table3[ProductID],Table3[Category],"Missing Value",0)))</f>
        <v>Software</v>
      </c>
      <c r="T251" t="str">
        <f>_xlfn.XLOOKUP(Table1[[#This Row],[CustomerID_Check]],Table2[CustomerID],Table2[CustomerType],"Missing Value",0)</f>
        <v>Key Account</v>
      </c>
    </row>
    <row r="252" spans="1:20">
      <c r="A252" t="s">
        <v>450</v>
      </c>
      <c r="B252" s="1">
        <v>45676</v>
      </c>
      <c r="C252" t="s">
        <v>178</v>
      </c>
      <c r="D252" t="str">
        <f>UPPER(Table1[[#This Row],[ProductID_Clean]])</f>
        <v>P-SI-008</v>
      </c>
      <c r="E252" t="s">
        <v>152</v>
      </c>
      <c r="F252" t="s">
        <v>23</v>
      </c>
      <c r="G252" t="str">
        <f>TRIM(Table1[[#This Row],[Region_Clean]])</f>
        <v>N. AMERICA</v>
      </c>
      <c r="H252" t="s">
        <v>24</v>
      </c>
      <c r="I252" t="s">
        <v>87</v>
      </c>
      <c r="J252" s="3">
        <v>4</v>
      </c>
      <c r="K252" s="3">
        <v>718.47</v>
      </c>
      <c r="L252">
        <v>950</v>
      </c>
      <c r="M252">
        <v>3800</v>
      </c>
      <c r="N252">
        <v>926.12</v>
      </c>
      <c r="O252">
        <v>2873.88</v>
      </c>
      <c r="P252" t="s">
        <v>26</v>
      </c>
      <c r="Q252" t="s">
        <v>35</v>
      </c>
      <c r="R252" t="s">
        <v>28</v>
      </c>
      <c r="S252" t="str">
        <f>TRIM(PROPER(_xlfn.XLOOKUP(Table1[[#This Row],[ProductID_Clean]],Table3[ProductID],Table3[Category],"Missing Value",0)))</f>
        <v>Instruments</v>
      </c>
      <c r="T252" t="str">
        <f>_xlfn.XLOOKUP(Table1[[#This Row],[CustomerID_Check]],Table2[CustomerID],Table2[CustomerType],"Missing Value",0)</f>
        <v>Key Account</v>
      </c>
    </row>
    <row r="253" spans="1:20">
      <c r="A253" t="s">
        <v>451</v>
      </c>
      <c r="B253" s="1">
        <v>45746</v>
      </c>
      <c r="C253" t="s">
        <v>274</v>
      </c>
      <c r="D253" t="str">
        <f>UPPER(Table1[[#This Row],[ProductID_Clean]])</f>
        <v>P-SI-003</v>
      </c>
      <c r="E253" t="s">
        <v>39</v>
      </c>
      <c r="F253" t="s">
        <v>32</v>
      </c>
      <c r="G253" t="str">
        <f>TRIM(Table1[[#This Row],[Region_Clean]])</f>
        <v>LATIN AMERICA</v>
      </c>
      <c r="H253" t="s">
        <v>24</v>
      </c>
      <c r="I253" t="s">
        <v>25</v>
      </c>
      <c r="J253" s="3">
        <v>2</v>
      </c>
      <c r="K253" s="3">
        <v>1796.34</v>
      </c>
      <c r="L253">
        <v>1890</v>
      </c>
      <c r="M253">
        <v>3780</v>
      </c>
      <c r="N253">
        <v>187.32</v>
      </c>
      <c r="O253">
        <v>3592.68</v>
      </c>
      <c r="P253" t="s">
        <v>26</v>
      </c>
      <c r="Q253" t="s">
        <v>35</v>
      </c>
      <c r="R253" t="s">
        <v>59</v>
      </c>
      <c r="S253" t="str">
        <f>TRIM(PROPER(_xlfn.XLOOKUP(Table1[[#This Row],[ProductID_Clean]],Table3[ProductID],Table3[Category],"Missing Value",0)))</f>
        <v>Instruments</v>
      </c>
      <c r="T253" t="str">
        <f>_xlfn.XLOOKUP(Table1[[#This Row],[CustomerID_Check]],Table2[CustomerID],Table2[CustomerType],"Missing Value",0)</f>
        <v>Emerging</v>
      </c>
    </row>
    <row r="254" spans="1:20">
      <c r="A254" t="s">
        <v>452</v>
      </c>
      <c r="B254" s="1">
        <v>45821</v>
      </c>
      <c r="C254" t="s">
        <v>264</v>
      </c>
      <c r="D254" t="str">
        <f>UPPER(Table1[[#This Row],[ProductID_Clean]])</f>
        <v>P-SA-002</v>
      </c>
      <c r="E254" t="s">
        <v>147</v>
      </c>
      <c r="F254" t="s">
        <v>23</v>
      </c>
      <c r="G254" t="str">
        <f>TRIM(Table1[[#This Row],[Region_Clean]])</f>
        <v>N. AMERICA</v>
      </c>
      <c r="H254" t="s">
        <v>53</v>
      </c>
      <c r="I254" t="s">
        <v>87</v>
      </c>
      <c r="J254" s="3">
        <v>1</v>
      </c>
      <c r="K254" s="3">
        <v>8045.4</v>
      </c>
      <c r="L254">
        <v>9800</v>
      </c>
      <c r="M254">
        <v>9800</v>
      </c>
      <c r="N254">
        <v>1754.6</v>
      </c>
      <c r="O254">
        <v>8045.4</v>
      </c>
      <c r="P254" t="s">
        <v>26</v>
      </c>
      <c r="Q254" t="s">
        <v>40</v>
      </c>
      <c r="R254" t="s">
        <v>48</v>
      </c>
      <c r="S254" t="str">
        <f>TRIM(PROPER(_xlfn.XLOOKUP(Table1[[#This Row],[ProductID_Clean]],Table3[ProductID],Table3[Category],"Missing Value",0)))</f>
        <v>Software</v>
      </c>
      <c r="T254" t="str">
        <f>_xlfn.XLOOKUP(Table1[[#This Row],[CustomerID_Check]],Table2[CustomerID],Table2[CustomerType],"Missing Value",0)</f>
        <v>Standard</v>
      </c>
    </row>
    <row r="255" spans="1:20">
      <c r="A255" t="s">
        <v>453</v>
      </c>
      <c r="B255" s="1">
        <v>45834</v>
      </c>
      <c r="C255" t="s">
        <v>454</v>
      </c>
      <c r="D255" t="str">
        <f>UPPER(Table1[[#This Row],[ProductID_Clean]])</f>
        <v>P-SA-001</v>
      </c>
      <c r="E255" t="s">
        <v>68</v>
      </c>
      <c r="F255" t="s">
        <v>47</v>
      </c>
      <c r="G255" t="str">
        <f>TRIM(Table1[[#This Row],[Region_Clean]])</f>
        <v>EMEA</v>
      </c>
      <c r="H255" t="s">
        <v>53</v>
      </c>
      <c r="I255" t="s">
        <v>25</v>
      </c>
      <c r="J255" s="3">
        <v>1</v>
      </c>
      <c r="K255" s="3">
        <v>3949.32</v>
      </c>
      <c r="L255">
        <v>4200</v>
      </c>
      <c r="M255">
        <v>4200</v>
      </c>
      <c r="N255">
        <v>250.68</v>
      </c>
      <c r="O255">
        <v>3949.32</v>
      </c>
      <c r="P255" t="s">
        <v>26</v>
      </c>
      <c r="Q255" t="s">
        <v>54</v>
      </c>
      <c r="R255" t="s">
        <v>28</v>
      </c>
      <c r="S255" t="str">
        <f>TRIM(PROPER(_xlfn.XLOOKUP(Table1[[#This Row],[ProductID_Clean]],Table3[ProductID],Table3[Category],"Missing Value",0)))</f>
        <v>Software</v>
      </c>
      <c r="T255" t="str">
        <f>_xlfn.XLOOKUP(Table1[[#This Row],[CustomerID_Check]],Table2[CustomerID],Table2[CustomerType],"Missing Value",0)</f>
        <v>Standard</v>
      </c>
    </row>
    <row r="256" spans="1:20">
      <c r="A256" t="s">
        <v>455</v>
      </c>
      <c r="B256" s="1">
        <v>45708</v>
      </c>
      <c r="C256" t="s">
        <v>137</v>
      </c>
      <c r="D256" t="str">
        <f>UPPER(Table1[[#This Row],[ProductID_Clean]])</f>
        <v>P-SA-001</v>
      </c>
      <c r="E256" t="s">
        <v>68</v>
      </c>
      <c r="F256" t="s">
        <v>23</v>
      </c>
      <c r="G256" t="str">
        <f>TRIM(Table1[[#This Row],[Region_Clean]])</f>
        <v>N. AMERICA</v>
      </c>
      <c r="H256" t="s">
        <v>53</v>
      </c>
      <c r="I256" t="s">
        <v>87</v>
      </c>
      <c r="J256" s="3">
        <v>2</v>
      </c>
      <c r="K256" s="3">
        <v>3089.61</v>
      </c>
      <c r="L256">
        <v>4200</v>
      </c>
      <c r="M256">
        <v>8400</v>
      </c>
      <c r="N256">
        <v>2220.7800000000002</v>
      </c>
      <c r="O256">
        <v>6179.22</v>
      </c>
      <c r="P256" t="s">
        <v>26</v>
      </c>
      <c r="Q256" t="s">
        <v>189</v>
      </c>
      <c r="R256" t="s">
        <v>28</v>
      </c>
      <c r="S256" t="str">
        <f>TRIM(PROPER(_xlfn.XLOOKUP(Table1[[#This Row],[ProductID_Clean]],Table3[ProductID],Table3[Category],"Missing Value",0)))</f>
        <v>Software</v>
      </c>
      <c r="T256" t="str">
        <f>_xlfn.XLOOKUP(Table1[[#This Row],[CustomerID_Check]],Table2[CustomerID],Table2[CustomerType],"Missing Value",0)</f>
        <v>Strategic</v>
      </c>
    </row>
    <row r="257" spans="1:20">
      <c r="A257" t="s">
        <v>456</v>
      </c>
      <c r="B257" s="1">
        <v>45781</v>
      </c>
      <c r="C257" t="s">
        <v>457</v>
      </c>
      <c r="D257" t="str">
        <f>UPPER(Table1[[#This Row],[ProductID_Clean]])</f>
        <v>P-SI-001</v>
      </c>
      <c r="E257" t="s">
        <v>72</v>
      </c>
      <c r="F257" t="s">
        <v>23</v>
      </c>
      <c r="G257" t="str">
        <f>TRIM(Table1[[#This Row],[Region_Clean]])</f>
        <v>N. AMERICA</v>
      </c>
      <c r="H257" t="s">
        <v>24</v>
      </c>
      <c r="I257" t="s">
        <v>34</v>
      </c>
      <c r="J257" s="3">
        <v>2</v>
      </c>
      <c r="K257" s="3">
        <v>444.53</v>
      </c>
      <c r="L257">
        <v>485</v>
      </c>
      <c r="M257">
        <v>970</v>
      </c>
      <c r="N257">
        <v>80.94</v>
      </c>
      <c r="O257">
        <v>889.06</v>
      </c>
      <c r="P257" t="s">
        <v>26</v>
      </c>
      <c r="Q257" t="s">
        <v>40</v>
      </c>
      <c r="R257" t="s">
        <v>28</v>
      </c>
      <c r="S257" t="str">
        <f>TRIM(PROPER(_xlfn.XLOOKUP(Table1[[#This Row],[ProductID_Clean]],Table3[ProductID],Table3[Category],"Missing Value",0)))</f>
        <v>Sensors</v>
      </c>
      <c r="T257" t="str">
        <f>_xlfn.XLOOKUP(Table1[[#This Row],[CustomerID_Check]],Table2[CustomerID],Table2[CustomerType],"Missing Value",0)</f>
        <v>Key Account</v>
      </c>
    </row>
    <row r="258" spans="1:20">
      <c r="A258" t="s">
        <v>458</v>
      </c>
      <c r="B258" s="1">
        <v>45718</v>
      </c>
      <c r="C258" t="s">
        <v>160</v>
      </c>
      <c r="D258" t="str">
        <f>UPPER(Table1[[#This Row],[ProductID_Clean]])</f>
        <v>P-FS-002</v>
      </c>
      <c r="E258" t="s">
        <v>81</v>
      </c>
      <c r="F258" t="s">
        <v>47</v>
      </c>
      <c r="G258" t="str">
        <f>TRIM(Table1[[#This Row],[Region_Clean]])</f>
        <v>EMEA</v>
      </c>
      <c r="H258" t="s">
        <v>82</v>
      </c>
      <c r="I258" t="s">
        <v>34</v>
      </c>
      <c r="J258" s="3">
        <v>1</v>
      </c>
      <c r="K258" s="3">
        <v>2060.87</v>
      </c>
      <c r="L258">
        <v>2400</v>
      </c>
      <c r="M258">
        <v>2400</v>
      </c>
      <c r="N258">
        <v>339.13</v>
      </c>
      <c r="O258">
        <v>2060.87</v>
      </c>
      <c r="P258" t="s">
        <v>26</v>
      </c>
      <c r="Q258" t="s">
        <v>83</v>
      </c>
      <c r="R258" t="s">
        <v>59</v>
      </c>
      <c r="S258" t="str">
        <f>TRIM(PROPER(_xlfn.XLOOKUP(Table1[[#This Row],[ProductID_Clean]],Table3[ProductID],Table3[Category],"Missing Value",0)))</f>
        <v>Services</v>
      </c>
      <c r="T258" t="str">
        <f>_xlfn.XLOOKUP(Table1[[#This Row],[CustomerID_Check]],Table2[CustomerID],Table2[CustomerType],"Missing Value",0)</f>
        <v>Key Account</v>
      </c>
    </row>
    <row r="259" spans="1:20">
      <c r="A259" t="s">
        <v>459</v>
      </c>
      <c r="B259" s="1">
        <v>45804</v>
      </c>
      <c r="C259" t="s">
        <v>460</v>
      </c>
      <c r="D259" t="str">
        <f>UPPER(Table1[[#This Row],[ProductID_Clean]])</f>
        <v>P-SI-001</v>
      </c>
      <c r="E259" t="s">
        <v>72</v>
      </c>
      <c r="F259" t="s">
        <v>23</v>
      </c>
      <c r="G259" t="str">
        <f>TRIM(Table1[[#This Row],[Region_Clean]])</f>
        <v>N. AMERICA</v>
      </c>
      <c r="H259" t="s">
        <v>24</v>
      </c>
      <c r="I259" t="s">
        <v>25</v>
      </c>
      <c r="J259" s="3">
        <v>1</v>
      </c>
      <c r="K259" s="3">
        <v>450.67</v>
      </c>
      <c r="L259">
        <v>485</v>
      </c>
      <c r="M259">
        <v>485</v>
      </c>
      <c r="N259">
        <v>34.33</v>
      </c>
      <c r="O259">
        <v>450.67</v>
      </c>
      <c r="P259" t="s">
        <v>113</v>
      </c>
      <c r="Q259" t="s">
        <v>27</v>
      </c>
      <c r="R259" t="s">
        <v>36</v>
      </c>
      <c r="S259" t="str">
        <f>TRIM(PROPER(_xlfn.XLOOKUP(Table1[[#This Row],[ProductID_Clean]],Table3[ProductID],Table3[Category],"Missing Value",0)))</f>
        <v>Sensors</v>
      </c>
      <c r="T259" t="str">
        <f>_xlfn.XLOOKUP(Table1[[#This Row],[CustomerID_Check]],Table2[CustomerID],Table2[CustomerType],"Missing Value",0)</f>
        <v>Standard</v>
      </c>
    </row>
    <row r="260" spans="1:20">
      <c r="A260" t="s">
        <v>461</v>
      </c>
      <c r="B260" s="1">
        <v>45691</v>
      </c>
      <c r="C260" t="s">
        <v>424</v>
      </c>
      <c r="D260" t="str">
        <f>UPPER(Table1[[#This Row],[ProductID_Clean]])</f>
        <v>P-SI-007</v>
      </c>
      <c r="E260" t="s">
        <v>97</v>
      </c>
      <c r="F260" t="s">
        <v>23</v>
      </c>
      <c r="G260" t="str">
        <f>TRIM(Table1[[#This Row],[Region_Clean]])</f>
        <v>N. AMERICA</v>
      </c>
      <c r="H260" t="s">
        <v>24</v>
      </c>
      <c r="I260" t="s">
        <v>25</v>
      </c>
      <c r="J260" s="3">
        <v>1</v>
      </c>
      <c r="K260" s="3">
        <v>869.42</v>
      </c>
      <c r="L260">
        <v>980</v>
      </c>
      <c r="M260">
        <v>980</v>
      </c>
      <c r="N260">
        <v>110.58000000000004</v>
      </c>
      <c r="O260">
        <v>869.42</v>
      </c>
      <c r="P260" t="s">
        <v>26</v>
      </c>
      <c r="Q260" t="s">
        <v>35</v>
      </c>
      <c r="R260" t="s">
        <v>44</v>
      </c>
      <c r="S260" t="str">
        <f>TRIM(PROPER(_xlfn.XLOOKUP(Table1[[#This Row],[ProductID_Clean]],Table3[ProductID],Table3[Category],"Missing Value",0)))</f>
        <v>Sensors</v>
      </c>
      <c r="T260" t="str">
        <f>_xlfn.XLOOKUP(Table1[[#This Row],[CustomerID_Check]],Table2[CustomerID],Table2[CustomerType],"Missing Value",0)</f>
        <v>Key Account</v>
      </c>
    </row>
    <row r="261" spans="1:20">
      <c r="A261" t="s">
        <v>462</v>
      </c>
      <c r="B261" s="1">
        <v>45759</v>
      </c>
      <c r="C261" t="s">
        <v>463</v>
      </c>
      <c r="D261" t="str">
        <f>UPPER(Table1[[#This Row],[ProductID_Clean]])</f>
        <v>P-SI-005</v>
      </c>
      <c r="E261" t="s">
        <v>57</v>
      </c>
      <c r="F261" t="s">
        <v>47</v>
      </c>
      <c r="G261" t="str">
        <f>TRIM(Table1[[#This Row],[Region_Clean]])</f>
        <v>EMEA</v>
      </c>
      <c r="H261" t="s">
        <v>24</v>
      </c>
      <c r="I261" t="s">
        <v>25</v>
      </c>
      <c r="J261" s="3">
        <v>4</v>
      </c>
      <c r="K261" s="3">
        <v>1048.99</v>
      </c>
      <c r="L261">
        <v>1120</v>
      </c>
      <c r="M261">
        <v>4480</v>
      </c>
      <c r="N261">
        <v>284.04000000000002</v>
      </c>
      <c r="O261">
        <v>4195.96</v>
      </c>
      <c r="P261" t="s">
        <v>26</v>
      </c>
      <c r="Q261" t="s">
        <v>27</v>
      </c>
      <c r="R261" t="s">
        <v>48</v>
      </c>
      <c r="S261" t="str">
        <f>TRIM(PROPER(_xlfn.XLOOKUP(Table1[[#This Row],[ProductID_Clean]],Table3[ProductID],Table3[Category],"Missing Value",0)))</f>
        <v>Sensors</v>
      </c>
      <c r="T261" t="str">
        <f>_xlfn.XLOOKUP(Table1[[#This Row],[CustomerID_Check]],Table2[CustomerID],Table2[CustomerType],"Missing Value",0)</f>
        <v>Key Account</v>
      </c>
    </row>
    <row r="262" spans="1:20">
      <c r="A262" t="s">
        <v>464</v>
      </c>
      <c r="B262" s="1">
        <v>45660</v>
      </c>
      <c r="C262" t="s">
        <v>163</v>
      </c>
      <c r="D262" t="str">
        <f>UPPER(Table1[[#This Row],[ProductID_Clean]])</f>
        <v>P-FS-001</v>
      </c>
      <c r="E262" t="s">
        <v>133</v>
      </c>
      <c r="F262" t="s">
        <v>23</v>
      </c>
      <c r="G262" t="str">
        <f>TRIM(Table1[[#This Row],[Region_Clean]])</f>
        <v>N. AMERICA</v>
      </c>
      <c r="H262" t="s">
        <v>82</v>
      </c>
      <c r="I262" t="s">
        <v>87</v>
      </c>
      <c r="J262" s="3">
        <v>1</v>
      </c>
      <c r="K262" s="3">
        <v>1224.08</v>
      </c>
      <c r="L262">
        <v>1850</v>
      </c>
      <c r="M262">
        <v>1850</v>
      </c>
      <c r="N262">
        <v>625.91999999999996</v>
      </c>
      <c r="O262">
        <v>1224.08</v>
      </c>
      <c r="P262" t="s">
        <v>26</v>
      </c>
      <c r="Q262" t="s">
        <v>65</v>
      </c>
      <c r="R262" t="s">
        <v>28</v>
      </c>
      <c r="S262" t="str">
        <f>TRIM(PROPER(_xlfn.XLOOKUP(Table1[[#This Row],[ProductID_Clean]],Table3[ProductID],Table3[Category],"Missing Value",0)))</f>
        <v>Services</v>
      </c>
      <c r="T262" t="str">
        <f>_xlfn.XLOOKUP(Table1[[#This Row],[CustomerID_Check]],Table2[CustomerID],Table2[CustomerType],"Missing Value",0)</f>
        <v>Strategic</v>
      </c>
    </row>
    <row r="263" spans="1:20">
      <c r="A263" t="s">
        <v>465</v>
      </c>
      <c r="B263" s="1">
        <v>45833</v>
      </c>
      <c r="C263" t="s">
        <v>466</v>
      </c>
      <c r="D263" t="str">
        <f>UPPER(Table1[[#This Row],[ProductID_Clean]])</f>
        <v>P-SA-002</v>
      </c>
      <c r="E263" t="s">
        <v>147</v>
      </c>
      <c r="F263" t="s">
        <v>23</v>
      </c>
      <c r="G263" t="str">
        <f>TRIM(Table1[[#This Row],[Region_Clean]])</f>
        <v>N. AMERICA</v>
      </c>
      <c r="H263" t="s">
        <v>53</v>
      </c>
      <c r="I263" t="s">
        <v>87</v>
      </c>
      <c r="J263" s="3">
        <v>1</v>
      </c>
      <c r="K263" s="3">
        <v>8639.6299999999992</v>
      </c>
      <c r="L263">
        <v>9800</v>
      </c>
      <c r="M263">
        <v>9800</v>
      </c>
      <c r="N263">
        <v>1160.3699999999999</v>
      </c>
      <c r="O263">
        <v>8639.6299999999992</v>
      </c>
      <c r="P263" t="s">
        <v>26</v>
      </c>
      <c r="Q263" t="s">
        <v>54</v>
      </c>
      <c r="R263" t="s">
        <v>59</v>
      </c>
      <c r="S263" t="str">
        <f>TRIM(PROPER(_xlfn.XLOOKUP(Table1[[#This Row],[ProductID_Clean]],Table3[ProductID],Table3[Category],"Missing Value",0)))</f>
        <v>Software</v>
      </c>
      <c r="T263" t="str">
        <f>_xlfn.XLOOKUP(Table1[[#This Row],[CustomerID_Check]],Table2[CustomerID],Table2[CustomerType],"Missing Value",0)</f>
        <v>Standard</v>
      </c>
    </row>
    <row r="264" spans="1:20">
      <c r="A264" t="s">
        <v>467</v>
      </c>
      <c r="B264" s="1">
        <v>45670</v>
      </c>
      <c r="C264" t="s">
        <v>130</v>
      </c>
      <c r="D264" t="str">
        <f>UPPER(Table1[[#This Row],[ProductID_Clean]])</f>
        <v>P-FS-006</v>
      </c>
      <c r="E264" t="s">
        <v>92</v>
      </c>
      <c r="F264" t="s">
        <v>58</v>
      </c>
      <c r="G264" t="str">
        <f>TRIM(Table1[[#This Row],[Region_Clean]])</f>
        <v>APAC</v>
      </c>
      <c r="H264" t="s">
        <v>82</v>
      </c>
      <c r="I264" t="s">
        <v>87</v>
      </c>
      <c r="J264" s="3">
        <v>2</v>
      </c>
      <c r="K264" s="3">
        <v>1128.44</v>
      </c>
      <c r="L264">
        <v>1450</v>
      </c>
      <c r="M264">
        <v>2900</v>
      </c>
      <c r="N264">
        <v>643.12</v>
      </c>
      <c r="O264">
        <v>2256.88</v>
      </c>
      <c r="P264" t="s">
        <v>26</v>
      </c>
      <c r="Q264" t="s">
        <v>35</v>
      </c>
      <c r="R264" t="s">
        <v>48</v>
      </c>
      <c r="S264" t="str">
        <f>TRIM(PROPER(_xlfn.XLOOKUP(Table1[[#This Row],[ProductID_Clean]],Table3[ProductID],Table3[Category],"Missing Value",0)))</f>
        <v>Services</v>
      </c>
      <c r="T264" t="str">
        <f>_xlfn.XLOOKUP(Table1[[#This Row],[CustomerID_Check]],Table2[CustomerID],Table2[CustomerType],"Missing Value",0)</f>
        <v>Standard</v>
      </c>
    </row>
    <row r="265" spans="1:20">
      <c r="A265" t="s">
        <v>468</v>
      </c>
      <c r="B265" s="1">
        <v>45785</v>
      </c>
      <c r="C265" t="s">
        <v>469</v>
      </c>
      <c r="D265" t="str">
        <f>UPPER(Table1[[#This Row],[ProductID_Clean]])</f>
        <v>P-SI-006</v>
      </c>
      <c r="E265" t="s">
        <v>43</v>
      </c>
      <c r="F265" t="s">
        <v>23</v>
      </c>
      <c r="G265" t="str">
        <f>TRIM(Table1[[#This Row],[Region_Clean]])</f>
        <v>N. AMERICA</v>
      </c>
      <c r="H265" t="s">
        <v>24</v>
      </c>
      <c r="I265" t="s">
        <v>25</v>
      </c>
      <c r="J265" s="3">
        <v>12</v>
      </c>
      <c r="K265" s="3">
        <v>187.42</v>
      </c>
      <c r="L265">
        <v>215</v>
      </c>
      <c r="M265">
        <v>2580</v>
      </c>
      <c r="N265">
        <v>330.96</v>
      </c>
      <c r="O265">
        <v>2249.04</v>
      </c>
      <c r="P265" t="s">
        <v>26</v>
      </c>
      <c r="Q265" t="s">
        <v>27</v>
      </c>
      <c r="R265" t="s">
        <v>44</v>
      </c>
      <c r="S265" t="str">
        <f>TRIM(PROPER(_xlfn.XLOOKUP(Table1[[#This Row],[ProductID_Clean]],Table3[ProductID],Table3[Category],"Missing Value",0)))</f>
        <v>Sensors</v>
      </c>
      <c r="T265" t="str">
        <f>_xlfn.XLOOKUP(Table1[[#This Row],[CustomerID_Check]],Table2[CustomerID],Table2[CustomerType],"Missing Value",0)</f>
        <v>Standard</v>
      </c>
    </row>
    <row r="266" spans="1:20">
      <c r="A266" t="s">
        <v>470</v>
      </c>
      <c r="B266" s="1">
        <v>45716</v>
      </c>
      <c r="C266" t="s">
        <v>252</v>
      </c>
      <c r="D266" t="str">
        <f>UPPER(Table1[[#This Row],[ProductID_Clean]])</f>
        <v>P-SA-001</v>
      </c>
      <c r="E266" t="s">
        <v>68</v>
      </c>
      <c r="F266" t="s">
        <v>23</v>
      </c>
      <c r="G266" t="str">
        <f>TRIM(Table1[[#This Row],[Region_Clean]])</f>
        <v>N. AMERICA</v>
      </c>
      <c r="H266" t="s">
        <v>53</v>
      </c>
      <c r="I266" t="s">
        <v>87</v>
      </c>
      <c r="J266" s="3">
        <v>1</v>
      </c>
      <c r="K266" s="3">
        <v>3437.63</v>
      </c>
      <c r="L266">
        <v>4200</v>
      </c>
      <c r="M266">
        <v>4200</v>
      </c>
      <c r="N266">
        <v>762.37</v>
      </c>
      <c r="O266">
        <v>3437.63</v>
      </c>
      <c r="P266" t="s">
        <v>26</v>
      </c>
      <c r="Q266" t="s">
        <v>88</v>
      </c>
      <c r="R266" t="s">
        <v>44</v>
      </c>
      <c r="S266" t="str">
        <f>TRIM(PROPER(_xlfn.XLOOKUP(Table1[[#This Row],[ProductID_Clean]],Table3[ProductID],Table3[Category],"Missing Value",0)))</f>
        <v>Software</v>
      </c>
      <c r="T266" t="str">
        <f>_xlfn.XLOOKUP(Table1[[#This Row],[CustomerID_Check]],Table2[CustomerID],Table2[CustomerType],"Missing Value",0)</f>
        <v>Strategic</v>
      </c>
    </row>
    <row r="267" spans="1:20">
      <c r="A267" t="s">
        <v>471</v>
      </c>
      <c r="B267" s="1">
        <v>45714</v>
      </c>
      <c r="C267" t="s">
        <v>91</v>
      </c>
      <c r="D267" t="str">
        <f>UPPER(Table1[[#This Row],[ProductID_Clean]])</f>
        <v>P-SA-004</v>
      </c>
      <c r="E267" t="s">
        <v>86</v>
      </c>
      <c r="F267" t="s">
        <v>23</v>
      </c>
      <c r="G267" t="str">
        <f>TRIM(Table1[[#This Row],[Region_Clean]])</f>
        <v>N. AMERICA</v>
      </c>
      <c r="H267" t="s">
        <v>53</v>
      </c>
      <c r="I267" t="s">
        <v>87</v>
      </c>
      <c r="J267" s="3">
        <v>1</v>
      </c>
      <c r="K267" s="3">
        <v>1300.3800000000001</v>
      </c>
      <c r="L267">
        <v>1650</v>
      </c>
      <c r="M267">
        <v>1650</v>
      </c>
      <c r="N267">
        <v>349.62</v>
      </c>
      <c r="O267">
        <v>1300.3800000000001</v>
      </c>
      <c r="P267" t="s">
        <v>26</v>
      </c>
      <c r="Q267" t="s">
        <v>54</v>
      </c>
      <c r="R267" t="s">
        <v>48</v>
      </c>
      <c r="S267" t="str">
        <f>TRIM(PROPER(_xlfn.XLOOKUP(Table1[[#This Row],[ProductID_Clean]],Table3[ProductID],Table3[Category],"Missing Value",0)))</f>
        <v>Software</v>
      </c>
      <c r="T267" t="str">
        <f>_xlfn.XLOOKUP(Table1[[#This Row],[CustomerID_Check]],Table2[CustomerID],Table2[CustomerType],"Missing Value",0)</f>
        <v>Key Account</v>
      </c>
    </row>
    <row r="268" spans="1:20">
      <c r="A268" t="s">
        <v>472</v>
      </c>
      <c r="B268" s="1">
        <v>45722</v>
      </c>
      <c r="C268" t="s">
        <v>473</v>
      </c>
      <c r="D268" t="str">
        <f>UPPER(Table1[[#This Row],[ProductID_Clean]])</f>
        <v>P-SI-002</v>
      </c>
      <c r="E268" t="s">
        <v>31</v>
      </c>
      <c r="F268" t="s">
        <v>474</v>
      </c>
      <c r="G268" t="str">
        <f>TRIM(Table1[[#This Row],[Region_Clean]])</f>
        <v>LATIN AMERICA</v>
      </c>
      <c r="H268" t="s">
        <v>24</v>
      </c>
      <c r="I268" t="s">
        <v>34</v>
      </c>
      <c r="J268" s="3">
        <v>3</v>
      </c>
      <c r="K268" s="3">
        <v>596.51</v>
      </c>
      <c r="L268">
        <v>725</v>
      </c>
      <c r="M268">
        <v>2175</v>
      </c>
      <c r="N268">
        <v>385.47</v>
      </c>
      <c r="O268">
        <v>1789.53</v>
      </c>
      <c r="P268" t="s">
        <v>26</v>
      </c>
      <c r="Q268" t="s">
        <v>35</v>
      </c>
      <c r="R268" t="s">
        <v>44</v>
      </c>
      <c r="S268" t="str">
        <f>TRIM(PROPER(_xlfn.XLOOKUP(Table1[[#This Row],[ProductID_Clean]],Table3[ProductID],Table3[Category],"Missing Value",0)))</f>
        <v>Sensors</v>
      </c>
      <c r="T268" t="str">
        <f>_xlfn.XLOOKUP(Table1[[#This Row],[CustomerID_Check]],Table2[CustomerID],Table2[CustomerType],"Missing Value",0)</f>
        <v>Emerging</v>
      </c>
    </row>
    <row r="269" spans="1:20">
      <c r="A269" t="s">
        <v>475</v>
      </c>
      <c r="B269" s="1">
        <v>45826</v>
      </c>
      <c r="C269" t="s">
        <v>76</v>
      </c>
      <c r="D269" t="str">
        <f>UPPER(Table1[[#This Row],[ProductID_Clean]])</f>
        <v>P-SI-001</v>
      </c>
      <c r="E269" t="s">
        <v>72</v>
      </c>
      <c r="F269" t="s">
        <v>58</v>
      </c>
      <c r="G269" t="str">
        <f>TRIM(Table1[[#This Row],[Region_Clean]])</f>
        <v>APAC</v>
      </c>
      <c r="H269" t="s">
        <v>24</v>
      </c>
      <c r="I269" t="s">
        <v>34</v>
      </c>
      <c r="J269" s="3">
        <v>4</v>
      </c>
      <c r="K269" s="3">
        <v>349.86</v>
      </c>
      <c r="L269">
        <v>485</v>
      </c>
      <c r="M269">
        <v>1940</v>
      </c>
      <c r="N269">
        <v>540.55999999999995</v>
      </c>
      <c r="O269">
        <v>1399.44</v>
      </c>
      <c r="P269" t="s">
        <v>26</v>
      </c>
      <c r="Q269" t="s">
        <v>65</v>
      </c>
      <c r="R269" t="s">
        <v>36</v>
      </c>
      <c r="S269" t="str">
        <f>TRIM(PROPER(_xlfn.XLOOKUP(Table1[[#This Row],[ProductID_Clean]],Table3[ProductID],Table3[Category],"Missing Value",0)))</f>
        <v>Sensors</v>
      </c>
      <c r="T269" t="str">
        <f>_xlfn.XLOOKUP(Table1[[#This Row],[CustomerID_Check]],Table2[CustomerID],Table2[CustomerType],"Missing Value",0)</f>
        <v>Missing Value</v>
      </c>
    </row>
    <row r="270" spans="1:20">
      <c r="A270" t="s">
        <v>476</v>
      </c>
      <c r="B270" s="1">
        <v>45693</v>
      </c>
      <c r="C270" t="s">
        <v>477</v>
      </c>
      <c r="D270" t="str">
        <f>UPPER(Table1[[#This Row],[ProductID_Clean]])</f>
        <v>P-SI-004</v>
      </c>
      <c r="E270" t="s">
        <v>22</v>
      </c>
      <c r="F270" t="s">
        <v>23</v>
      </c>
      <c r="G270" t="str">
        <f>TRIM(Table1[[#This Row],[Region_Clean]])</f>
        <v>N. AMERICA</v>
      </c>
      <c r="H270" t="s">
        <v>24</v>
      </c>
      <c r="I270" t="s">
        <v>25</v>
      </c>
      <c r="J270" s="3">
        <v>5</v>
      </c>
      <c r="K270" s="3">
        <v>2116.29</v>
      </c>
      <c r="L270">
        <v>2450</v>
      </c>
      <c r="M270">
        <v>12250</v>
      </c>
      <c r="N270">
        <v>1668.55</v>
      </c>
      <c r="O270">
        <v>10581.45</v>
      </c>
      <c r="P270" t="s">
        <v>26</v>
      </c>
      <c r="Q270" t="s">
        <v>27</v>
      </c>
      <c r="R270" t="s">
        <v>36</v>
      </c>
      <c r="S270" t="str">
        <f>TRIM(PROPER(_xlfn.XLOOKUP(Table1[[#This Row],[ProductID_Clean]],Table3[ProductID],Table3[Category],"Missing Value",0)))</f>
        <v>Instruments</v>
      </c>
      <c r="T270" t="str">
        <f>_xlfn.XLOOKUP(Table1[[#This Row],[CustomerID_Check]],Table2[CustomerID],Table2[CustomerType],"Missing Value",0)</f>
        <v>Key Account</v>
      </c>
    </row>
    <row r="271" spans="1:20">
      <c r="A271" t="s">
        <v>478</v>
      </c>
      <c r="B271" s="1">
        <v>45682</v>
      </c>
      <c r="C271" t="s">
        <v>479</v>
      </c>
      <c r="D271" t="str">
        <f>UPPER(Table1[[#This Row],[ProductID_Clean]])</f>
        <v>P-FS-001</v>
      </c>
      <c r="E271" t="s">
        <v>133</v>
      </c>
      <c r="F271" t="s">
        <v>32</v>
      </c>
      <c r="G271" t="str">
        <f>TRIM(Table1[[#This Row],[Region_Clean]])</f>
        <v>LATIN AMERICA</v>
      </c>
      <c r="H271" t="s">
        <v>82</v>
      </c>
      <c r="I271" t="s">
        <v>25</v>
      </c>
      <c r="J271" s="3">
        <v>1</v>
      </c>
      <c r="K271" s="3">
        <v>1514.88</v>
      </c>
      <c r="L271">
        <v>1850</v>
      </c>
      <c r="M271">
        <v>1850</v>
      </c>
      <c r="N271">
        <v>335.12</v>
      </c>
      <c r="O271">
        <v>1514.88</v>
      </c>
      <c r="P271" t="s">
        <v>26</v>
      </c>
      <c r="Q271" t="s">
        <v>65</v>
      </c>
      <c r="R271" t="s">
        <v>36</v>
      </c>
      <c r="S271" t="str">
        <f>TRIM(PROPER(_xlfn.XLOOKUP(Table1[[#This Row],[ProductID_Clean]],Table3[ProductID],Table3[Category],"Missing Value",0)))</f>
        <v>Services</v>
      </c>
      <c r="T271" t="str">
        <f>_xlfn.XLOOKUP(Table1[[#This Row],[CustomerID_Check]],Table2[CustomerID],Table2[CustomerType],"Missing Value",0)</f>
        <v>Emerging</v>
      </c>
    </row>
    <row r="272" spans="1:20">
      <c r="A272" t="s">
        <v>480</v>
      </c>
      <c r="B272" s="1">
        <v>45823</v>
      </c>
      <c r="C272" t="s">
        <v>46</v>
      </c>
      <c r="D272" t="str">
        <f>UPPER(Table1[[#This Row],[ProductID_Clean]])</f>
        <v>P-SI-001</v>
      </c>
      <c r="E272" t="s">
        <v>72</v>
      </c>
      <c r="F272" t="s">
        <v>47</v>
      </c>
      <c r="G272" t="str">
        <f>TRIM(Table1[[#This Row],[Region_Clean]])</f>
        <v>EMEA</v>
      </c>
      <c r="H272" t="s">
        <v>24</v>
      </c>
      <c r="I272" t="s">
        <v>40</v>
      </c>
      <c r="J272" s="3">
        <v>1</v>
      </c>
      <c r="K272" s="3">
        <v>426.64</v>
      </c>
      <c r="L272">
        <v>485</v>
      </c>
      <c r="M272">
        <v>485</v>
      </c>
      <c r="N272">
        <v>58.36</v>
      </c>
      <c r="O272">
        <v>426.64</v>
      </c>
      <c r="P272" t="s">
        <v>26</v>
      </c>
      <c r="Q272" t="s">
        <v>35</v>
      </c>
      <c r="R272" t="s">
        <v>48</v>
      </c>
      <c r="S272" t="str">
        <f>TRIM(PROPER(_xlfn.XLOOKUP(Table1[[#This Row],[ProductID_Clean]],Table3[ProductID],Table3[Category],"Missing Value",0)))</f>
        <v>Sensors</v>
      </c>
      <c r="T272" t="str">
        <f>_xlfn.XLOOKUP(Table1[[#This Row],[CustomerID_Check]],Table2[CustomerID],Table2[CustomerType],"Missing Value",0)</f>
        <v>Strategic</v>
      </c>
    </row>
    <row r="273" spans="1:20">
      <c r="A273" t="s">
        <v>481</v>
      </c>
      <c r="B273" s="1">
        <v>45737</v>
      </c>
      <c r="C273" t="s">
        <v>128</v>
      </c>
      <c r="D273" t="str">
        <f>UPPER(Table1[[#This Row],[ProductID_Clean]])</f>
        <v>P-FS-005</v>
      </c>
      <c r="E273" t="s">
        <v>101</v>
      </c>
      <c r="F273" t="s">
        <v>32</v>
      </c>
      <c r="G273" t="str">
        <f>TRIM(Table1[[#This Row],[Region_Clean]])</f>
        <v>LATIN AMERICA</v>
      </c>
      <c r="H273" t="s">
        <v>82</v>
      </c>
      <c r="I273" t="s">
        <v>25</v>
      </c>
      <c r="J273" s="3">
        <v>1</v>
      </c>
      <c r="K273" s="3">
        <v>689.29</v>
      </c>
      <c r="L273">
        <v>950</v>
      </c>
      <c r="M273">
        <v>950</v>
      </c>
      <c r="N273">
        <v>260.70999999999998</v>
      </c>
      <c r="O273">
        <v>689.29</v>
      </c>
      <c r="P273" t="s">
        <v>26</v>
      </c>
      <c r="Q273" t="s">
        <v>35</v>
      </c>
      <c r="R273" t="s">
        <v>28</v>
      </c>
      <c r="S273" t="str">
        <f>TRIM(PROPER(_xlfn.XLOOKUP(Table1[[#This Row],[ProductID_Clean]],Table3[ProductID],Table3[Category],"Missing Value",0)))</f>
        <v>Services</v>
      </c>
      <c r="T273" t="str">
        <f>_xlfn.XLOOKUP(Table1[[#This Row],[CustomerID_Check]],Table2[CustomerID],Table2[CustomerType],"Missing Value",0)</f>
        <v>Key Account</v>
      </c>
    </row>
    <row r="274" spans="1:20">
      <c r="A274" t="s">
        <v>482</v>
      </c>
      <c r="B274" s="1">
        <v>45666</v>
      </c>
      <c r="C274" t="s">
        <v>200</v>
      </c>
      <c r="D274" t="str">
        <f>UPPER(Table1[[#This Row],[ProductID_Clean]])</f>
        <v>P-SI-003</v>
      </c>
      <c r="E274" t="s">
        <v>39</v>
      </c>
      <c r="F274" t="s">
        <v>47</v>
      </c>
      <c r="G274" t="str">
        <f>TRIM(Table1[[#This Row],[Region_Clean]])</f>
        <v>EMEA</v>
      </c>
      <c r="H274" t="s">
        <v>24</v>
      </c>
      <c r="I274" t="s">
        <v>25</v>
      </c>
      <c r="J274" s="3">
        <v>2</v>
      </c>
      <c r="K274" s="3">
        <v>1648.8</v>
      </c>
      <c r="L274">
        <v>1890</v>
      </c>
      <c r="M274">
        <v>3780</v>
      </c>
      <c r="N274">
        <v>482.4</v>
      </c>
      <c r="O274">
        <v>3297.6</v>
      </c>
      <c r="P274" t="s">
        <v>26</v>
      </c>
      <c r="Q274" t="s">
        <v>27</v>
      </c>
      <c r="R274" t="s">
        <v>36</v>
      </c>
      <c r="S274" t="str">
        <f>TRIM(PROPER(_xlfn.XLOOKUP(Table1[[#This Row],[ProductID_Clean]],Table3[ProductID],Table3[Category],"Missing Value",0)))</f>
        <v>Instruments</v>
      </c>
      <c r="T274" t="str">
        <f>_xlfn.XLOOKUP(Table1[[#This Row],[CustomerID_Check]],Table2[CustomerID],Table2[CustomerType],"Missing Value",0)</f>
        <v>Key Account</v>
      </c>
    </row>
    <row r="275" spans="1:20">
      <c r="A275" t="s">
        <v>483</v>
      </c>
      <c r="B275" s="1">
        <v>45751</v>
      </c>
      <c r="C275" t="s">
        <v>262</v>
      </c>
      <c r="D275" t="str">
        <f>UPPER(Table1[[#This Row],[ProductID_Clean]])</f>
        <v>P-FS-001</v>
      </c>
      <c r="E275" t="s">
        <v>133</v>
      </c>
      <c r="F275" t="s">
        <v>23</v>
      </c>
      <c r="G275" t="str">
        <f>TRIM(Table1[[#This Row],[Region_Clean]])</f>
        <v>N. AMERICA</v>
      </c>
      <c r="H275" t="s">
        <v>82</v>
      </c>
      <c r="I275" t="s">
        <v>25</v>
      </c>
      <c r="J275" s="3">
        <v>1</v>
      </c>
      <c r="K275" s="3">
        <v>1651.71</v>
      </c>
      <c r="L275">
        <v>1850</v>
      </c>
      <c r="M275">
        <v>1850</v>
      </c>
      <c r="N275">
        <v>198.29</v>
      </c>
      <c r="O275">
        <v>1651.71</v>
      </c>
      <c r="P275" t="s">
        <v>26</v>
      </c>
      <c r="Q275" t="s">
        <v>27</v>
      </c>
      <c r="R275" t="s">
        <v>48</v>
      </c>
      <c r="S275" t="str">
        <f>TRIM(PROPER(_xlfn.XLOOKUP(Table1[[#This Row],[ProductID_Clean]],Table3[ProductID],Table3[Category],"Missing Value",0)))</f>
        <v>Services</v>
      </c>
      <c r="T275" t="str">
        <f>_xlfn.XLOOKUP(Table1[[#This Row],[CustomerID_Check]],Table2[CustomerID],Table2[CustomerType],"Missing Value",0)</f>
        <v>Key Account</v>
      </c>
    </row>
    <row r="276" spans="1:20">
      <c r="A276" t="s">
        <v>484</v>
      </c>
      <c r="B276" s="1">
        <v>45796</v>
      </c>
      <c r="C276" t="s">
        <v>178</v>
      </c>
      <c r="D276" t="str">
        <f>UPPER(Table1[[#This Row],[ProductID_Clean]])</f>
        <v>P-SI-002</v>
      </c>
      <c r="E276" t="s">
        <v>31</v>
      </c>
      <c r="F276" t="s">
        <v>23</v>
      </c>
      <c r="G276" t="str">
        <f>TRIM(Table1[[#This Row],[Region_Clean]])</f>
        <v>N. AMERICA</v>
      </c>
      <c r="H276" t="s">
        <v>24</v>
      </c>
      <c r="I276" t="s">
        <v>25</v>
      </c>
      <c r="J276" s="3">
        <v>1</v>
      </c>
      <c r="K276" s="3">
        <v>621.45000000000005</v>
      </c>
      <c r="L276">
        <v>725</v>
      </c>
      <c r="M276">
        <v>725</v>
      </c>
      <c r="N276">
        <v>103.54999999999995</v>
      </c>
      <c r="O276">
        <v>621.45000000000005</v>
      </c>
      <c r="P276" t="s">
        <v>26</v>
      </c>
      <c r="Q276" t="s">
        <v>35</v>
      </c>
      <c r="R276" t="s">
        <v>28</v>
      </c>
      <c r="S276" t="str">
        <f>TRIM(PROPER(_xlfn.XLOOKUP(Table1[[#This Row],[ProductID_Clean]],Table3[ProductID],Table3[Category],"Missing Value",0)))</f>
        <v>Sensors</v>
      </c>
      <c r="T276" t="str">
        <f>_xlfn.XLOOKUP(Table1[[#This Row],[CustomerID_Check]],Table2[CustomerID],Table2[CustomerType],"Missing Value",0)</f>
        <v>Key Account</v>
      </c>
    </row>
    <row r="277" spans="1:20">
      <c r="A277" t="s">
        <v>485</v>
      </c>
      <c r="B277" s="1">
        <v>45733</v>
      </c>
      <c r="C277" t="s">
        <v>188</v>
      </c>
      <c r="D277" t="str">
        <f>UPPER(Table1[[#This Row],[ProductID_Clean]])</f>
        <v>P-SA-005</v>
      </c>
      <c r="E277" t="s">
        <v>62</v>
      </c>
      <c r="F277" t="s">
        <v>58</v>
      </c>
      <c r="G277" t="str">
        <f>TRIM(Table1[[#This Row],[Region_Clean]])</f>
        <v>APAC</v>
      </c>
      <c r="H277" t="s">
        <v>53</v>
      </c>
      <c r="I277" t="s">
        <v>25</v>
      </c>
      <c r="J277" s="3">
        <v>1</v>
      </c>
      <c r="K277" s="3">
        <v>2710.88</v>
      </c>
      <c r="L277">
        <v>3200</v>
      </c>
      <c r="M277">
        <v>3200</v>
      </c>
      <c r="N277">
        <v>489.12</v>
      </c>
      <c r="O277">
        <v>2710.88</v>
      </c>
      <c r="P277" t="s">
        <v>26</v>
      </c>
      <c r="Q277" t="s">
        <v>189</v>
      </c>
      <c r="R277" t="s">
        <v>44</v>
      </c>
      <c r="S277" t="str">
        <f>TRIM(PROPER(_xlfn.XLOOKUP(Table1[[#This Row],[ProductID_Clean]],Table3[ProductID],Table3[Category],"Missing Value",0)))</f>
        <v>Software / Integration</v>
      </c>
      <c r="T277" t="str">
        <f>_xlfn.XLOOKUP(Table1[[#This Row],[CustomerID_Check]],Table2[CustomerID],Table2[CustomerType],"Missing Value",0)</f>
        <v>Key Account</v>
      </c>
    </row>
    <row r="278" spans="1:20">
      <c r="A278" t="s">
        <v>486</v>
      </c>
      <c r="B278" s="1">
        <v>45764</v>
      </c>
      <c r="C278" t="s">
        <v>339</v>
      </c>
      <c r="D278" t="str">
        <f>UPPER(Table1[[#This Row],[ProductID_Clean]])</f>
        <v>P-SI-005</v>
      </c>
      <c r="E278" t="s">
        <v>57</v>
      </c>
      <c r="F278" t="s">
        <v>47</v>
      </c>
      <c r="G278" t="str">
        <f>TRIM(Table1[[#This Row],[Region_Clean]])</f>
        <v>EMEA</v>
      </c>
      <c r="H278" t="s">
        <v>24</v>
      </c>
      <c r="I278" t="s">
        <v>34</v>
      </c>
      <c r="J278" s="3">
        <v>3</v>
      </c>
      <c r="K278" s="3">
        <v>893.08</v>
      </c>
      <c r="L278">
        <v>1120</v>
      </c>
      <c r="M278">
        <v>3360</v>
      </c>
      <c r="N278">
        <v>680.76</v>
      </c>
      <c r="O278">
        <v>2679.24</v>
      </c>
      <c r="P278" t="s">
        <v>26</v>
      </c>
      <c r="Q278" t="s">
        <v>35</v>
      </c>
      <c r="R278" t="s">
        <v>48</v>
      </c>
      <c r="S278" t="str">
        <f>TRIM(PROPER(_xlfn.XLOOKUP(Table1[[#This Row],[ProductID_Clean]],Table3[ProductID],Table3[Category],"Missing Value",0)))</f>
        <v>Sensors</v>
      </c>
      <c r="T278" t="str">
        <f>_xlfn.XLOOKUP(Table1[[#This Row],[CustomerID_Check]],Table2[CustomerID],Table2[CustomerType],"Missing Value",0)</f>
        <v>Key Account</v>
      </c>
    </row>
    <row r="279" spans="1:20">
      <c r="A279" t="s">
        <v>487</v>
      </c>
      <c r="B279" s="1">
        <v>45709</v>
      </c>
      <c r="C279" t="s">
        <v>488</v>
      </c>
      <c r="D279" t="str">
        <f>UPPER(Table1[[#This Row],[ProductID_Clean]])</f>
        <v>P-SI-007</v>
      </c>
      <c r="E279" t="s">
        <v>97</v>
      </c>
      <c r="F279" t="s">
        <v>32</v>
      </c>
      <c r="G279" t="str">
        <f>TRIM(Table1[[#This Row],[Region_Clean]])</f>
        <v>LATIN AMERICA</v>
      </c>
      <c r="H279" t="s">
        <v>24</v>
      </c>
      <c r="I279" t="s">
        <v>25</v>
      </c>
      <c r="J279" s="3">
        <v>3</v>
      </c>
      <c r="K279" s="3">
        <v>713.77</v>
      </c>
      <c r="L279">
        <v>980</v>
      </c>
      <c r="M279">
        <v>2940</v>
      </c>
      <c r="N279">
        <v>798.69</v>
      </c>
      <c r="O279">
        <v>2141.31</v>
      </c>
      <c r="P279" t="s">
        <v>26</v>
      </c>
      <c r="Q279" t="s">
        <v>35</v>
      </c>
      <c r="R279" t="s">
        <v>36</v>
      </c>
      <c r="S279" t="str">
        <f>TRIM(PROPER(_xlfn.XLOOKUP(Table1[[#This Row],[ProductID_Clean]],Table3[ProductID],Table3[Category],"Missing Value",0)))</f>
        <v>Sensors</v>
      </c>
      <c r="T279" t="str">
        <f>_xlfn.XLOOKUP(Table1[[#This Row],[CustomerID_Check]],Table2[CustomerID],Table2[CustomerType],"Missing Value",0)</f>
        <v>Strategic</v>
      </c>
    </row>
    <row r="280" spans="1:20">
      <c r="A280" t="s">
        <v>489</v>
      </c>
      <c r="B280" s="1">
        <v>45666</v>
      </c>
      <c r="C280" t="s">
        <v>268</v>
      </c>
      <c r="D280" t="str">
        <f>UPPER(Table1[[#This Row],[ProductID_Clean]])</f>
        <v>P-SA-001</v>
      </c>
      <c r="E280" t="s">
        <v>68</v>
      </c>
      <c r="F280" t="s">
        <v>23</v>
      </c>
      <c r="G280" t="str">
        <f>TRIM(Table1[[#This Row],[Region_Clean]])</f>
        <v>N. AMERICA</v>
      </c>
      <c r="H280" t="s">
        <v>53</v>
      </c>
      <c r="I280" t="s">
        <v>25</v>
      </c>
      <c r="J280" s="3">
        <v>1</v>
      </c>
      <c r="K280" s="3">
        <v>3975.21</v>
      </c>
      <c r="L280">
        <v>4200</v>
      </c>
      <c r="M280">
        <v>4200</v>
      </c>
      <c r="N280">
        <v>224.78999999999996</v>
      </c>
      <c r="O280">
        <v>3975.21</v>
      </c>
      <c r="P280" t="s">
        <v>26</v>
      </c>
      <c r="Q280" t="s">
        <v>54</v>
      </c>
      <c r="R280" t="s">
        <v>48</v>
      </c>
      <c r="S280" t="str">
        <f>TRIM(PROPER(_xlfn.XLOOKUP(Table1[[#This Row],[ProductID_Clean]],Table3[ProductID],Table3[Category],"Missing Value",0)))</f>
        <v>Software</v>
      </c>
      <c r="T280" t="str">
        <f>_xlfn.XLOOKUP(Table1[[#This Row],[CustomerID_Check]],Table2[CustomerID],Table2[CustomerType],"Missing Value",0)</f>
        <v>Standard</v>
      </c>
    </row>
    <row r="281" spans="1:20">
      <c r="A281" t="s">
        <v>490</v>
      </c>
      <c r="B281" s="1">
        <v>45793</v>
      </c>
      <c r="C281" t="s">
        <v>248</v>
      </c>
      <c r="D281" t="str">
        <f>UPPER(Table1[[#This Row],[ProductID_Clean]])</f>
        <v>P-SI-003</v>
      </c>
      <c r="E281" t="s">
        <v>39</v>
      </c>
      <c r="F281" t="s">
        <v>32</v>
      </c>
      <c r="G281" t="str">
        <f>TRIM(Table1[[#This Row],[Region_Clean]])</f>
        <v>LATIN AMERICA</v>
      </c>
      <c r="H281" t="s">
        <v>24</v>
      </c>
      <c r="I281" t="s">
        <v>87</v>
      </c>
      <c r="J281" s="3">
        <v>3</v>
      </c>
      <c r="K281" s="3">
        <v>1509.1</v>
      </c>
      <c r="L281">
        <v>1890</v>
      </c>
      <c r="M281">
        <v>5670</v>
      </c>
      <c r="N281">
        <v>1142.7</v>
      </c>
      <c r="O281">
        <v>4527.3</v>
      </c>
      <c r="P281" t="s">
        <v>26</v>
      </c>
      <c r="Q281" t="s">
        <v>35</v>
      </c>
      <c r="R281" t="s">
        <v>44</v>
      </c>
      <c r="S281" t="str">
        <f>TRIM(PROPER(_xlfn.XLOOKUP(Table1[[#This Row],[ProductID_Clean]],Table3[ProductID],Table3[Category],"Missing Value",0)))</f>
        <v>Instruments</v>
      </c>
      <c r="T281" t="str">
        <f>_xlfn.XLOOKUP(Table1[[#This Row],[CustomerID_Check]],Table2[CustomerID],Table2[CustomerType],"Missing Value",0)</f>
        <v>Standard</v>
      </c>
    </row>
    <row r="282" spans="1:20">
      <c r="A282" t="s">
        <v>491</v>
      </c>
      <c r="B282" s="1">
        <v>45727</v>
      </c>
      <c r="C282" t="s">
        <v>288</v>
      </c>
      <c r="D282" t="str">
        <f>UPPER(Table1[[#This Row],[ProductID_Clean]])</f>
        <v>P-SA-005</v>
      </c>
      <c r="E282" t="s">
        <v>62</v>
      </c>
      <c r="F282" t="s">
        <v>23</v>
      </c>
      <c r="G282" t="str">
        <f>TRIM(Table1[[#This Row],[Region_Clean]])</f>
        <v>N. AMERICA</v>
      </c>
      <c r="H282" t="s">
        <v>53</v>
      </c>
      <c r="I282" t="s">
        <v>166</v>
      </c>
      <c r="J282" s="3">
        <v>1</v>
      </c>
      <c r="K282" s="3">
        <v>2550.96</v>
      </c>
      <c r="L282">
        <v>3200</v>
      </c>
      <c r="M282">
        <v>3200</v>
      </c>
      <c r="N282">
        <v>649.04</v>
      </c>
      <c r="O282">
        <v>2550.96</v>
      </c>
      <c r="P282" t="s">
        <v>26</v>
      </c>
      <c r="Q282" t="s">
        <v>54</v>
      </c>
      <c r="R282" t="s">
        <v>59</v>
      </c>
      <c r="S282" t="str">
        <f>TRIM(PROPER(_xlfn.XLOOKUP(Table1[[#This Row],[ProductID_Clean]],Table3[ProductID],Table3[Category],"Missing Value",0)))</f>
        <v>Software / Integration</v>
      </c>
      <c r="T282" t="str">
        <f>_xlfn.XLOOKUP(Table1[[#This Row],[CustomerID_Check]],Table2[CustomerID],Table2[CustomerType],"Missing Value",0)</f>
        <v>Key Account</v>
      </c>
    </row>
    <row r="283" spans="1:20">
      <c r="A283" t="s">
        <v>492</v>
      </c>
      <c r="B283" s="1">
        <v>45723</v>
      </c>
      <c r="C283" t="s">
        <v>180</v>
      </c>
      <c r="D283" t="str">
        <f>UPPER(Table1[[#This Row],[ProductID_Clean]])</f>
        <v>P-SI-001</v>
      </c>
      <c r="E283" t="s">
        <v>72</v>
      </c>
      <c r="F283" t="s">
        <v>58</v>
      </c>
      <c r="G283" t="str">
        <f>TRIM(Table1[[#This Row],[Region_Clean]])</f>
        <v>APAC</v>
      </c>
      <c r="H283" t="s">
        <v>24</v>
      </c>
      <c r="I283" t="s">
        <v>87</v>
      </c>
      <c r="J283" s="3">
        <v>3</v>
      </c>
      <c r="K283" s="3">
        <v>388.35</v>
      </c>
      <c r="L283">
        <v>485</v>
      </c>
      <c r="M283">
        <v>1455</v>
      </c>
      <c r="N283">
        <v>289.95</v>
      </c>
      <c r="O283">
        <v>1165.05</v>
      </c>
      <c r="P283" t="s">
        <v>113</v>
      </c>
      <c r="Q283" t="s">
        <v>35</v>
      </c>
      <c r="R283" t="s">
        <v>36</v>
      </c>
      <c r="S283" t="str">
        <f>TRIM(PROPER(_xlfn.XLOOKUP(Table1[[#This Row],[ProductID_Clean]],Table3[ProductID],Table3[Category],"Missing Value",0)))</f>
        <v>Sensors</v>
      </c>
      <c r="T283" t="str">
        <f>_xlfn.XLOOKUP(Table1[[#This Row],[CustomerID_Check]],Table2[CustomerID],Table2[CustomerType],"Missing Value",0)</f>
        <v>Standard</v>
      </c>
    </row>
    <row r="284" spans="1:20">
      <c r="A284" t="s">
        <v>493</v>
      </c>
      <c r="B284" s="1">
        <v>45733</v>
      </c>
      <c r="C284" t="s">
        <v>61</v>
      </c>
      <c r="D284" t="str">
        <f>UPPER(Table1[[#This Row],[ProductID_Clean]])</f>
        <v>P-SI-004</v>
      </c>
      <c r="E284" t="s">
        <v>22</v>
      </c>
      <c r="F284" t="s">
        <v>47</v>
      </c>
      <c r="G284" t="str">
        <f>TRIM(Table1[[#This Row],[Region_Clean]])</f>
        <v>EMEA</v>
      </c>
      <c r="H284" t="s">
        <v>24</v>
      </c>
      <c r="I284" t="s">
        <v>87</v>
      </c>
      <c r="J284" s="3">
        <v>1</v>
      </c>
      <c r="K284" s="3">
        <v>1742.54</v>
      </c>
      <c r="L284">
        <v>2450</v>
      </c>
      <c r="M284">
        <v>2450</v>
      </c>
      <c r="N284">
        <v>707.46</v>
      </c>
      <c r="O284">
        <v>1742.54</v>
      </c>
      <c r="P284" t="s">
        <v>26</v>
      </c>
      <c r="Q284" t="s">
        <v>35</v>
      </c>
      <c r="R284" t="s">
        <v>48</v>
      </c>
      <c r="S284" t="str">
        <f>TRIM(PROPER(_xlfn.XLOOKUP(Table1[[#This Row],[ProductID_Clean]],Table3[ProductID],Table3[Category],"Missing Value",0)))</f>
        <v>Instruments</v>
      </c>
      <c r="T284" t="str">
        <f>_xlfn.XLOOKUP(Table1[[#This Row],[CustomerID_Check]],Table2[CustomerID],Table2[CustomerType],"Missing Value",0)</f>
        <v>Strategic</v>
      </c>
    </row>
    <row r="285" spans="1:20">
      <c r="A285" t="s">
        <v>494</v>
      </c>
      <c r="B285" s="1">
        <v>45744</v>
      </c>
      <c r="C285" t="s">
        <v>85</v>
      </c>
      <c r="D285" t="str">
        <f>UPPER(Table1[[#This Row],[ProductID_Clean]])</f>
        <v>P-SI-001</v>
      </c>
      <c r="E285" t="s">
        <v>72</v>
      </c>
      <c r="F285" t="s">
        <v>47</v>
      </c>
      <c r="G285" t="str">
        <f>TRIM(Table1[[#This Row],[Region_Clean]])</f>
        <v>EMEA</v>
      </c>
      <c r="H285" t="s">
        <v>24</v>
      </c>
      <c r="I285" t="s">
        <v>25</v>
      </c>
      <c r="J285" s="3">
        <v>3</v>
      </c>
      <c r="K285" s="3">
        <v>417.43</v>
      </c>
      <c r="L285">
        <v>485</v>
      </c>
      <c r="M285">
        <v>1455</v>
      </c>
      <c r="N285">
        <v>202.71</v>
      </c>
      <c r="O285">
        <v>1252.29</v>
      </c>
      <c r="P285" t="s">
        <v>26</v>
      </c>
      <c r="Q285" t="s">
        <v>35</v>
      </c>
      <c r="R285" t="s">
        <v>28</v>
      </c>
      <c r="S285" t="str">
        <f>TRIM(PROPER(_xlfn.XLOOKUP(Table1[[#This Row],[ProductID_Clean]],Table3[ProductID],Table3[Category],"Missing Value",0)))</f>
        <v>Sensors</v>
      </c>
      <c r="T285" t="str">
        <f>_xlfn.XLOOKUP(Table1[[#This Row],[CustomerID_Check]],Table2[CustomerID],Table2[CustomerType],"Missing Value",0)</f>
        <v>Standard</v>
      </c>
    </row>
    <row r="286" spans="1:20">
      <c r="A286" t="s">
        <v>495</v>
      </c>
      <c r="B286" s="1">
        <v>45677</v>
      </c>
      <c r="C286" t="s">
        <v>496</v>
      </c>
      <c r="D286" t="str">
        <f>UPPER(Table1[[#This Row],[ProductID_Clean]])</f>
        <v>P-SI-006</v>
      </c>
      <c r="E286" t="s">
        <v>43</v>
      </c>
      <c r="F286" t="s">
        <v>47</v>
      </c>
      <c r="G286" t="str">
        <f>TRIM(Table1[[#This Row],[Region_Clean]])</f>
        <v>EMEA</v>
      </c>
      <c r="H286" t="s">
        <v>24</v>
      </c>
      <c r="I286" t="s">
        <v>98</v>
      </c>
      <c r="J286" s="3">
        <v>3</v>
      </c>
      <c r="K286" s="3">
        <v>173.63</v>
      </c>
      <c r="L286">
        <v>215</v>
      </c>
      <c r="M286">
        <v>645</v>
      </c>
      <c r="N286">
        <v>124.11</v>
      </c>
      <c r="O286">
        <v>520.89</v>
      </c>
      <c r="P286" t="s">
        <v>26</v>
      </c>
      <c r="Q286" t="s">
        <v>35</v>
      </c>
      <c r="R286" t="s">
        <v>36</v>
      </c>
      <c r="S286" t="str">
        <f>TRIM(PROPER(_xlfn.XLOOKUP(Table1[[#This Row],[ProductID_Clean]],Table3[ProductID],Table3[Category],"Missing Value",0)))</f>
        <v>Sensors</v>
      </c>
      <c r="T286" t="str">
        <f>_xlfn.XLOOKUP(Table1[[#This Row],[CustomerID_Check]],Table2[CustomerID],Table2[CustomerType],"Missing Value",0)</f>
        <v>Key Account</v>
      </c>
    </row>
    <row r="287" spans="1:20">
      <c r="A287" t="s">
        <v>497</v>
      </c>
      <c r="B287" s="1">
        <v>45715</v>
      </c>
      <c r="C287" t="s">
        <v>132</v>
      </c>
      <c r="D287" t="str">
        <f>UPPER(Table1[[#This Row],[ProductID_Clean]])</f>
        <v>P-SI-006</v>
      </c>
      <c r="E287" t="s">
        <v>43</v>
      </c>
      <c r="F287" t="s">
        <v>47</v>
      </c>
      <c r="G287" t="str">
        <f>TRIM(Table1[[#This Row],[Region_Clean]])</f>
        <v>EMEA</v>
      </c>
      <c r="H287" t="s">
        <v>24</v>
      </c>
      <c r="I287" t="s">
        <v>25</v>
      </c>
      <c r="J287" s="3">
        <v>8</v>
      </c>
      <c r="K287" s="3">
        <v>189.83</v>
      </c>
      <c r="L287">
        <v>215</v>
      </c>
      <c r="M287">
        <v>1720</v>
      </c>
      <c r="N287">
        <v>201.36</v>
      </c>
      <c r="O287">
        <v>1518.64</v>
      </c>
      <c r="P287" t="s">
        <v>26</v>
      </c>
      <c r="Q287" t="s">
        <v>35</v>
      </c>
      <c r="R287" t="s">
        <v>48</v>
      </c>
      <c r="S287" t="str">
        <f>TRIM(PROPER(_xlfn.XLOOKUP(Table1[[#This Row],[ProductID_Clean]],Table3[ProductID],Table3[Category],"Missing Value",0)))</f>
        <v>Sensors</v>
      </c>
      <c r="T287" t="str">
        <f>_xlfn.XLOOKUP(Table1[[#This Row],[CustomerID_Check]],Table2[CustomerID],Table2[CustomerType],"Missing Value",0)</f>
        <v>Key Account</v>
      </c>
    </row>
    <row r="288" spans="1:20">
      <c r="A288" t="s">
        <v>498</v>
      </c>
      <c r="B288" s="1">
        <v>45830</v>
      </c>
      <c r="C288" t="s">
        <v>496</v>
      </c>
      <c r="D288" t="str">
        <f>UPPER(Table1[[#This Row],[ProductID_Clean]])</f>
        <v>P-SI-007</v>
      </c>
      <c r="E288" t="s">
        <v>97</v>
      </c>
      <c r="F288" t="s">
        <v>102</v>
      </c>
      <c r="G288" t="str">
        <f>TRIM(Table1[[#This Row],[Region_Clean]])</f>
        <v>EMEA</v>
      </c>
      <c r="H288" t="s">
        <v>24</v>
      </c>
      <c r="I288" t="s">
        <v>25</v>
      </c>
      <c r="J288" s="3">
        <v>3</v>
      </c>
      <c r="K288" s="3">
        <v>927.97</v>
      </c>
      <c r="L288">
        <v>980</v>
      </c>
      <c r="M288">
        <v>2940</v>
      </c>
      <c r="N288">
        <v>156.09</v>
      </c>
      <c r="O288">
        <v>2783.91</v>
      </c>
      <c r="P288" t="s">
        <v>26</v>
      </c>
      <c r="Q288" t="s">
        <v>35</v>
      </c>
      <c r="R288" t="s">
        <v>36</v>
      </c>
      <c r="S288" t="str">
        <f>TRIM(PROPER(_xlfn.XLOOKUP(Table1[[#This Row],[ProductID_Clean]],Table3[ProductID],Table3[Category],"Missing Value",0)))</f>
        <v>Sensors</v>
      </c>
      <c r="T288" t="str">
        <f>_xlfn.XLOOKUP(Table1[[#This Row],[CustomerID_Check]],Table2[CustomerID],Table2[CustomerType],"Missing Value",0)</f>
        <v>Key Account</v>
      </c>
    </row>
    <row r="289" spans="1:20">
      <c r="A289" t="s">
        <v>499</v>
      </c>
      <c r="B289" s="1">
        <v>45800</v>
      </c>
      <c r="C289" t="s">
        <v>252</v>
      </c>
      <c r="D289" t="str">
        <f>UPPER(Table1[[#This Row],[ProductID_Clean]])</f>
        <v>P-SI-001</v>
      </c>
      <c r="E289" t="s">
        <v>72</v>
      </c>
      <c r="F289" t="s">
        <v>23</v>
      </c>
      <c r="G289" t="str">
        <f>TRIM(Table1[[#This Row],[Region_Clean]])</f>
        <v>N. AMERICA</v>
      </c>
      <c r="H289" t="s">
        <v>24</v>
      </c>
      <c r="I289" t="s">
        <v>25</v>
      </c>
      <c r="J289" s="3">
        <v>2</v>
      </c>
      <c r="K289" s="3">
        <v>433.94</v>
      </c>
      <c r="L289">
        <v>485</v>
      </c>
      <c r="M289">
        <v>970</v>
      </c>
      <c r="N289">
        <v>102.12</v>
      </c>
      <c r="O289">
        <v>867.88</v>
      </c>
      <c r="P289" t="s">
        <v>26</v>
      </c>
      <c r="Q289" t="s">
        <v>35</v>
      </c>
      <c r="R289" t="s">
        <v>44</v>
      </c>
      <c r="S289" t="str">
        <f>TRIM(PROPER(_xlfn.XLOOKUP(Table1[[#This Row],[ProductID_Clean]],Table3[ProductID],Table3[Category],"Missing Value",0)))</f>
        <v>Sensors</v>
      </c>
      <c r="T289" t="str">
        <f>_xlfn.XLOOKUP(Table1[[#This Row],[CustomerID_Check]],Table2[CustomerID],Table2[CustomerType],"Missing Value",0)</f>
        <v>Strategic</v>
      </c>
    </row>
    <row r="290" spans="1:20">
      <c r="A290" t="s">
        <v>500</v>
      </c>
      <c r="B290" s="1">
        <v>45681</v>
      </c>
      <c r="C290" t="s">
        <v>316</v>
      </c>
      <c r="D290" t="str">
        <f>UPPER(Table1[[#This Row],[ProductID_Clean]])</f>
        <v>P-SI-002</v>
      </c>
      <c r="E290" t="s">
        <v>31</v>
      </c>
      <c r="F290" t="s">
        <v>32</v>
      </c>
      <c r="G290" t="str">
        <f>TRIM(Table1[[#This Row],[Region_Clean]])</f>
        <v>LATIN AMERICA</v>
      </c>
      <c r="H290" t="s">
        <v>24</v>
      </c>
      <c r="I290" t="s">
        <v>25</v>
      </c>
      <c r="J290" s="3">
        <v>2</v>
      </c>
      <c r="K290" s="3">
        <v>574.75</v>
      </c>
      <c r="L290">
        <v>725</v>
      </c>
      <c r="M290">
        <v>1450</v>
      </c>
      <c r="N290">
        <v>300.5</v>
      </c>
      <c r="O290">
        <v>1149.5</v>
      </c>
      <c r="P290" t="s">
        <v>26</v>
      </c>
      <c r="Q290" t="s">
        <v>27</v>
      </c>
      <c r="R290" t="s">
        <v>48</v>
      </c>
      <c r="S290" t="str">
        <f>TRIM(PROPER(_xlfn.XLOOKUP(Table1[[#This Row],[ProductID_Clean]],Table3[ProductID],Table3[Category],"Missing Value",0)))</f>
        <v>Sensors</v>
      </c>
      <c r="T290" t="str">
        <f>_xlfn.XLOOKUP(Table1[[#This Row],[CustomerID_Check]],Table2[CustomerID],Table2[CustomerType],"Missing Value",0)</f>
        <v>Key Account</v>
      </c>
    </row>
    <row r="291" spans="1:20">
      <c r="A291" t="s">
        <v>501</v>
      </c>
      <c r="B291" s="1">
        <v>45661</v>
      </c>
      <c r="C291" t="s">
        <v>172</v>
      </c>
      <c r="D291" t="str">
        <f>UPPER(Table1[[#This Row],[ProductID_Clean]])</f>
        <v>P-SI-008</v>
      </c>
      <c r="E291" t="s">
        <v>152</v>
      </c>
      <c r="F291" t="s">
        <v>23</v>
      </c>
      <c r="G291" t="str">
        <f>TRIM(Table1[[#This Row],[Region_Clean]])</f>
        <v>N. AMERICA</v>
      </c>
      <c r="H291" t="s">
        <v>24</v>
      </c>
      <c r="I291" t="s">
        <v>25</v>
      </c>
      <c r="J291" s="3">
        <v>10</v>
      </c>
      <c r="K291" s="3">
        <v>849.05</v>
      </c>
      <c r="L291">
        <v>950</v>
      </c>
      <c r="M291">
        <v>9500</v>
      </c>
      <c r="N291">
        <v>1009.5</v>
      </c>
      <c r="O291">
        <v>8490.5</v>
      </c>
      <c r="P291" t="s">
        <v>26</v>
      </c>
      <c r="Q291" t="s">
        <v>27</v>
      </c>
      <c r="R291" t="s">
        <v>36</v>
      </c>
      <c r="S291" t="str">
        <f>TRIM(PROPER(_xlfn.XLOOKUP(Table1[[#This Row],[ProductID_Clean]],Table3[ProductID],Table3[Category],"Missing Value",0)))</f>
        <v>Instruments</v>
      </c>
      <c r="T291" t="str">
        <f>_xlfn.XLOOKUP(Table1[[#This Row],[CustomerID_Check]],Table2[CustomerID],Table2[CustomerType],"Missing Value",0)</f>
        <v>Key Account</v>
      </c>
    </row>
    <row r="292" spans="1:20">
      <c r="A292" t="s">
        <v>502</v>
      </c>
      <c r="B292" s="1">
        <v>45795</v>
      </c>
      <c r="C292" t="s">
        <v>242</v>
      </c>
      <c r="D292" t="str">
        <f>UPPER(Table1[[#This Row],[ProductID_Clean]])</f>
        <v>P-SI-003</v>
      </c>
      <c r="E292" t="s">
        <v>39</v>
      </c>
      <c r="F292" t="s">
        <v>47</v>
      </c>
      <c r="G292" t="str">
        <f>TRIM(Table1[[#This Row],[Region_Clean]])</f>
        <v>EMEA</v>
      </c>
      <c r="H292" t="s">
        <v>24</v>
      </c>
      <c r="I292" t="s">
        <v>34</v>
      </c>
      <c r="J292" s="3">
        <v>2</v>
      </c>
      <c r="K292" s="3">
        <v>1737.39</v>
      </c>
      <c r="L292">
        <v>1890</v>
      </c>
      <c r="M292">
        <v>3780</v>
      </c>
      <c r="N292">
        <v>305.22000000000003</v>
      </c>
      <c r="O292">
        <v>3474.78</v>
      </c>
      <c r="P292" t="s">
        <v>26</v>
      </c>
      <c r="Q292" t="s">
        <v>35</v>
      </c>
      <c r="R292" t="s">
        <v>44</v>
      </c>
      <c r="S292" t="str">
        <f>TRIM(PROPER(_xlfn.XLOOKUP(Table1[[#This Row],[ProductID_Clean]],Table3[ProductID],Table3[Category],"Missing Value",0)))</f>
        <v>Instruments</v>
      </c>
      <c r="T292" t="str">
        <f>_xlfn.XLOOKUP(Table1[[#This Row],[CustomerID_Check]],Table2[CustomerID],Table2[CustomerType],"Missing Value",0)</f>
        <v>Standard</v>
      </c>
    </row>
    <row r="293" spans="1:20">
      <c r="A293" t="s">
        <v>503</v>
      </c>
      <c r="B293" s="1">
        <v>45658</v>
      </c>
      <c r="C293" t="s">
        <v>504</v>
      </c>
      <c r="D293" t="str">
        <f>UPPER(Table1[[#This Row],[ProductID_Clean]])</f>
        <v>P-SA-004</v>
      </c>
      <c r="E293" t="s">
        <v>86</v>
      </c>
      <c r="F293" t="s">
        <v>23</v>
      </c>
      <c r="G293" t="str">
        <f>TRIM(Table1[[#This Row],[Region_Clean]])</f>
        <v>N. AMERICA</v>
      </c>
      <c r="H293" t="s">
        <v>53</v>
      </c>
      <c r="I293" t="s">
        <v>25</v>
      </c>
      <c r="J293" s="3">
        <v>1</v>
      </c>
      <c r="K293" s="3">
        <v>1419.62</v>
      </c>
      <c r="L293">
        <v>1650</v>
      </c>
      <c r="M293">
        <v>1650</v>
      </c>
      <c r="N293">
        <v>230.38000000000011</v>
      </c>
      <c r="O293">
        <v>1419.62</v>
      </c>
      <c r="P293" t="s">
        <v>26</v>
      </c>
      <c r="Q293" t="s">
        <v>88</v>
      </c>
      <c r="R293" t="s">
        <v>44</v>
      </c>
      <c r="S293" t="str">
        <f>TRIM(PROPER(_xlfn.XLOOKUP(Table1[[#This Row],[ProductID_Clean]],Table3[ProductID],Table3[Category],"Missing Value",0)))</f>
        <v>Software</v>
      </c>
      <c r="T293" t="str">
        <f>_xlfn.XLOOKUP(Table1[[#This Row],[CustomerID_Check]],Table2[CustomerID],Table2[CustomerType],"Missing Value",0)</f>
        <v>Emerging</v>
      </c>
    </row>
    <row r="294" spans="1:20">
      <c r="A294" t="s">
        <v>505</v>
      </c>
      <c r="B294" s="1">
        <v>45830</v>
      </c>
      <c r="C294" t="s">
        <v>442</v>
      </c>
      <c r="D294" t="str">
        <f>UPPER(Table1[[#This Row],[ProductID_Clean]])</f>
        <v>P-SA-003</v>
      </c>
      <c r="E294" t="s">
        <v>51</v>
      </c>
      <c r="F294" t="s">
        <v>23</v>
      </c>
      <c r="G294" t="str">
        <f>TRIM(Table1[[#This Row],[Region_Clean]])</f>
        <v>N. AMERICA</v>
      </c>
      <c r="H294" t="s">
        <v>53</v>
      </c>
      <c r="I294" t="s">
        <v>34</v>
      </c>
      <c r="J294" s="3">
        <v>1</v>
      </c>
      <c r="K294" s="3">
        <v>2499.0300000000002</v>
      </c>
      <c r="L294">
        <v>2750</v>
      </c>
      <c r="M294">
        <v>2750</v>
      </c>
      <c r="N294">
        <v>250.97</v>
      </c>
      <c r="O294">
        <v>2499.0300000000002</v>
      </c>
      <c r="P294" t="s">
        <v>26</v>
      </c>
      <c r="Q294" t="s">
        <v>54</v>
      </c>
      <c r="R294" t="s">
        <v>36</v>
      </c>
      <c r="S294" t="str">
        <f>TRIM(PROPER(_xlfn.XLOOKUP(Table1[[#This Row],[ProductID_Clean]],Table3[ProductID],Table3[Category],"Missing Value",0)))</f>
        <v>Software</v>
      </c>
      <c r="T294" t="str">
        <f>_xlfn.XLOOKUP(Table1[[#This Row],[CustomerID_Check]],Table2[CustomerID],Table2[CustomerType],"Missing Value",0)</f>
        <v>Standard</v>
      </c>
    </row>
    <row r="295" spans="1:20">
      <c r="A295" t="s">
        <v>506</v>
      </c>
      <c r="B295" s="1">
        <v>45807</v>
      </c>
      <c r="C295" t="s">
        <v>137</v>
      </c>
      <c r="D295" t="str">
        <f>UPPER(Table1[[#This Row],[ProductID_Clean]])</f>
        <v>P-SI-005</v>
      </c>
      <c r="E295" t="s">
        <v>57</v>
      </c>
      <c r="F295" t="s">
        <v>23</v>
      </c>
      <c r="G295" t="str">
        <f>TRIM(Table1[[#This Row],[Region_Clean]])</f>
        <v>N. AMERICA</v>
      </c>
      <c r="H295" t="s">
        <v>24</v>
      </c>
      <c r="I295" t="s">
        <v>25</v>
      </c>
      <c r="J295" s="3">
        <v>8</v>
      </c>
      <c r="K295" s="3">
        <v>879.21</v>
      </c>
      <c r="L295">
        <v>1120</v>
      </c>
      <c r="M295">
        <v>8960</v>
      </c>
      <c r="N295">
        <v>1926.32</v>
      </c>
      <c r="O295">
        <v>7033.68</v>
      </c>
      <c r="P295" t="s">
        <v>26</v>
      </c>
      <c r="Q295" t="s">
        <v>65</v>
      </c>
      <c r="R295" t="s">
        <v>28</v>
      </c>
      <c r="S295" t="str">
        <f>TRIM(PROPER(_xlfn.XLOOKUP(Table1[[#This Row],[ProductID_Clean]],Table3[ProductID],Table3[Category],"Missing Value",0)))</f>
        <v>Sensors</v>
      </c>
      <c r="T295" t="str">
        <f>_xlfn.XLOOKUP(Table1[[#This Row],[CustomerID_Check]],Table2[CustomerID],Table2[CustomerType],"Missing Value",0)</f>
        <v>Strategic</v>
      </c>
    </row>
    <row r="296" spans="1:20">
      <c r="A296" t="s">
        <v>507</v>
      </c>
      <c r="B296" s="1">
        <v>45753</v>
      </c>
      <c r="C296" t="s">
        <v>143</v>
      </c>
      <c r="D296" t="str">
        <f>UPPER(Table1[[#This Row],[ProductID_Clean]])</f>
        <v>P-SI-002</v>
      </c>
      <c r="E296" t="s">
        <v>31</v>
      </c>
      <c r="F296" t="s">
        <v>23</v>
      </c>
      <c r="G296" t="str">
        <f>TRIM(Table1[[#This Row],[Region_Clean]])</f>
        <v>N. AMERICA</v>
      </c>
      <c r="H296" t="s">
        <v>24</v>
      </c>
      <c r="I296" t="s">
        <v>34</v>
      </c>
      <c r="J296" s="3">
        <v>3</v>
      </c>
      <c r="K296" s="3">
        <v>621.07000000000005</v>
      </c>
      <c r="L296">
        <v>725</v>
      </c>
      <c r="M296">
        <v>2175</v>
      </c>
      <c r="N296">
        <v>311.79000000000002</v>
      </c>
      <c r="O296">
        <v>1863.21</v>
      </c>
      <c r="P296" t="s">
        <v>26</v>
      </c>
      <c r="Q296" t="s">
        <v>35</v>
      </c>
      <c r="R296" t="s">
        <v>28</v>
      </c>
      <c r="S296" t="str">
        <f>TRIM(PROPER(_xlfn.XLOOKUP(Table1[[#This Row],[ProductID_Clean]],Table3[ProductID],Table3[Category],"Missing Value",0)))</f>
        <v>Sensors</v>
      </c>
      <c r="T296" t="str">
        <f>_xlfn.XLOOKUP(Table1[[#This Row],[CustomerID_Check]],Table2[CustomerID],Table2[CustomerType],"Missing Value",0)</f>
        <v>Strategic</v>
      </c>
    </row>
    <row r="297" spans="1:20">
      <c r="A297" t="s">
        <v>508</v>
      </c>
      <c r="B297" s="1">
        <v>45830</v>
      </c>
      <c r="C297" t="s">
        <v>182</v>
      </c>
      <c r="D297" t="str">
        <f>UPPER(Table1[[#This Row],[ProductID_Clean]])</f>
        <v>P-SA-003</v>
      </c>
      <c r="E297" t="s">
        <v>51</v>
      </c>
      <c r="F297" t="s">
        <v>47</v>
      </c>
      <c r="G297" t="str">
        <f>TRIM(Table1[[#This Row],[Region_Clean]])</f>
        <v>EMEA</v>
      </c>
      <c r="H297" t="s">
        <v>53</v>
      </c>
      <c r="I297" t="s">
        <v>40</v>
      </c>
      <c r="J297" s="3">
        <v>1</v>
      </c>
      <c r="K297" s="3">
        <v>2309.69</v>
      </c>
      <c r="L297">
        <v>2750</v>
      </c>
      <c r="M297">
        <v>2750</v>
      </c>
      <c r="N297">
        <v>440.31</v>
      </c>
      <c r="O297">
        <v>2309.69</v>
      </c>
      <c r="P297" t="s">
        <v>26</v>
      </c>
      <c r="Q297" t="s">
        <v>54</v>
      </c>
      <c r="R297" t="s">
        <v>44</v>
      </c>
      <c r="S297" t="str">
        <f>TRIM(PROPER(_xlfn.XLOOKUP(Table1[[#This Row],[ProductID_Clean]],Table3[ProductID],Table3[Category],"Missing Value",0)))</f>
        <v>Software</v>
      </c>
      <c r="T297" t="str">
        <f>_xlfn.XLOOKUP(Table1[[#This Row],[CustomerID_Check]],Table2[CustomerID],Table2[CustomerType],"Missing Value",0)</f>
        <v>Key Account</v>
      </c>
    </row>
    <row r="298" spans="1:20">
      <c r="A298" t="s">
        <v>509</v>
      </c>
      <c r="B298" s="1">
        <v>45778</v>
      </c>
      <c r="C298" t="s">
        <v>130</v>
      </c>
      <c r="D298" t="str">
        <f>UPPER(Table1[[#This Row],[ProductID_Clean]])</f>
        <v>P-SA-001</v>
      </c>
      <c r="E298" t="s">
        <v>68</v>
      </c>
      <c r="F298" t="s">
        <v>58</v>
      </c>
      <c r="G298" t="str">
        <f>TRIM(Table1[[#This Row],[Region_Clean]])</f>
        <v>APAC</v>
      </c>
      <c r="H298" t="s">
        <v>53</v>
      </c>
      <c r="I298" t="s">
        <v>34</v>
      </c>
      <c r="J298" s="3">
        <v>1</v>
      </c>
      <c r="K298" s="3">
        <v>3453.71</v>
      </c>
      <c r="L298">
        <v>4200</v>
      </c>
      <c r="M298">
        <v>4200</v>
      </c>
      <c r="N298">
        <v>746.29</v>
      </c>
      <c r="O298">
        <v>3453.71</v>
      </c>
      <c r="P298" t="s">
        <v>26</v>
      </c>
      <c r="Q298" t="s">
        <v>189</v>
      </c>
      <c r="R298" t="s">
        <v>48</v>
      </c>
      <c r="S298" t="str">
        <f>TRIM(PROPER(_xlfn.XLOOKUP(Table1[[#This Row],[ProductID_Clean]],Table3[ProductID],Table3[Category],"Missing Value",0)))</f>
        <v>Software</v>
      </c>
      <c r="T298" t="str">
        <f>_xlfn.XLOOKUP(Table1[[#This Row],[CustomerID_Check]],Table2[CustomerID],Table2[CustomerType],"Missing Value",0)</f>
        <v>Standard</v>
      </c>
    </row>
    <row r="299" spans="1:20">
      <c r="A299" t="s">
        <v>510</v>
      </c>
      <c r="B299" s="1">
        <v>45816</v>
      </c>
      <c r="C299" t="s">
        <v>202</v>
      </c>
      <c r="D299" t="str">
        <f>UPPER(Table1[[#This Row],[ProductID_Clean]])</f>
        <v>P-SI-002</v>
      </c>
      <c r="E299" t="s">
        <v>31</v>
      </c>
      <c r="F299" t="s">
        <v>47</v>
      </c>
      <c r="G299" t="str">
        <f>TRIM(Table1[[#This Row],[Region_Clean]])</f>
        <v>EMEA</v>
      </c>
      <c r="H299" t="s">
        <v>24</v>
      </c>
      <c r="I299" t="s">
        <v>87</v>
      </c>
      <c r="J299" s="3">
        <v>2</v>
      </c>
      <c r="K299" s="3">
        <v>628.34</v>
      </c>
      <c r="L299">
        <v>725</v>
      </c>
      <c r="M299">
        <v>1450</v>
      </c>
      <c r="N299">
        <v>193.32</v>
      </c>
      <c r="O299">
        <v>1256.68</v>
      </c>
      <c r="P299" t="s">
        <v>26</v>
      </c>
      <c r="Q299" t="s">
        <v>35</v>
      </c>
      <c r="R299" t="s">
        <v>44</v>
      </c>
      <c r="S299" t="str">
        <f>TRIM(PROPER(_xlfn.XLOOKUP(Table1[[#This Row],[ProductID_Clean]],Table3[ProductID],Table3[Category],"Missing Value",0)))</f>
        <v>Sensors</v>
      </c>
      <c r="T299" t="str">
        <f>_xlfn.XLOOKUP(Table1[[#This Row],[CustomerID_Check]],Table2[CustomerID],Table2[CustomerType],"Missing Value",0)</f>
        <v>Standard</v>
      </c>
    </row>
    <row r="300" spans="1:20">
      <c r="A300" t="s">
        <v>511</v>
      </c>
      <c r="B300" s="1">
        <v>45753</v>
      </c>
      <c r="C300" t="s">
        <v>288</v>
      </c>
      <c r="D300" t="str">
        <f>UPPER(Table1[[#This Row],[ProductID_Clean]])</f>
        <v>P-SA-004</v>
      </c>
      <c r="E300" t="s">
        <v>86</v>
      </c>
      <c r="F300" t="s">
        <v>23</v>
      </c>
      <c r="G300" t="str">
        <f>TRIM(Table1[[#This Row],[Region_Clean]])</f>
        <v>N. AMERICA</v>
      </c>
      <c r="H300" t="s">
        <v>53</v>
      </c>
      <c r="I300" t="s">
        <v>98</v>
      </c>
      <c r="J300" s="3">
        <v>1</v>
      </c>
      <c r="K300" s="3">
        <v>1451.44</v>
      </c>
      <c r="L300">
        <v>1650</v>
      </c>
      <c r="M300">
        <v>1650</v>
      </c>
      <c r="N300">
        <v>198.55999999999995</v>
      </c>
      <c r="O300">
        <v>1451.44</v>
      </c>
      <c r="P300" t="s">
        <v>26</v>
      </c>
      <c r="Q300" t="s">
        <v>88</v>
      </c>
      <c r="R300" t="s">
        <v>59</v>
      </c>
      <c r="S300" t="str">
        <f>TRIM(PROPER(_xlfn.XLOOKUP(Table1[[#This Row],[ProductID_Clean]],Table3[ProductID],Table3[Category],"Missing Value",0)))</f>
        <v>Software</v>
      </c>
      <c r="T300" t="str">
        <f>_xlfn.XLOOKUP(Table1[[#This Row],[CustomerID_Check]],Table2[CustomerID],Table2[CustomerType],"Missing Value",0)</f>
        <v>Key Account</v>
      </c>
    </row>
    <row r="301" spans="1:20">
      <c r="A301" t="s">
        <v>512</v>
      </c>
      <c r="B301" s="1">
        <v>45776</v>
      </c>
      <c r="C301" t="s">
        <v>266</v>
      </c>
      <c r="D301" t="str">
        <f>UPPER(Table1[[#This Row],[ProductID_Clean]])</f>
        <v>P-SI-001</v>
      </c>
      <c r="E301" t="s">
        <v>72</v>
      </c>
      <c r="F301" t="s">
        <v>52</v>
      </c>
      <c r="G301" t="str">
        <f>TRIM(Table1[[#This Row],[Region_Clean]])</f>
        <v>N. AMERICA</v>
      </c>
      <c r="H301" t="s">
        <v>24</v>
      </c>
      <c r="I301" t="s">
        <v>25</v>
      </c>
      <c r="J301" s="3">
        <v>8</v>
      </c>
      <c r="K301" s="3">
        <v>393.02</v>
      </c>
      <c r="L301">
        <v>485</v>
      </c>
      <c r="M301">
        <v>3880</v>
      </c>
      <c r="N301">
        <v>735.84</v>
      </c>
      <c r="O301">
        <v>3144.16</v>
      </c>
      <c r="P301" t="s">
        <v>26</v>
      </c>
      <c r="Q301" t="s">
        <v>35</v>
      </c>
      <c r="R301" t="s">
        <v>44</v>
      </c>
      <c r="S301" t="str">
        <f>TRIM(PROPER(_xlfn.XLOOKUP(Table1[[#This Row],[ProductID_Clean]],Table3[ProductID],Table3[Category],"Missing Value",0)))</f>
        <v>Sensors</v>
      </c>
      <c r="T301" t="str">
        <f>_xlfn.XLOOKUP(Table1[[#This Row],[CustomerID_Check]],Table2[CustomerID],Table2[CustomerType],"Missing Value",0)</f>
        <v>Strategic</v>
      </c>
    </row>
    <row r="302" spans="1:20">
      <c r="A302" t="s">
        <v>513</v>
      </c>
      <c r="B302" s="1">
        <v>45824</v>
      </c>
      <c r="C302" t="s">
        <v>382</v>
      </c>
      <c r="D302" t="str">
        <f>UPPER(Table1[[#This Row],[ProductID_Clean]])</f>
        <v>P-SI-003</v>
      </c>
      <c r="E302" t="s">
        <v>39</v>
      </c>
      <c r="F302" t="s">
        <v>23</v>
      </c>
      <c r="G302" t="str">
        <f>TRIM(Table1[[#This Row],[Region_Clean]])</f>
        <v>N. AMERICA</v>
      </c>
      <c r="H302" t="s">
        <v>24</v>
      </c>
      <c r="I302" t="s">
        <v>87</v>
      </c>
      <c r="J302" s="3">
        <v>1</v>
      </c>
      <c r="K302" s="3">
        <v>1712.07</v>
      </c>
      <c r="L302">
        <v>1890</v>
      </c>
      <c r="M302">
        <v>1890</v>
      </c>
      <c r="N302">
        <v>177.93</v>
      </c>
      <c r="O302">
        <v>1712.07</v>
      </c>
      <c r="P302" t="s">
        <v>26</v>
      </c>
      <c r="Q302" t="s">
        <v>35</v>
      </c>
      <c r="R302" t="s">
        <v>36</v>
      </c>
      <c r="S302" t="str">
        <f>TRIM(PROPER(_xlfn.XLOOKUP(Table1[[#This Row],[ProductID_Clean]],Table3[ProductID],Table3[Category],"Missing Value",0)))</f>
        <v>Instruments</v>
      </c>
      <c r="T302" t="str">
        <f>_xlfn.XLOOKUP(Table1[[#This Row],[CustomerID_Check]],Table2[CustomerID],Table2[CustomerType],"Missing Value",0)</f>
        <v>Emerging</v>
      </c>
    </row>
    <row r="303" spans="1:20">
      <c r="A303" t="s">
        <v>514</v>
      </c>
      <c r="B303" s="1">
        <v>45801</v>
      </c>
      <c r="C303" t="s">
        <v>292</v>
      </c>
      <c r="D303" t="str">
        <f>UPPER(Table1[[#This Row],[ProductID_Clean]])</f>
        <v>P-SI-004</v>
      </c>
      <c r="E303" t="s">
        <v>22</v>
      </c>
      <c r="F303" t="s">
        <v>47</v>
      </c>
      <c r="G303" t="str">
        <f>TRIM(Table1[[#This Row],[Region_Clean]])</f>
        <v>EMEA</v>
      </c>
      <c r="H303" t="s">
        <v>24</v>
      </c>
      <c r="I303" t="s">
        <v>25</v>
      </c>
      <c r="J303" s="3">
        <v>1</v>
      </c>
      <c r="K303" s="3">
        <v>2414.34</v>
      </c>
      <c r="L303">
        <v>2450</v>
      </c>
      <c r="M303">
        <v>2450</v>
      </c>
      <c r="N303">
        <v>35.659999999999854</v>
      </c>
      <c r="O303">
        <v>2414.34</v>
      </c>
      <c r="P303" t="s">
        <v>26</v>
      </c>
      <c r="Q303" t="s">
        <v>27</v>
      </c>
      <c r="R303" t="s">
        <v>36</v>
      </c>
      <c r="S303" t="str">
        <f>TRIM(PROPER(_xlfn.XLOOKUP(Table1[[#This Row],[ProductID_Clean]],Table3[ProductID],Table3[Category],"Missing Value",0)))</f>
        <v>Instruments</v>
      </c>
      <c r="T303" t="str">
        <f>_xlfn.XLOOKUP(Table1[[#This Row],[CustomerID_Check]],Table2[CustomerID],Table2[CustomerType],"Missing Value",0)</f>
        <v>Standard</v>
      </c>
    </row>
    <row r="304" spans="1:20">
      <c r="A304" t="s">
        <v>515</v>
      </c>
      <c r="B304" s="1">
        <v>45735</v>
      </c>
      <c r="C304" t="s">
        <v>516</v>
      </c>
      <c r="D304" t="str">
        <f>UPPER(Table1[[#This Row],[ProductID_Clean]])</f>
        <v>P-SI-001</v>
      </c>
      <c r="E304" t="s">
        <v>72</v>
      </c>
      <c r="F304" t="s">
        <v>58</v>
      </c>
      <c r="G304" t="str">
        <f>TRIM(Table1[[#This Row],[Region_Clean]])</f>
        <v>APAC</v>
      </c>
      <c r="H304" t="s">
        <v>24</v>
      </c>
      <c r="I304" t="s">
        <v>25</v>
      </c>
      <c r="J304" s="3">
        <v>1</v>
      </c>
      <c r="K304" s="3">
        <v>443.87</v>
      </c>
      <c r="L304">
        <v>485</v>
      </c>
      <c r="M304">
        <v>485</v>
      </c>
      <c r="N304">
        <v>41.13</v>
      </c>
      <c r="O304">
        <v>443.87</v>
      </c>
      <c r="P304" t="s">
        <v>26</v>
      </c>
      <c r="Q304" t="s">
        <v>35</v>
      </c>
      <c r="R304" t="s">
        <v>48</v>
      </c>
      <c r="S304" t="str">
        <f>TRIM(PROPER(_xlfn.XLOOKUP(Table1[[#This Row],[ProductID_Clean]],Table3[ProductID],Table3[Category],"Missing Value",0)))</f>
        <v>Sensors</v>
      </c>
      <c r="T304" t="str">
        <f>_xlfn.XLOOKUP(Table1[[#This Row],[CustomerID_Check]],Table2[CustomerID],Table2[CustomerType],"Missing Value",0)</f>
        <v>Standard</v>
      </c>
    </row>
    <row r="305" spans="1:20">
      <c r="A305" t="s">
        <v>517</v>
      </c>
      <c r="B305" s="1">
        <v>45687</v>
      </c>
      <c r="C305" t="s">
        <v>89</v>
      </c>
      <c r="D305" t="str">
        <f>UPPER(Table1[[#This Row],[ProductID_Clean]])</f>
        <v>P-SA-005</v>
      </c>
      <c r="E305" t="s">
        <v>62</v>
      </c>
      <c r="F305" t="s">
        <v>58</v>
      </c>
      <c r="G305" t="str">
        <f>TRIM(Table1[[#This Row],[Region_Clean]])</f>
        <v>APAC</v>
      </c>
      <c r="H305" t="s">
        <v>53</v>
      </c>
      <c r="I305" t="s">
        <v>25</v>
      </c>
      <c r="J305" s="3">
        <v>2</v>
      </c>
      <c r="K305" s="3">
        <v>2628.29</v>
      </c>
      <c r="L305">
        <v>3200</v>
      </c>
      <c r="M305">
        <v>6400</v>
      </c>
      <c r="N305">
        <v>1143.42</v>
      </c>
      <c r="O305">
        <v>5256.58</v>
      </c>
      <c r="P305" t="s">
        <v>26</v>
      </c>
      <c r="Q305" t="s">
        <v>54</v>
      </c>
      <c r="R305" t="s">
        <v>44</v>
      </c>
      <c r="S305" t="str">
        <f>TRIM(PROPER(_xlfn.XLOOKUP(Table1[[#This Row],[ProductID_Clean]],Table3[ProductID],Table3[Category],"Missing Value",0)))</f>
        <v>Software / Integration</v>
      </c>
      <c r="T305" t="str">
        <f>_xlfn.XLOOKUP(Table1[[#This Row],[CustomerID_Check]],Table2[CustomerID],Table2[CustomerType],"Missing Value",0)</f>
        <v>Strategic</v>
      </c>
    </row>
    <row r="306" spans="1:20">
      <c r="A306" t="s">
        <v>518</v>
      </c>
      <c r="B306" s="1">
        <v>45692</v>
      </c>
      <c r="C306" t="s">
        <v>143</v>
      </c>
      <c r="D306" t="str">
        <f>UPPER(Table1[[#This Row],[ProductID_Clean]])</f>
        <v>P-SI-006</v>
      </c>
      <c r="E306" t="s">
        <v>43</v>
      </c>
      <c r="F306" t="s">
        <v>23</v>
      </c>
      <c r="G306" t="str">
        <f>TRIM(Table1[[#This Row],[Region_Clean]])</f>
        <v>N. AMERICA</v>
      </c>
      <c r="H306" t="s">
        <v>24</v>
      </c>
      <c r="I306" t="s">
        <v>98</v>
      </c>
      <c r="J306" s="3">
        <v>3</v>
      </c>
      <c r="K306" s="3">
        <v>162.28</v>
      </c>
      <c r="L306">
        <v>215</v>
      </c>
      <c r="M306">
        <v>645</v>
      </c>
      <c r="N306">
        <v>158.16</v>
      </c>
      <c r="O306">
        <v>486.84</v>
      </c>
      <c r="P306" t="s">
        <v>26</v>
      </c>
      <c r="Q306" t="s">
        <v>27</v>
      </c>
      <c r="R306" t="s">
        <v>28</v>
      </c>
      <c r="S306" t="str">
        <f>TRIM(PROPER(_xlfn.XLOOKUP(Table1[[#This Row],[ProductID_Clean]],Table3[ProductID],Table3[Category],"Missing Value",0)))</f>
        <v>Sensors</v>
      </c>
      <c r="T306" t="str">
        <f>_xlfn.XLOOKUP(Table1[[#This Row],[CustomerID_Check]],Table2[CustomerID],Table2[CustomerType],"Missing Value",0)</f>
        <v>Strategic</v>
      </c>
    </row>
    <row r="307" spans="1:20">
      <c r="A307" t="s">
        <v>519</v>
      </c>
      <c r="B307" s="1">
        <v>45774</v>
      </c>
      <c r="C307" t="s">
        <v>282</v>
      </c>
      <c r="D307" t="str">
        <f>UPPER(Table1[[#This Row],[ProductID_Clean]])</f>
        <v>P-SI-004</v>
      </c>
      <c r="E307" t="s">
        <v>22</v>
      </c>
      <c r="F307" t="s">
        <v>52</v>
      </c>
      <c r="G307" t="str">
        <f>TRIM(Table1[[#This Row],[Region_Clean]])</f>
        <v>N. AMERICA</v>
      </c>
      <c r="H307" t="s">
        <v>24</v>
      </c>
      <c r="I307" t="s">
        <v>34</v>
      </c>
      <c r="J307" s="3">
        <v>10</v>
      </c>
      <c r="K307" s="3">
        <v>2083.16</v>
      </c>
      <c r="L307">
        <v>2450</v>
      </c>
      <c r="M307">
        <v>24500</v>
      </c>
      <c r="N307">
        <v>3668.4</v>
      </c>
      <c r="O307">
        <v>20831.599999999999</v>
      </c>
      <c r="P307" t="s">
        <v>26</v>
      </c>
      <c r="Q307" t="s">
        <v>35</v>
      </c>
      <c r="R307" t="s">
        <v>59</v>
      </c>
      <c r="S307" t="str">
        <f>TRIM(PROPER(_xlfn.XLOOKUP(Table1[[#This Row],[ProductID_Clean]],Table3[ProductID],Table3[Category],"Missing Value",0)))</f>
        <v>Instruments</v>
      </c>
      <c r="T307" t="str">
        <f>_xlfn.XLOOKUP(Table1[[#This Row],[CustomerID_Check]],Table2[CustomerID],Table2[CustomerType],"Missing Value",0)</f>
        <v>Strategic</v>
      </c>
    </row>
    <row r="308" spans="1:20">
      <c r="A308" t="s">
        <v>520</v>
      </c>
      <c r="B308" s="1">
        <v>45836</v>
      </c>
      <c r="C308" t="s">
        <v>194</v>
      </c>
      <c r="D308" t="str">
        <f>UPPER(Table1[[#This Row],[ProductID_Clean]])</f>
        <v>P-SI-002</v>
      </c>
      <c r="E308" t="s">
        <v>31</v>
      </c>
      <c r="F308" t="s">
        <v>23</v>
      </c>
      <c r="G308" t="str">
        <f>TRIM(Table1[[#This Row],[Region_Clean]])</f>
        <v>N. AMERICA</v>
      </c>
      <c r="H308" t="s">
        <v>24</v>
      </c>
      <c r="I308" t="s">
        <v>87</v>
      </c>
      <c r="J308" s="3">
        <v>4</v>
      </c>
      <c r="K308" s="3">
        <v>487.34</v>
      </c>
      <c r="L308">
        <v>725</v>
      </c>
      <c r="M308">
        <v>2900</v>
      </c>
      <c r="N308">
        <v>950.64</v>
      </c>
      <c r="O308">
        <v>1949.36</v>
      </c>
      <c r="P308" t="s">
        <v>26</v>
      </c>
      <c r="Q308" t="s">
        <v>35</v>
      </c>
      <c r="R308" t="s">
        <v>36</v>
      </c>
      <c r="S308" t="str">
        <f>TRIM(PROPER(_xlfn.XLOOKUP(Table1[[#This Row],[ProductID_Clean]],Table3[ProductID],Table3[Category],"Missing Value",0)))</f>
        <v>Sensors</v>
      </c>
      <c r="T308" t="str">
        <f>_xlfn.XLOOKUP(Table1[[#This Row],[CustomerID_Check]],Table2[CustomerID],Table2[CustomerType],"Missing Value",0)</f>
        <v>Strategic</v>
      </c>
    </row>
    <row r="309" spans="1:20">
      <c r="A309" t="s">
        <v>521</v>
      </c>
      <c r="B309" s="1">
        <v>45808</v>
      </c>
      <c r="C309" t="s">
        <v>239</v>
      </c>
      <c r="D309" t="str">
        <f>UPPER(Table1[[#This Row],[ProductID_Clean]])</f>
        <v>P-FS-004</v>
      </c>
      <c r="E309" t="s">
        <v>432</v>
      </c>
      <c r="F309" t="s">
        <v>23</v>
      </c>
      <c r="G309" t="str">
        <f>TRIM(Table1[[#This Row],[Region_Clean]])</f>
        <v>N. AMERICA</v>
      </c>
      <c r="H309" t="s">
        <v>82</v>
      </c>
      <c r="I309" t="s">
        <v>25</v>
      </c>
      <c r="J309" s="3">
        <v>1</v>
      </c>
      <c r="K309" s="3">
        <v>2915.49</v>
      </c>
      <c r="L309">
        <v>3200</v>
      </c>
      <c r="M309">
        <v>3200</v>
      </c>
      <c r="N309">
        <v>284.51</v>
      </c>
      <c r="O309">
        <v>2915.49</v>
      </c>
      <c r="P309" t="s">
        <v>26</v>
      </c>
      <c r="Q309" t="s">
        <v>35</v>
      </c>
      <c r="R309" t="s">
        <v>44</v>
      </c>
      <c r="S309" t="str">
        <f>TRIM(PROPER(_xlfn.XLOOKUP(Table1[[#This Row],[ProductID_Clean]],Table3[ProductID],Table3[Category],"Missing Value",0)))</f>
        <v>Services</v>
      </c>
      <c r="T309" t="str">
        <f>_xlfn.XLOOKUP(Table1[[#This Row],[CustomerID_Check]],Table2[CustomerID],Table2[CustomerType],"Missing Value",0)</f>
        <v>Strategic</v>
      </c>
    </row>
    <row r="310" spans="1:20">
      <c r="A310" t="s">
        <v>522</v>
      </c>
      <c r="B310" s="1">
        <v>45764</v>
      </c>
      <c r="C310" t="s">
        <v>104</v>
      </c>
      <c r="D310" t="str">
        <f>UPPER(Table1[[#This Row],[ProductID_Clean]])</f>
        <v>P-SA-001</v>
      </c>
      <c r="E310" t="s">
        <v>68</v>
      </c>
      <c r="F310" t="s">
        <v>58</v>
      </c>
      <c r="G310" t="str">
        <f>TRIM(Table1[[#This Row],[Region_Clean]])</f>
        <v>APAC</v>
      </c>
      <c r="H310" t="s">
        <v>53</v>
      </c>
      <c r="I310" t="s">
        <v>25</v>
      </c>
      <c r="J310" s="3">
        <v>1</v>
      </c>
      <c r="K310" s="3">
        <v>3927.09</v>
      </c>
      <c r="L310">
        <v>4200</v>
      </c>
      <c r="M310">
        <v>4200</v>
      </c>
      <c r="N310">
        <v>272.91000000000003</v>
      </c>
      <c r="O310">
        <v>3927.09</v>
      </c>
      <c r="P310" t="s">
        <v>26</v>
      </c>
      <c r="Q310" t="s">
        <v>189</v>
      </c>
      <c r="R310" t="s">
        <v>36</v>
      </c>
      <c r="S310" t="str">
        <f>TRIM(PROPER(_xlfn.XLOOKUP(Table1[[#This Row],[ProductID_Clean]],Table3[ProductID],Table3[Category],"Missing Value",0)))</f>
        <v>Software</v>
      </c>
      <c r="T310" t="str">
        <f>_xlfn.XLOOKUP(Table1[[#This Row],[CustomerID_Check]],Table2[CustomerID],Table2[CustomerType],"Missing Value",0)</f>
        <v>Standard</v>
      </c>
    </row>
    <row r="311" spans="1:20">
      <c r="A311" t="s">
        <v>523</v>
      </c>
      <c r="B311" s="1">
        <v>45683</v>
      </c>
      <c r="C311" t="s">
        <v>323</v>
      </c>
      <c r="D311" t="str">
        <f>UPPER(Table1[[#This Row],[ProductID_Clean]])</f>
        <v>P-SI-006</v>
      </c>
      <c r="E311" t="s">
        <v>43</v>
      </c>
      <c r="F311" t="s">
        <v>23</v>
      </c>
      <c r="G311" t="str">
        <f>TRIM(Table1[[#This Row],[Region_Clean]])</f>
        <v>N. AMERICA</v>
      </c>
      <c r="H311" t="s">
        <v>24</v>
      </c>
      <c r="I311" t="s">
        <v>87</v>
      </c>
      <c r="J311" s="3">
        <v>1</v>
      </c>
      <c r="K311" s="3">
        <v>174.39</v>
      </c>
      <c r="L311">
        <v>215</v>
      </c>
      <c r="M311">
        <v>215</v>
      </c>
      <c r="N311">
        <v>40.61</v>
      </c>
      <c r="O311">
        <v>174.39</v>
      </c>
      <c r="P311" t="s">
        <v>26</v>
      </c>
      <c r="Q311" t="s">
        <v>65</v>
      </c>
      <c r="R311" t="s">
        <v>59</v>
      </c>
      <c r="S311" t="str">
        <f>TRIM(PROPER(_xlfn.XLOOKUP(Table1[[#This Row],[ProductID_Clean]],Table3[ProductID],Table3[Category],"Missing Value",0)))</f>
        <v>Sensors</v>
      </c>
      <c r="T311" t="str">
        <f>_xlfn.XLOOKUP(Table1[[#This Row],[CustomerID_Check]],Table2[CustomerID],Table2[CustomerType],"Missing Value",0)</f>
        <v>Key Account</v>
      </c>
    </row>
    <row r="312" spans="1:20">
      <c r="A312" t="s">
        <v>524</v>
      </c>
      <c r="B312" s="1">
        <v>45762</v>
      </c>
      <c r="C312" t="s">
        <v>204</v>
      </c>
      <c r="D312" t="str">
        <f>UPPER(Table1[[#This Row],[ProductID_Clean]])</f>
        <v>P-SI-007</v>
      </c>
      <c r="E312" t="s">
        <v>97</v>
      </c>
      <c r="F312" t="s">
        <v>47</v>
      </c>
      <c r="G312" t="str">
        <f>TRIM(Table1[[#This Row],[Region_Clean]])</f>
        <v>EMEA</v>
      </c>
      <c r="H312" t="s">
        <v>24</v>
      </c>
      <c r="I312" t="s">
        <v>25</v>
      </c>
      <c r="J312" s="3">
        <v>5</v>
      </c>
      <c r="K312" s="3">
        <v>918.86</v>
      </c>
      <c r="L312">
        <v>980</v>
      </c>
      <c r="M312">
        <v>4900</v>
      </c>
      <c r="N312">
        <v>305.7</v>
      </c>
      <c r="O312">
        <v>4594.3</v>
      </c>
      <c r="P312" t="s">
        <v>113</v>
      </c>
      <c r="Q312" t="s">
        <v>65</v>
      </c>
      <c r="R312" t="s">
        <v>48</v>
      </c>
      <c r="S312" t="str">
        <f>TRIM(PROPER(_xlfn.XLOOKUP(Table1[[#This Row],[ProductID_Clean]],Table3[ProductID],Table3[Category],"Missing Value",0)))</f>
        <v>Sensors</v>
      </c>
      <c r="T312" t="str">
        <f>_xlfn.XLOOKUP(Table1[[#This Row],[CustomerID_Check]],Table2[CustomerID],Table2[CustomerType],"Missing Value",0)</f>
        <v>Standard</v>
      </c>
    </row>
    <row r="313" spans="1:20">
      <c r="A313" t="s">
        <v>525</v>
      </c>
      <c r="B313" s="1">
        <v>45683</v>
      </c>
      <c r="C313" t="s">
        <v>91</v>
      </c>
      <c r="D313" t="str">
        <f>UPPER(Table1[[#This Row],[ProductID_Clean]])</f>
        <v>P-FS-002</v>
      </c>
      <c r="E313" t="s">
        <v>81</v>
      </c>
      <c r="F313" t="s">
        <v>23</v>
      </c>
      <c r="G313" t="str">
        <f>TRIM(Table1[[#This Row],[Region_Clean]])</f>
        <v>N. AMERICA</v>
      </c>
      <c r="H313" t="s">
        <v>82</v>
      </c>
      <c r="I313" t="s">
        <v>184</v>
      </c>
      <c r="J313" s="3">
        <v>1</v>
      </c>
      <c r="K313" s="3">
        <v>2055.9699999999998</v>
      </c>
      <c r="L313">
        <v>2400</v>
      </c>
      <c r="M313">
        <v>2400</v>
      </c>
      <c r="N313">
        <v>344.0300000000002</v>
      </c>
      <c r="O313">
        <v>2055.9699999999998</v>
      </c>
      <c r="P313" t="s">
        <v>126</v>
      </c>
      <c r="Q313" t="s">
        <v>94</v>
      </c>
      <c r="R313" t="s">
        <v>48</v>
      </c>
      <c r="S313" t="str">
        <f>TRIM(PROPER(_xlfn.XLOOKUP(Table1[[#This Row],[ProductID_Clean]],Table3[ProductID],Table3[Category],"Missing Value",0)))</f>
        <v>Services</v>
      </c>
      <c r="T313" t="str">
        <f>_xlfn.XLOOKUP(Table1[[#This Row],[CustomerID_Check]],Table2[CustomerID],Table2[CustomerType],"Missing Value",0)</f>
        <v>Key Account</v>
      </c>
    </row>
    <row r="314" spans="1:20">
      <c r="A314" t="s">
        <v>526</v>
      </c>
      <c r="B314" s="1">
        <v>45781</v>
      </c>
      <c r="C314" t="s">
        <v>527</v>
      </c>
      <c r="D314" t="str">
        <f>UPPER(Table1[[#This Row],[ProductID_Clean]])</f>
        <v>P-SI-002</v>
      </c>
      <c r="E314" t="s">
        <v>31</v>
      </c>
      <c r="F314" t="s">
        <v>23</v>
      </c>
      <c r="G314" t="str">
        <f>TRIM(Table1[[#This Row],[Region_Clean]])</f>
        <v>N. AMERICA</v>
      </c>
      <c r="H314" t="s">
        <v>24</v>
      </c>
      <c r="I314" t="s">
        <v>87</v>
      </c>
      <c r="J314" s="3">
        <v>8</v>
      </c>
      <c r="K314" s="3">
        <v>595.79</v>
      </c>
      <c r="L314">
        <v>725</v>
      </c>
      <c r="M314">
        <v>5800</v>
      </c>
      <c r="N314">
        <v>1033.68</v>
      </c>
      <c r="O314">
        <v>4766.32</v>
      </c>
      <c r="P314" t="s">
        <v>26</v>
      </c>
      <c r="Q314" t="s">
        <v>65</v>
      </c>
      <c r="R314" t="s">
        <v>44</v>
      </c>
      <c r="S314" t="str">
        <f>TRIM(PROPER(_xlfn.XLOOKUP(Table1[[#This Row],[ProductID_Clean]],Table3[ProductID],Table3[Category],"Missing Value",0)))</f>
        <v>Sensors</v>
      </c>
      <c r="T314" t="str">
        <f>_xlfn.XLOOKUP(Table1[[#This Row],[CustomerID_Check]],Table2[CustomerID],Table2[CustomerType],"Missing Value",0)</f>
        <v>Standard</v>
      </c>
    </row>
    <row r="315" spans="1:20">
      <c r="A315" t="s">
        <v>528</v>
      </c>
      <c r="B315" s="1">
        <v>45771</v>
      </c>
      <c r="C315" t="s">
        <v>378</v>
      </c>
      <c r="D315" t="str">
        <f>UPPER(Table1[[#This Row],[ProductID_Clean]])</f>
        <v>P-SI-007</v>
      </c>
      <c r="E315" t="s">
        <v>97</v>
      </c>
      <c r="F315" t="s">
        <v>58</v>
      </c>
      <c r="G315" t="str">
        <f>TRIM(Table1[[#This Row],[Region_Clean]])</f>
        <v>APAC</v>
      </c>
      <c r="H315" t="s">
        <v>24</v>
      </c>
      <c r="I315" t="s">
        <v>40</v>
      </c>
      <c r="J315" s="3">
        <v>3</v>
      </c>
      <c r="K315" s="3">
        <v>854.73</v>
      </c>
      <c r="L315">
        <v>980</v>
      </c>
      <c r="M315">
        <v>2940</v>
      </c>
      <c r="N315">
        <v>375.81</v>
      </c>
      <c r="O315">
        <v>2564.19</v>
      </c>
      <c r="P315" t="s">
        <v>26</v>
      </c>
      <c r="Q315" t="s">
        <v>35</v>
      </c>
      <c r="R315" t="s">
        <v>48</v>
      </c>
      <c r="S315" t="str">
        <f>TRIM(PROPER(_xlfn.XLOOKUP(Table1[[#This Row],[ProductID_Clean]],Table3[ProductID],Table3[Category],"Missing Value",0)))</f>
        <v>Sensors</v>
      </c>
      <c r="T315" t="str">
        <f>_xlfn.XLOOKUP(Table1[[#This Row],[CustomerID_Check]],Table2[CustomerID],Table2[CustomerType],"Missing Value",0)</f>
        <v>Emerging</v>
      </c>
    </row>
    <row r="316" spans="1:20">
      <c r="A316" t="s">
        <v>529</v>
      </c>
      <c r="B316" s="1">
        <v>45718</v>
      </c>
      <c r="C316" t="s">
        <v>190</v>
      </c>
      <c r="D316" t="str">
        <f>UPPER(Table1[[#This Row],[ProductID_Clean]])</f>
        <v>P-SI-006</v>
      </c>
      <c r="E316" t="s">
        <v>43</v>
      </c>
      <c r="F316" t="s">
        <v>47</v>
      </c>
      <c r="G316" t="str">
        <f>TRIM(Table1[[#This Row],[Region_Clean]])</f>
        <v>EMEA</v>
      </c>
      <c r="H316" t="s">
        <v>24</v>
      </c>
      <c r="I316" t="s">
        <v>87</v>
      </c>
      <c r="J316" s="3">
        <v>5</v>
      </c>
      <c r="K316" s="3">
        <v>143.25</v>
      </c>
      <c r="L316">
        <v>215</v>
      </c>
      <c r="M316">
        <v>1075</v>
      </c>
      <c r="N316">
        <v>358.75</v>
      </c>
      <c r="O316">
        <v>716.25</v>
      </c>
      <c r="P316" t="s">
        <v>26</v>
      </c>
      <c r="Q316" t="s">
        <v>27</v>
      </c>
      <c r="R316" t="s">
        <v>36</v>
      </c>
      <c r="S316" t="str">
        <f>TRIM(PROPER(_xlfn.XLOOKUP(Table1[[#This Row],[ProductID_Clean]],Table3[ProductID],Table3[Category],"Missing Value",0)))</f>
        <v>Sensors</v>
      </c>
      <c r="T316" t="str">
        <f>_xlfn.XLOOKUP(Table1[[#This Row],[CustomerID_Check]],Table2[CustomerID],Table2[CustomerType],"Missing Value",0)</f>
        <v>Strategic</v>
      </c>
    </row>
    <row r="317" spans="1:20">
      <c r="A317" t="s">
        <v>530</v>
      </c>
      <c r="B317" s="1">
        <v>45683</v>
      </c>
      <c r="C317" t="s">
        <v>370</v>
      </c>
      <c r="D317" t="str">
        <f>UPPER(Table1[[#This Row],[ProductID_Clean]])</f>
        <v>P-SI-001</v>
      </c>
      <c r="E317" t="s">
        <v>72</v>
      </c>
      <c r="F317" t="s">
        <v>58</v>
      </c>
      <c r="G317" t="str">
        <f>TRIM(Table1[[#This Row],[Region_Clean]])</f>
        <v>APAC</v>
      </c>
      <c r="H317" t="s">
        <v>24</v>
      </c>
      <c r="I317" t="s">
        <v>184</v>
      </c>
      <c r="J317" s="3">
        <v>4</v>
      </c>
      <c r="K317" s="3">
        <v>389.04</v>
      </c>
      <c r="L317">
        <v>485</v>
      </c>
      <c r="M317">
        <v>1940</v>
      </c>
      <c r="N317">
        <v>383.84</v>
      </c>
      <c r="O317">
        <v>1556.16</v>
      </c>
      <c r="P317" t="s">
        <v>26</v>
      </c>
      <c r="Q317" t="s">
        <v>27</v>
      </c>
      <c r="R317" t="s">
        <v>59</v>
      </c>
      <c r="S317" t="str">
        <f>TRIM(PROPER(_xlfn.XLOOKUP(Table1[[#This Row],[ProductID_Clean]],Table3[ProductID],Table3[Category],"Missing Value",0)))</f>
        <v>Sensors</v>
      </c>
      <c r="T317" t="str">
        <f>_xlfn.XLOOKUP(Table1[[#This Row],[CustomerID_Check]],Table2[CustomerID],Table2[CustomerType],"Missing Value",0)</f>
        <v>Standard</v>
      </c>
    </row>
    <row r="318" spans="1:20">
      <c r="A318" t="s">
        <v>531</v>
      </c>
      <c r="B318" s="1">
        <v>45797</v>
      </c>
      <c r="C318" t="s">
        <v>188</v>
      </c>
      <c r="D318" t="str">
        <f>UPPER(Table1[[#This Row],[ProductID_Clean]])</f>
        <v>P-SI-008</v>
      </c>
      <c r="E318" t="s">
        <v>152</v>
      </c>
      <c r="F318" t="s">
        <v>58</v>
      </c>
      <c r="G318" t="str">
        <f>TRIM(Table1[[#This Row],[Region_Clean]])</f>
        <v>APAC</v>
      </c>
      <c r="H318" t="s">
        <v>24</v>
      </c>
      <c r="I318" t="s">
        <v>25</v>
      </c>
      <c r="J318" s="3">
        <v>2</v>
      </c>
      <c r="K318" s="3">
        <v>853.13</v>
      </c>
      <c r="L318">
        <v>950</v>
      </c>
      <c r="M318">
        <v>1900</v>
      </c>
      <c r="N318">
        <v>193.74</v>
      </c>
      <c r="O318">
        <v>1706.26</v>
      </c>
      <c r="P318" t="s">
        <v>26</v>
      </c>
      <c r="Q318" t="s">
        <v>65</v>
      </c>
      <c r="R318" t="s">
        <v>44</v>
      </c>
      <c r="S318" t="str">
        <f>TRIM(PROPER(_xlfn.XLOOKUP(Table1[[#This Row],[ProductID_Clean]],Table3[ProductID],Table3[Category],"Missing Value",0)))</f>
        <v>Instruments</v>
      </c>
      <c r="T318" t="str">
        <f>_xlfn.XLOOKUP(Table1[[#This Row],[CustomerID_Check]],Table2[CustomerID],Table2[CustomerType],"Missing Value",0)</f>
        <v>Key Account</v>
      </c>
    </row>
    <row r="319" spans="1:20">
      <c r="A319" t="s">
        <v>532</v>
      </c>
      <c r="B319" s="1">
        <v>45749</v>
      </c>
      <c r="C319" t="s">
        <v>533</v>
      </c>
      <c r="D319" t="str">
        <f>UPPER(Table1[[#This Row],[ProductID_Clean]])</f>
        <v>P-SI-001</v>
      </c>
      <c r="E319" t="s">
        <v>72</v>
      </c>
      <c r="F319" t="s">
        <v>58</v>
      </c>
      <c r="G319" t="str">
        <f>TRIM(Table1[[#This Row],[Region_Clean]])</f>
        <v>APAC</v>
      </c>
      <c r="H319" t="s">
        <v>24</v>
      </c>
      <c r="I319" t="s">
        <v>87</v>
      </c>
      <c r="J319" s="3">
        <v>1</v>
      </c>
      <c r="K319" s="3">
        <v>379.84</v>
      </c>
      <c r="L319">
        <v>485</v>
      </c>
      <c r="M319">
        <v>485</v>
      </c>
      <c r="N319">
        <v>105.16</v>
      </c>
      <c r="O319">
        <v>379.84</v>
      </c>
      <c r="P319" t="s">
        <v>26</v>
      </c>
      <c r="Q319" t="s">
        <v>27</v>
      </c>
      <c r="R319" t="s">
        <v>44</v>
      </c>
      <c r="S319" t="str">
        <f>TRIM(PROPER(_xlfn.XLOOKUP(Table1[[#This Row],[ProductID_Clean]],Table3[ProductID],Table3[Category],"Missing Value",0)))</f>
        <v>Sensors</v>
      </c>
      <c r="T319" t="str">
        <f>_xlfn.XLOOKUP(Table1[[#This Row],[CustomerID_Check]],Table2[CustomerID],Table2[CustomerType],"Missing Value",0)</f>
        <v>Standard</v>
      </c>
    </row>
    <row r="320" spans="1:20">
      <c r="A320" t="s">
        <v>534</v>
      </c>
      <c r="B320" s="1">
        <v>45759</v>
      </c>
      <c r="C320" t="s">
        <v>535</v>
      </c>
      <c r="D320" t="str">
        <f>UPPER(Table1[[#This Row],[ProductID_Clean]])</f>
        <v>P-SI-003</v>
      </c>
      <c r="E320" t="s">
        <v>39</v>
      </c>
      <c r="F320" t="s">
        <v>23</v>
      </c>
      <c r="G320" t="str">
        <f>TRIM(Table1[[#This Row],[Region_Clean]])</f>
        <v>N. AMERICA</v>
      </c>
      <c r="H320" t="s">
        <v>24</v>
      </c>
      <c r="I320" t="s">
        <v>98</v>
      </c>
      <c r="J320" s="3">
        <v>8</v>
      </c>
      <c r="K320" s="3">
        <v>1718.46</v>
      </c>
      <c r="L320">
        <v>1890</v>
      </c>
      <c r="M320">
        <v>15120</v>
      </c>
      <c r="N320">
        <v>1372.32</v>
      </c>
      <c r="O320">
        <v>13747.68</v>
      </c>
      <c r="P320" t="s">
        <v>26</v>
      </c>
      <c r="Q320" t="s">
        <v>35</v>
      </c>
      <c r="R320" t="s">
        <v>36</v>
      </c>
      <c r="S320" t="str">
        <f>TRIM(PROPER(_xlfn.XLOOKUP(Table1[[#This Row],[ProductID_Clean]],Table3[ProductID],Table3[Category],"Missing Value",0)))</f>
        <v>Instruments</v>
      </c>
      <c r="T320" t="str">
        <f>_xlfn.XLOOKUP(Table1[[#This Row],[CustomerID_Check]],Table2[CustomerID],Table2[CustomerType],"Missing Value",0)</f>
        <v>Emerging</v>
      </c>
    </row>
    <row r="321" spans="1:20">
      <c r="A321" t="s">
        <v>536</v>
      </c>
      <c r="B321" s="1">
        <v>45706</v>
      </c>
      <c r="C321" t="s">
        <v>533</v>
      </c>
      <c r="D321" t="str">
        <f>UPPER(Table1[[#This Row],[ProductID_Clean]])</f>
        <v>P-SI-001</v>
      </c>
      <c r="E321" t="s">
        <v>72</v>
      </c>
      <c r="F321" t="s">
        <v>58</v>
      </c>
      <c r="G321" t="str">
        <f>TRIM(Table1[[#This Row],[Region_Clean]])</f>
        <v>APAC</v>
      </c>
      <c r="H321" t="s">
        <v>24</v>
      </c>
      <c r="I321" t="s">
        <v>87</v>
      </c>
      <c r="J321" s="3">
        <v>3</v>
      </c>
      <c r="K321" s="3">
        <v>421.01</v>
      </c>
      <c r="L321">
        <v>485</v>
      </c>
      <c r="M321">
        <v>1455</v>
      </c>
      <c r="N321">
        <v>191.97</v>
      </c>
      <c r="O321">
        <v>1263.03</v>
      </c>
      <c r="P321" t="s">
        <v>26</v>
      </c>
      <c r="Q321" t="s">
        <v>35</v>
      </c>
      <c r="R321" t="s">
        <v>44</v>
      </c>
      <c r="S321" t="str">
        <f>TRIM(PROPER(_xlfn.XLOOKUP(Table1[[#This Row],[ProductID_Clean]],Table3[ProductID],Table3[Category],"Missing Value",0)))</f>
        <v>Sensors</v>
      </c>
      <c r="T321" t="str">
        <f>_xlfn.XLOOKUP(Table1[[#This Row],[CustomerID_Check]],Table2[CustomerID],Table2[CustomerType],"Missing Value",0)</f>
        <v>Standard</v>
      </c>
    </row>
    <row r="322" spans="1:20">
      <c r="A322" t="s">
        <v>537</v>
      </c>
      <c r="B322" s="1">
        <v>45774</v>
      </c>
      <c r="C322" t="s">
        <v>146</v>
      </c>
      <c r="D322" t="str">
        <f>UPPER(Table1[[#This Row],[ProductID_Clean]])</f>
        <v>P-SI-004</v>
      </c>
      <c r="E322" t="s">
        <v>22</v>
      </c>
      <c r="F322" t="s">
        <v>47</v>
      </c>
      <c r="G322" t="str">
        <f>TRIM(Table1[[#This Row],[Region_Clean]])</f>
        <v>EMEA</v>
      </c>
      <c r="H322" t="s">
        <v>24</v>
      </c>
      <c r="I322" t="s">
        <v>34</v>
      </c>
      <c r="J322" s="3">
        <v>4</v>
      </c>
      <c r="K322" s="3">
        <v>2170.4</v>
      </c>
      <c r="L322">
        <v>2450</v>
      </c>
      <c r="M322">
        <v>9800</v>
      </c>
      <c r="N322">
        <v>1118.4000000000001</v>
      </c>
      <c r="O322">
        <v>8681.6</v>
      </c>
      <c r="P322" t="s">
        <v>26</v>
      </c>
      <c r="Q322" t="s">
        <v>35</v>
      </c>
      <c r="R322" t="s">
        <v>44</v>
      </c>
      <c r="S322" t="str">
        <f>TRIM(PROPER(_xlfn.XLOOKUP(Table1[[#This Row],[ProductID_Clean]],Table3[ProductID],Table3[Category],"Missing Value",0)))</f>
        <v>Instruments</v>
      </c>
      <c r="T322" t="str">
        <f>_xlfn.XLOOKUP(Table1[[#This Row],[CustomerID_Check]],Table2[CustomerID],Table2[CustomerType],"Missing Value",0)</f>
        <v>Key Account</v>
      </c>
    </row>
    <row r="323" spans="1:20">
      <c r="A323" t="s">
        <v>538</v>
      </c>
      <c r="B323" s="1">
        <v>45822</v>
      </c>
      <c r="C323" t="s">
        <v>116</v>
      </c>
      <c r="D323" t="str">
        <f>UPPER(Table1[[#This Row],[ProductID_Clean]])</f>
        <v>P-SA-005</v>
      </c>
      <c r="E323" t="s">
        <v>62</v>
      </c>
      <c r="F323" t="s">
        <v>47</v>
      </c>
      <c r="G323" t="str">
        <f>TRIM(Table1[[#This Row],[Region_Clean]])</f>
        <v>EMEA</v>
      </c>
      <c r="H323" t="s">
        <v>53</v>
      </c>
      <c r="I323" t="s">
        <v>184</v>
      </c>
      <c r="J323" s="3">
        <v>1</v>
      </c>
      <c r="K323" s="3">
        <v>2588.66</v>
      </c>
      <c r="L323">
        <v>3200</v>
      </c>
      <c r="M323">
        <v>3200</v>
      </c>
      <c r="N323">
        <v>611.34</v>
      </c>
      <c r="O323">
        <v>2588.66</v>
      </c>
      <c r="P323" t="s">
        <v>26</v>
      </c>
      <c r="Q323" t="s">
        <v>54</v>
      </c>
      <c r="R323" t="s">
        <v>28</v>
      </c>
      <c r="S323" t="str">
        <f>TRIM(PROPER(_xlfn.XLOOKUP(Table1[[#This Row],[ProductID_Clean]],Table3[ProductID],Table3[Category],"Missing Value",0)))</f>
        <v>Software / Integration</v>
      </c>
      <c r="T323" t="str">
        <f>_xlfn.XLOOKUP(Table1[[#This Row],[CustomerID_Check]],Table2[CustomerID],Table2[CustomerType],"Missing Value",0)</f>
        <v>Standard</v>
      </c>
    </row>
    <row r="324" spans="1:20">
      <c r="A324" t="s">
        <v>539</v>
      </c>
      <c r="B324" s="1">
        <v>45810</v>
      </c>
      <c r="C324" t="s">
        <v>114</v>
      </c>
      <c r="D324" t="str">
        <f>UPPER(Table1[[#This Row],[ProductID_Clean]])</f>
        <v>P-SI-001</v>
      </c>
      <c r="E324" t="s">
        <v>72</v>
      </c>
      <c r="F324" t="s">
        <v>47</v>
      </c>
      <c r="G324" t="str">
        <f>TRIM(Table1[[#This Row],[Region_Clean]])</f>
        <v>EMEA</v>
      </c>
      <c r="H324" t="s">
        <v>24</v>
      </c>
      <c r="I324" t="s">
        <v>25</v>
      </c>
      <c r="J324" s="3">
        <v>1</v>
      </c>
      <c r="K324" s="3">
        <v>455.67</v>
      </c>
      <c r="L324">
        <v>485</v>
      </c>
      <c r="M324">
        <v>485</v>
      </c>
      <c r="N324">
        <v>29.33</v>
      </c>
      <c r="O324">
        <v>455.67</v>
      </c>
      <c r="P324" t="s">
        <v>26</v>
      </c>
      <c r="Q324" t="s">
        <v>35</v>
      </c>
      <c r="R324" t="s">
        <v>36</v>
      </c>
      <c r="S324" t="str">
        <f>TRIM(PROPER(_xlfn.XLOOKUP(Table1[[#This Row],[ProductID_Clean]],Table3[ProductID],Table3[Category],"Missing Value",0)))</f>
        <v>Sensors</v>
      </c>
      <c r="T324" t="str">
        <f>_xlfn.XLOOKUP(Table1[[#This Row],[CustomerID_Check]],Table2[CustomerID],Table2[CustomerType],"Missing Value",0)</f>
        <v>Standard</v>
      </c>
    </row>
    <row r="325" spans="1:20">
      <c r="A325" t="s">
        <v>540</v>
      </c>
      <c r="B325" s="1">
        <v>45670</v>
      </c>
      <c r="C325" t="s">
        <v>541</v>
      </c>
      <c r="D325" t="str">
        <f>UPPER(Table1[[#This Row],[ProductID_Clean]])</f>
        <v>P-SI-007</v>
      </c>
      <c r="E325" t="s">
        <v>97</v>
      </c>
      <c r="F325" t="s">
        <v>23</v>
      </c>
      <c r="G325" t="str">
        <f>TRIM(Table1[[#This Row],[Region_Clean]])</f>
        <v>N. AMERICA</v>
      </c>
      <c r="H325" t="s">
        <v>24</v>
      </c>
      <c r="I325" t="s">
        <v>87</v>
      </c>
      <c r="J325" s="3">
        <v>1</v>
      </c>
      <c r="K325" s="3">
        <v>822.46</v>
      </c>
      <c r="L325">
        <v>980</v>
      </c>
      <c r="M325">
        <v>980</v>
      </c>
      <c r="N325">
        <v>157.54</v>
      </c>
      <c r="O325">
        <v>822.46</v>
      </c>
      <c r="P325" t="s">
        <v>26</v>
      </c>
      <c r="Q325" t="s">
        <v>35</v>
      </c>
      <c r="R325" t="s">
        <v>48</v>
      </c>
      <c r="S325" t="str">
        <f>TRIM(PROPER(_xlfn.XLOOKUP(Table1[[#This Row],[ProductID_Clean]],Table3[ProductID],Table3[Category],"Missing Value",0)))</f>
        <v>Sensors</v>
      </c>
      <c r="T325" t="str">
        <f>_xlfn.XLOOKUP(Table1[[#This Row],[CustomerID_Check]],Table2[CustomerID],Table2[CustomerType],"Missing Value",0)</f>
        <v>Standard</v>
      </c>
    </row>
    <row r="326" spans="1:20">
      <c r="A326" t="s">
        <v>542</v>
      </c>
      <c r="B326" s="1">
        <v>45720</v>
      </c>
      <c r="C326" t="s">
        <v>89</v>
      </c>
      <c r="D326" t="str">
        <f>UPPER(Table1[[#This Row],[ProductID_Clean]])</f>
        <v>P-SI-006</v>
      </c>
      <c r="E326" t="s">
        <v>43</v>
      </c>
      <c r="F326" t="s">
        <v>58</v>
      </c>
      <c r="G326" t="str">
        <f>TRIM(Table1[[#This Row],[Region_Clean]])</f>
        <v>APAC</v>
      </c>
      <c r="H326" t="s">
        <v>24</v>
      </c>
      <c r="I326" t="s">
        <v>25</v>
      </c>
      <c r="J326" s="3">
        <v>4</v>
      </c>
      <c r="K326" s="3">
        <v>167.71</v>
      </c>
      <c r="L326">
        <v>215</v>
      </c>
      <c r="M326">
        <v>860</v>
      </c>
      <c r="N326">
        <v>189.16</v>
      </c>
      <c r="O326">
        <v>670.84</v>
      </c>
      <c r="P326" t="s">
        <v>26</v>
      </c>
      <c r="Q326" t="s">
        <v>27</v>
      </c>
      <c r="R326" t="s">
        <v>44</v>
      </c>
      <c r="S326" t="str">
        <f>TRIM(PROPER(_xlfn.XLOOKUP(Table1[[#This Row],[ProductID_Clean]],Table3[ProductID],Table3[Category],"Missing Value",0)))</f>
        <v>Sensors</v>
      </c>
      <c r="T326" t="str">
        <f>_xlfn.XLOOKUP(Table1[[#This Row],[CustomerID_Check]],Table2[CustomerID],Table2[CustomerType],"Missing Value",0)</f>
        <v>Strategic</v>
      </c>
    </row>
    <row r="327" spans="1:20">
      <c r="A327" t="s">
        <v>543</v>
      </c>
      <c r="B327" s="1">
        <v>45802</v>
      </c>
      <c r="C327" t="s">
        <v>106</v>
      </c>
      <c r="D327" t="str">
        <f>UPPER(Table1[[#This Row],[ProductID_Clean]])</f>
        <v>P-FS-002</v>
      </c>
      <c r="E327" t="s">
        <v>81</v>
      </c>
      <c r="F327" t="s">
        <v>58</v>
      </c>
      <c r="G327" t="str">
        <f>TRIM(Table1[[#This Row],[Region_Clean]])</f>
        <v>APAC</v>
      </c>
      <c r="H327" t="s">
        <v>82</v>
      </c>
      <c r="I327" t="s">
        <v>25</v>
      </c>
      <c r="J327" s="3">
        <v>1</v>
      </c>
      <c r="K327" s="3">
        <v>2156.94</v>
      </c>
      <c r="L327">
        <v>2400</v>
      </c>
      <c r="M327">
        <v>2400</v>
      </c>
      <c r="N327">
        <v>243.06</v>
      </c>
      <c r="O327">
        <v>2156.94</v>
      </c>
      <c r="P327" t="s">
        <v>26</v>
      </c>
      <c r="Q327" t="s">
        <v>83</v>
      </c>
      <c r="R327" t="s">
        <v>59</v>
      </c>
      <c r="S327" t="str">
        <f>TRIM(PROPER(_xlfn.XLOOKUP(Table1[[#This Row],[ProductID_Clean]],Table3[ProductID],Table3[Category],"Missing Value",0)))</f>
        <v>Services</v>
      </c>
      <c r="T327" t="str">
        <f>_xlfn.XLOOKUP(Table1[[#This Row],[CustomerID_Check]],Table2[CustomerID],Table2[CustomerType],"Missing Value",0)</f>
        <v>Key Account</v>
      </c>
    </row>
    <row r="328" spans="1:20">
      <c r="A328" t="s">
        <v>544</v>
      </c>
      <c r="B328" s="1">
        <v>45675</v>
      </c>
      <c r="C328" t="s">
        <v>527</v>
      </c>
      <c r="D328" t="str">
        <f>UPPER(Table1[[#This Row],[ProductID_Clean]])</f>
        <v>P-SI-006</v>
      </c>
      <c r="E328" t="s">
        <v>43</v>
      </c>
      <c r="F328" t="s">
        <v>23</v>
      </c>
      <c r="G328" t="str">
        <f>TRIM(Table1[[#This Row],[Region_Clean]])</f>
        <v>N. AMERICA</v>
      </c>
      <c r="H328" t="s">
        <v>24</v>
      </c>
      <c r="I328" t="s">
        <v>25</v>
      </c>
      <c r="J328" s="3">
        <v>1</v>
      </c>
      <c r="K328" s="3">
        <v>172.39</v>
      </c>
      <c r="L328">
        <v>215</v>
      </c>
      <c r="M328">
        <v>215</v>
      </c>
      <c r="N328">
        <v>42.61</v>
      </c>
      <c r="O328">
        <v>172.39</v>
      </c>
      <c r="P328" t="s">
        <v>26</v>
      </c>
      <c r="Q328" t="s">
        <v>35</v>
      </c>
      <c r="R328" t="s">
        <v>44</v>
      </c>
      <c r="S328" t="str">
        <f>TRIM(PROPER(_xlfn.XLOOKUP(Table1[[#This Row],[ProductID_Clean]],Table3[ProductID],Table3[Category],"Missing Value",0)))</f>
        <v>Sensors</v>
      </c>
      <c r="T328" t="str">
        <f>_xlfn.XLOOKUP(Table1[[#This Row],[CustomerID_Check]],Table2[CustomerID],Table2[CustomerType],"Missing Value",0)</f>
        <v>Standard</v>
      </c>
    </row>
    <row r="329" spans="1:20">
      <c r="A329" t="s">
        <v>545</v>
      </c>
      <c r="B329" s="1">
        <v>45711</v>
      </c>
      <c r="C329" t="s">
        <v>252</v>
      </c>
      <c r="D329" t="str">
        <f>UPPER(Table1[[#This Row],[ProductID_Clean]])</f>
        <v>P-FS-006</v>
      </c>
      <c r="E329" t="s">
        <v>92</v>
      </c>
      <c r="F329" t="s">
        <v>23</v>
      </c>
      <c r="G329" t="str">
        <f>TRIM(Table1[[#This Row],[Region_Clean]])</f>
        <v>N. AMERICA</v>
      </c>
      <c r="H329" t="s">
        <v>82</v>
      </c>
      <c r="I329" t="s">
        <v>87</v>
      </c>
      <c r="J329" s="3">
        <v>2</v>
      </c>
      <c r="K329" s="3">
        <v>1056.96</v>
      </c>
      <c r="L329">
        <v>1450</v>
      </c>
      <c r="M329">
        <v>2900</v>
      </c>
      <c r="N329">
        <v>786.08</v>
      </c>
      <c r="O329">
        <v>2113.92</v>
      </c>
      <c r="P329" t="s">
        <v>26</v>
      </c>
      <c r="Q329" t="s">
        <v>35</v>
      </c>
      <c r="R329" t="s">
        <v>44</v>
      </c>
      <c r="S329" t="str">
        <f>TRIM(PROPER(_xlfn.XLOOKUP(Table1[[#This Row],[ProductID_Clean]],Table3[ProductID],Table3[Category],"Missing Value",0)))</f>
        <v>Services</v>
      </c>
      <c r="T329" t="str">
        <f>_xlfn.XLOOKUP(Table1[[#This Row],[CustomerID_Check]],Table2[CustomerID],Table2[CustomerType],"Missing Value",0)</f>
        <v>Strategic</v>
      </c>
    </row>
    <row r="330" spans="1:20">
      <c r="A330" t="s">
        <v>546</v>
      </c>
      <c r="B330" s="1">
        <v>45713</v>
      </c>
      <c r="C330" t="s">
        <v>239</v>
      </c>
      <c r="D330" t="str">
        <f>UPPER(Table1[[#This Row],[ProductID_Clean]])</f>
        <v>P-SI-006</v>
      </c>
      <c r="E330" t="s">
        <v>43</v>
      </c>
      <c r="F330" t="s">
        <v>23</v>
      </c>
      <c r="G330" t="str">
        <f>TRIM(Table1[[#This Row],[Region_Clean]])</f>
        <v>N. AMERICA</v>
      </c>
      <c r="H330" t="s">
        <v>24</v>
      </c>
      <c r="I330" t="s">
        <v>87</v>
      </c>
      <c r="J330" s="3">
        <v>2</v>
      </c>
      <c r="K330" s="3">
        <v>157.51</v>
      </c>
      <c r="L330">
        <v>215</v>
      </c>
      <c r="M330">
        <v>430</v>
      </c>
      <c r="N330">
        <v>114.98</v>
      </c>
      <c r="O330">
        <v>315.02</v>
      </c>
      <c r="P330" t="s">
        <v>26</v>
      </c>
      <c r="Q330" t="s">
        <v>27</v>
      </c>
      <c r="R330" t="s">
        <v>44</v>
      </c>
      <c r="S330" t="str">
        <f>TRIM(PROPER(_xlfn.XLOOKUP(Table1[[#This Row],[ProductID_Clean]],Table3[ProductID],Table3[Category],"Missing Value",0)))</f>
        <v>Sensors</v>
      </c>
      <c r="T330" t="str">
        <f>_xlfn.XLOOKUP(Table1[[#This Row],[CustomerID_Check]],Table2[CustomerID],Table2[CustomerType],"Missing Value",0)</f>
        <v>Strategic</v>
      </c>
    </row>
    <row r="331" spans="1:20">
      <c r="A331" t="s">
        <v>547</v>
      </c>
      <c r="B331" s="1">
        <v>45742</v>
      </c>
      <c r="C331" t="s">
        <v>256</v>
      </c>
      <c r="D331" t="str">
        <f>UPPER(Table1[[#This Row],[ProductID_Clean]])</f>
        <v>P-SA-004</v>
      </c>
      <c r="E331" t="s">
        <v>86</v>
      </c>
      <c r="F331" t="s">
        <v>47</v>
      </c>
      <c r="G331" t="str">
        <f>TRIM(Table1[[#This Row],[Region_Clean]])</f>
        <v>EMEA</v>
      </c>
      <c r="H331" t="s">
        <v>53</v>
      </c>
      <c r="I331" t="s">
        <v>25</v>
      </c>
      <c r="J331" s="3">
        <v>1</v>
      </c>
      <c r="K331" s="3">
        <v>1349.68</v>
      </c>
      <c r="L331">
        <v>1650</v>
      </c>
      <c r="M331">
        <v>1650</v>
      </c>
      <c r="N331">
        <v>300.32</v>
      </c>
      <c r="O331">
        <v>1349.68</v>
      </c>
      <c r="P331" t="s">
        <v>26</v>
      </c>
      <c r="Q331" t="s">
        <v>88</v>
      </c>
      <c r="R331" t="s">
        <v>44</v>
      </c>
      <c r="S331" t="str">
        <f>TRIM(PROPER(_xlfn.XLOOKUP(Table1[[#This Row],[ProductID_Clean]],Table3[ProductID],Table3[Category],"Missing Value",0)))</f>
        <v>Software</v>
      </c>
      <c r="T331" t="str">
        <f>_xlfn.XLOOKUP(Table1[[#This Row],[CustomerID_Check]],Table2[CustomerID],Table2[CustomerType],"Missing Value",0)</f>
        <v>Strategic</v>
      </c>
    </row>
    <row r="332" spans="1:20">
      <c r="A332" t="s">
        <v>548</v>
      </c>
      <c r="B332" s="1">
        <v>45675</v>
      </c>
      <c r="C332" t="s">
        <v>307</v>
      </c>
      <c r="D332" t="str">
        <f>UPPER(Table1[[#This Row],[ProductID_Clean]])</f>
        <v>P-SA-002</v>
      </c>
      <c r="E332" t="s">
        <v>147</v>
      </c>
      <c r="F332" t="s">
        <v>52</v>
      </c>
      <c r="G332" t="str">
        <f>TRIM(Table1[[#This Row],[Region_Clean]])</f>
        <v>N. AMERICA</v>
      </c>
      <c r="H332" t="s">
        <v>53</v>
      </c>
      <c r="I332" t="s">
        <v>87</v>
      </c>
      <c r="J332" s="3">
        <v>1</v>
      </c>
      <c r="K332" s="3">
        <v>8150.84</v>
      </c>
      <c r="L332">
        <v>9800</v>
      </c>
      <c r="M332">
        <v>9800</v>
      </c>
      <c r="N332">
        <v>1649.1599999999999</v>
      </c>
      <c r="O332">
        <v>8150.84</v>
      </c>
      <c r="P332" t="s">
        <v>26</v>
      </c>
      <c r="Q332" t="s">
        <v>54</v>
      </c>
      <c r="R332" t="s">
        <v>36</v>
      </c>
      <c r="S332" t="str">
        <f>TRIM(PROPER(_xlfn.XLOOKUP(Table1[[#This Row],[ProductID_Clean]],Table3[ProductID],Table3[Category],"Missing Value",0)))</f>
        <v>Software</v>
      </c>
      <c r="T332" t="str">
        <f>_xlfn.XLOOKUP(Table1[[#This Row],[CustomerID_Check]],Table2[CustomerID],Table2[CustomerType],"Missing Value",0)</f>
        <v>Standard</v>
      </c>
    </row>
    <row r="333" spans="1:20">
      <c r="A333" t="s">
        <v>549</v>
      </c>
      <c r="B333" s="1">
        <v>45796</v>
      </c>
      <c r="C333" t="s">
        <v>246</v>
      </c>
      <c r="D333" t="str">
        <f>UPPER(Table1[[#This Row],[ProductID_Clean]])</f>
        <v>P-SA-002</v>
      </c>
      <c r="E333" t="s">
        <v>147</v>
      </c>
      <c r="F333" t="s">
        <v>23</v>
      </c>
      <c r="G333" t="str">
        <f>TRIM(Table1[[#This Row],[Region_Clean]])</f>
        <v>N. AMERICA</v>
      </c>
      <c r="H333" t="s">
        <v>53</v>
      </c>
      <c r="I333" t="s">
        <v>87</v>
      </c>
      <c r="J333" s="3">
        <v>1</v>
      </c>
      <c r="K333" s="3">
        <v>7915.31</v>
      </c>
      <c r="L333">
        <v>9800</v>
      </c>
      <c r="M333">
        <v>9800</v>
      </c>
      <c r="N333">
        <v>1884.69</v>
      </c>
      <c r="O333">
        <v>7915.31</v>
      </c>
      <c r="P333" t="s">
        <v>26</v>
      </c>
      <c r="Q333" t="s">
        <v>54</v>
      </c>
      <c r="R333" t="s">
        <v>48</v>
      </c>
      <c r="S333" t="str">
        <f>TRIM(PROPER(_xlfn.XLOOKUP(Table1[[#This Row],[ProductID_Clean]],Table3[ProductID],Table3[Category],"Missing Value",0)))</f>
        <v>Software</v>
      </c>
      <c r="T333" t="str">
        <f>_xlfn.XLOOKUP(Table1[[#This Row],[CustomerID_Check]],Table2[CustomerID],Table2[CustomerType],"Missing Value",0)</f>
        <v>Key Account</v>
      </c>
    </row>
    <row r="334" spans="1:20">
      <c r="A334" t="s">
        <v>550</v>
      </c>
      <c r="B334" s="1">
        <v>45702</v>
      </c>
      <c r="C334" t="s">
        <v>112</v>
      </c>
      <c r="D334" t="str">
        <f>UPPER(Table1[[#This Row],[ProductID_Clean]])</f>
        <v>P-SI-001</v>
      </c>
      <c r="E334" t="s">
        <v>72</v>
      </c>
      <c r="F334" t="s">
        <v>58</v>
      </c>
      <c r="G334" t="str">
        <f>TRIM(Table1[[#This Row],[Region_Clean]])</f>
        <v>APAC</v>
      </c>
      <c r="H334" t="s">
        <v>24</v>
      </c>
      <c r="I334" t="s">
        <v>98</v>
      </c>
      <c r="J334" s="3">
        <v>5</v>
      </c>
      <c r="K334" s="3">
        <v>404.73</v>
      </c>
      <c r="L334">
        <v>485</v>
      </c>
      <c r="M334">
        <v>2425</v>
      </c>
      <c r="N334">
        <v>401.35</v>
      </c>
      <c r="O334">
        <v>2023.65</v>
      </c>
      <c r="P334" t="s">
        <v>26</v>
      </c>
      <c r="Q334" t="s">
        <v>35</v>
      </c>
      <c r="R334" t="s">
        <v>36</v>
      </c>
      <c r="S334" t="str">
        <f>TRIM(PROPER(_xlfn.XLOOKUP(Table1[[#This Row],[ProductID_Clean]],Table3[ProductID],Table3[Category],"Missing Value",0)))</f>
        <v>Sensors</v>
      </c>
      <c r="T334" t="str">
        <f>_xlfn.XLOOKUP(Table1[[#This Row],[CustomerID_Check]],Table2[CustomerID],Table2[CustomerType],"Missing Value",0)</f>
        <v>Key Account</v>
      </c>
    </row>
    <row r="335" spans="1:20">
      <c r="A335" t="s">
        <v>551</v>
      </c>
      <c r="B335" s="1">
        <v>45827</v>
      </c>
      <c r="C335" t="s">
        <v>143</v>
      </c>
      <c r="D335" t="str">
        <f>UPPER(Table1[[#This Row],[ProductID_Clean]])</f>
        <v>P-SI-004</v>
      </c>
      <c r="E335" t="s">
        <v>22</v>
      </c>
      <c r="F335" t="s">
        <v>23</v>
      </c>
      <c r="G335" t="str">
        <f>TRIM(Table1[[#This Row],[Region_Clean]])</f>
        <v>N. AMERICA</v>
      </c>
      <c r="H335" t="s">
        <v>24</v>
      </c>
      <c r="I335" t="s">
        <v>25</v>
      </c>
      <c r="J335" s="3">
        <v>1</v>
      </c>
      <c r="K335" s="3">
        <v>2041.36</v>
      </c>
      <c r="L335">
        <v>2450</v>
      </c>
      <c r="M335">
        <v>2450</v>
      </c>
      <c r="N335">
        <v>408.64</v>
      </c>
      <c r="O335">
        <v>2041.36</v>
      </c>
      <c r="P335" t="s">
        <v>26</v>
      </c>
      <c r="Q335" t="s">
        <v>35</v>
      </c>
      <c r="R335" t="s">
        <v>28</v>
      </c>
      <c r="S335" t="str">
        <f>TRIM(PROPER(_xlfn.XLOOKUP(Table1[[#This Row],[ProductID_Clean]],Table3[ProductID],Table3[Category],"Missing Value",0)))</f>
        <v>Instruments</v>
      </c>
      <c r="T335" t="str">
        <f>_xlfn.XLOOKUP(Table1[[#This Row],[CustomerID_Check]],Table2[CustomerID],Table2[CustomerType],"Missing Value",0)</f>
        <v>Strategic</v>
      </c>
    </row>
    <row r="336" spans="1:20">
      <c r="A336" t="s">
        <v>552</v>
      </c>
      <c r="B336" s="1">
        <v>45691</v>
      </c>
      <c r="C336" t="s">
        <v>182</v>
      </c>
      <c r="D336" t="str">
        <f>UPPER(Table1[[#This Row],[ProductID_Clean]])</f>
        <v>P-FS-005</v>
      </c>
      <c r="E336" t="s">
        <v>101</v>
      </c>
      <c r="F336" t="s">
        <v>47</v>
      </c>
      <c r="G336" t="str">
        <f>TRIM(Table1[[#This Row],[Region_Clean]])</f>
        <v>EMEA</v>
      </c>
      <c r="H336" t="s">
        <v>82</v>
      </c>
      <c r="I336" t="s">
        <v>87</v>
      </c>
      <c r="J336" s="3">
        <v>1</v>
      </c>
      <c r="K336" s="3">
        <v>659.58</v>
      </c>
      <c r="L336">
        <v>950</v>
      </c>
      <c r="M336">
        <v>950</v>
      </c>
      <c r="N336">
        <v>290.42</v>
      </c>
      <c r="O336">
        <v>659.58</v>
      </c>
      <c r="P336" t="s">
        <v>26</v>
      </c>
      <c r="Q336" t="s">
        <v>35</v>
      </c>
      <c r="R336" t="s">
        <v>44</v>
      </c>
      <c r="S336" t="str">
        <f>TRIM(PROPER(_xlfn.XLOOKUP(Table1[[#This Row],[ProductID_Clean]],Table3[ProductID],Table3[Category],"Missing Value",0)))</f>
        <v>Services</v>
      </c>
      <c r="T336" t="str">
        <f>_xlfn.XLOOKUP(Table1[[#This Row],[CustomerID_Check]],Table2[CustomerID],Table2[CustomerType],"Missing Value",0)</f>
        <v>Key Account</v>
      </c>
    </row>
    <row r="337" spans="1:20">
      <c r="A337" t="s">
        <v>553</v>
      </c>
      <c r="B337" s="1">
        <v>45808</v>
      </c>
      <c r="C337" t="s">
        <v>554</v>
      </c>
      <c r="D337" t="str">
        <f>UPPER(Table1[[#This Row],[ProductID_Clean]])</f>
        <v>P-SA-002</v>
      </c>
      <c r="E337" t="s">
        <v>147</v>
      </c>
      <c r="F337" t="s">
        <v>47</v>
      </c>
      <c r="G337" t="str">
        <f>TRIM(Table1[[#This Row],[Region_Clean]])</f>
        <v>EMEA</v>
      </c>
      <c r="H337" t="s">
        <v>53</v>
      </c>
      <c r="I337" t="s">
        <v>25</v>
      </c>
      <c r="J337" s="3">
        <v>1</v>
      </c>
      <c r="K337" s="3">
        <v>8311.75</v>
      </c>
      <c r="L337">
        <v>9800</v>
      </c>
      <c r="M337">
        <v>9800</v>
      </c>
      <c r="N337">
        <v>1488.25</v>
      </c>
      <c r="O337">
        <v>8311.75</v>
      </c>
      <c r="P337" t="s">
        <v>26</v>
      </c>
      <c r="Q337" t="s">
        <v>54</v>
      </c>
      <c r="R337" t="s">
        <v>28</v>
      </c>
      <c r="S337" t="str">
        <f>TRIM(PROPER(_xlfn.XLOOKUP(Table1[[#This Row],[ProductID_Clean]],Table3[ProductID],Table3[Category],"Missing Value",0)))</f>
        <v>Software</v>
      </c>
      <c r="T337" t="str">
        <f>_xlfn.XLOOKUP(Table1[[#This Row],[CustomerID_Check]],Table2[CustomerID],Table2[CustomerType],"Missing Value",0)</f>
        <v>Standard</v>
      </c>
    </row>
    <row r="338" spans="1:20">
      <c r="A338" t="s">
        <v>555</v>
      </c>
      <c r="B338" s="1">
        <v>45725</v>
      </c>
      <c r="C338" t="s">
        <v>182</v>
      </c>
      <c r="D338" t="str">
        <f>UPPER(Table1[[#This Row],[ProductID_Clean]])</f>
        <v>P-SA-001</v>
      </c>
      <c r="E338" t="s">
        <v>68</v>
      </c>
      <c r="F338" t="s">
        <v>47</v>
      </c>
      <c r="G338" t="str">
        <f>TRIM(Table1[[#This Row],[Region_Clean]])</f>
        <v>EMEA</v>
      </c>
      <c r="H338" t="s">
        <v>53</v>
      </c>
      <c r="I338" t="s">
        <v>87</v>
      </c>
      <c r="J338" s="3">
        <v>1</v>
      </c>
      <c r="K338" s="3">
        <v>3702.34</v>
      </c>
      <c r="L338">
        <v>4200</v>
      </c>
      <c r="M338">
        <v>4200</v>
      </c>
      <c r="N338">
        <v>497.66</v>
      </c>
      <c r="O338">
        <v>3702.34</v>
      </c>
      <c r="P338" t="s">
        <v>26</v>
      </c>
      <c r="Q338" t="s">
        <v>189</v>
      </c>
      <c r="R338" t="s">
        <v>44</v>
      </c>
      <c r="S338" t="str">
        <f>TRIM(PROPER(_xlfn.XLOOKUP(Table1[[#This Row],[ProductID_Clean]],Table3[ProductID],Table3[Category],"Missing Value",0)))</f>
        <v>Software</v>
      </c>
      <c r="T338" t="str">
        <f>_xlfn.XLOOKUP(Table1[[#This Row],[CustomerID_Check]],Table2[CustomerID],Table2[CustomerType],"Missing Value",0)</f>
        <v>Key Account</v>
      </c>
    </row>
    <row r="339" spans="1:20">
      <c r="A339" t="s">
        <v>556</v>
      </c>
      <c r="B339" s="1">
        <v>45690</v>
      </c>
      <c r="C339" t="s">
        <v>557</v>
      </c>
      <c r="D339" t="str">
        <f>UPPER(Table1[[#This Row],[ProductID_Clean]])</f>
        <v>P-SI-001</v>
      </c>
      <c r="E339" t="s">
        <v>72</v>
      </c>
      <c r="F339" t="s">
        <v>23</v>
      </c>
      <c r="G339" t="str">
        <f>TRIM(Table1[[#This Row],[Region_Clean]])</f>
        <v>N. AMERICA</v>
      </c>
      <c r="H339" t="s">
        <v>24</v>
      </c>
      <c r="I339" t="s">
        <v>87</v>
      </c>
      <c r="J339" s="3">
        <v>8</v>
      </c>
      <c r="K339" s="3">
        <v>419.95</v>
      </c>
      <c r="L339">
        <v>485</v>
      </c>
      <c r="M339">
        <v>3880</v>
      </c>
      <c r="N339">
        <v>520.4</v>
      </c>
      <c r="O339">
        <v>3359.6</v>
      </c>
      <c r="P339" t="s">
        <v>26</v>
      </c>
      <c r="Q339" t="s">
        <v>27</v>
      </c>
      <c r="R339" t="s">
        <v>36</v>
      </c>
      <c r="S339" t="str">
        <f>TRIM(PROPER(_xlfn.XLOOKUP(Table1[[#This Row],[ProductID_Clean]],Table3[ProductID],Table3[Category],"Missing Value",0)))</f>
        <v>Sensors</v>
      </c>
      <c r="T339" t="str">
        <f>_xlfn.XLOOKUP(Table1[[#This Row],[CustomerID_Check]],Table2[CustomerID],Table2[CustomerType],"Missing Value",0)</f>
        <v>Standard</v>
      </c>
    </row>
    <row r="340" spans="1:20">
      <c r="A340" t="s">
        <v>558</v>
      </c>
      <c r="B340" s="1">
        <v>45765</v>
      </c>
      <c r="C340" t="s">
        <v>559</v>
      </c>
      <c r="D340" t="str">
        <f>UPPER(Table1[[#This Row],[ProductID_Clean]])</f>
        <v>P-SI-001</v>
      </c>
      <c r="E340" t="s">
        <v>72</v>
      </c>
      <c r="F340" t="s">
        <v>58</v>
      </c>
      <c r="G340" t="str">
        <f>TRIM(Table1[[#This Row],[Region_Clean]])</f>
        <v>APAC</v>
      </c>
      <c r="H340" t="s">
        <v>24</v>
      </c>
      <c r="I340" t="s">
        <v>25</v>
      </c>
      <c r="J340" s="3">
        <v>4</v>
      </c>
      <c r="K340" s="3">
        <v>461.83</v>
      </c>
      <c r="L340">
        <v>485</v>
      </c>
      <c r="M340">
        <v>1940</v>
      </c>
      <c r="N340">
        <v>92.68</v>
      </c>
      <c r="O340">
        <v>1847.32</v>
      </c>
      <c r="P340" t="s">
        <v>126</v>
      </c>
      <c r="Q340" t="s">
        <v>65</v>
      </c>
      <c r="R340" t="s">
        <v>36</v>
      </c>
      <c r="S340" t="str">
        <f>TRIM(PROPER(_xlfn.XLOOKUP(Table1[[#This Row],[ProductID_Clean]],Table3[ProductID],Table3[Category],"Missing Value",0)))</f>
        <v>Sensors</v>
      </c>
      <c r="T340" t="str">
        <f>_xlfn.XLOOKUP(Table1[[#This Row],[CustomerID_Check]],Table2[CustomerID],Table2[CustomerType],"Missing Value",0)</f>
        <v>Standard</v>
      </c>
    </row>
    <row r="341" spans="1:20">
      <c r="A341" t="s">
        <v>560</v>
      </c>
      <c r="B341" s="1">
        <v>45687</v>
      </c>
      <c r="C341" t="s">
        <v>463</v>
      </c>
      <c r="D341" t="str">
        <f>UPPER(Table1[[#This Row],[ProductID_Clean]])</f>
        <v>P-SI-007</v>
      </c>
      <c r="E341" t="s">
        <v>97</v>
      </c>
      <c r="F341" t="s">
        <v>102</v>
      </c>
      <c r="G341" t="str">
        <f>TRIM(Table1[[#This Row],[Region_Clean]])</f>
        <v>EMEA</v>
      </c>
      <c r="H341" t="s">
        <v>24</v>
      </c>
      <c r="I341" t="s">
        <v>25</v>
      </c>
      <c r="J341" s="3">
        <v>1</v>
      </c>
      <c r="K341" s="3">
        <v>880.97</v>
      </c>
      <c r="L341">
        <v>980</v>
      </c>
      <c r="M341">
        <v>980</v>
      </c>
      <c r="N341">
        <v>99.03</v>
      </c>
      <c r="O341">
        <v>880.97</v>
      </c>
      <c r="P341" t="s">
        <v>26</v>
      </c>
      <c r="Q341" t="s">
        <v>35</v>
      </c>
      <c r="R341" t="s">
        <v>48</v>
      </c>
      <c r="S341" t="str">
        <f>TRIM(PROPER(_xlfn.XLOOKUP(Table1[[#This Row],[ProductID_Clean]],Table3[ProductID],Table3[Category],"Missing Value",0)))</f>
        <v>Sensors</v>
      </c>
      <c r="T341" t="str">
        <f>_xlfn.XLOOKUP(Table1[[#This Row],[CustomerID_Check]],Table2[CustomerID],Table2[CustomerType],"Missing Value",0)</f>
        <v>Key Account</v>
      </c>
    </row>
    <row r="342" spans="1:20">
      <c r="A342" t="s">
        <v>561</v>
      </c>
      <c r="B342" s="1">
        <v>45772</v>
      </c>
      <c r="C342" t="s">
        <v>197</v>
      </c>
      <c r="D342" t="str">
        <f>UPPER(Table1[[#This Row],[ProductID_Clean]])</f>
        <v>P-SI-005</v>
      </c>
      <c r="E342" t="s">
        <v>57</v>
      </c>
      <c r="F342" t="s">
        <v>58</v>
      </c>
      <c r="G342" t="str">
        <f>TRIM(Table1[[#This Row],[Region_Clean]])</f>
        <v>APAC</v>
      </c>
      <c r="H342" t="s">
        <v>24</v>
      </c>
      <c r="I342" t="s">
        <v>40</v>
      </c>
      <c r="J342" s="3">
        <v>1</v>
      </c>
      <c r="K342" s="3">
        <v>910.66</v>
      </c>
      <c r="L342">
        <v>1120</v>
      </c>
      <c r="M342">
        <v>1120</v>
      </c>
      <c r="N342">
        <v>209.34</v>
      </c>
      <c r="O342">
        <v>910.66</v>
      </c>
      <c r="P342" t="s">
        <v>26</v>
      </c>
      <c r="Q342" t="s">
        <v>65</v>
      </c>
      <c r="R342" t="s">
        <v>28</v>
      </c>
      <c r="S342" t="str">
        <f>TRIM(PROPER(_xlfn.XLOOKUP(Table1[[#This Row],[ProductID_Clean]],Table3[ProductID],Table3[Category],"Missing Value",0)))</f>
        <v>Sensors</v>
      </c>
      <c r="T342" t="str">
        <f>_xlfn.XLOOKUP(Table1[[#This Row],[CustomerID_Check]],Table2[CustomerID],Table2[CustomerType],"Missing Value",0)</f>
        <v>Strategic</v>
      </c>
    </row>
    <row r="343" spans="1:20">
      <c r="A343" t="s">
        <v>562</v>
      </c>
      <c r="B343" s="1">
        <v>45789</v>
      </c>
      <c r="C343" t="s">
        <v>563</v>
      </c>
      <c r="D343" t="str">
        <f>UPPER(Table1[[#This Row],[ProductID_Clean]])</f>
        <v>P-SI-005</v>
      </c>
      <c r="E343" t="s">
        <v>57</v>
      </c>
      <c r="F343" t="s">
        <v>23</v>
      </c>
      <c r="G343" t="str">
        <f>TRIM(Table1[[#This Row],[Region_Clean]])</f>
        <v>N. AMERICA</v>
      </c>
      <c r="H343" t="s">
        <v>24</v>
      </c>
      <c r="I343" t="s">
        <v>87</v>
      </c>
      <c r="J343" s="3">
        <v>2</v>
      </c>
      <c r="K343" s="3">
        <v>913.81</v>
      </c>
      <c r="L343">
        <v>1120</v>
      </c>
      <c r="M343">
        <v>2240</v>
      </c>
      <c r="N343">
        <v>412.38</v>
      </c>
      <c r="O343">
        <v>1827.62</v>
      </c>
      <c r="P343" t="s">
        <v>26</v>
      </c>
      <c r="Q343" t="s">
        <v>35</v>
      </c>
      <c r="R343" t="s">
        <v>28</v>
      </c>
      <c r="S343" t="str">
        <f>TRIM(PROPER(_xlfn.XLOOKUP(Table1[[#This Row],[ProductID_Clean]],Table3[ProductID],Table3[Category],"Missing Value",0)))</f>
        <v>Sensors</v>
      </c>
      <c r="T343" t="str">
        <f>_xlfn.XLOOKUP(Table1[[#This Row],[CustomerID_Check]],Table2[CustomerID],Table2[CustomerType],"Missing Value",0)</f>
        <v>Standard</v>
      </c>
    </row>
    <row r="344" spans="1:20">
      <c r="A344" t="s">
        <v>564</v>
      </c>
      <c r="B344" s="1">
        <v>45685</v>
      </c>
      <c r="C344" t="s">
        <v>200</v>
      </c>
      <c r="D344" t="str">
        <f>UPPER(Table1[[#This Row],[ProductID_Clean]])</f>
        <v>P-SI-008</v>
      </c>
      <c r="E344" t="s">
        <v>152</v>
      </c>
      <c r="F344" t="s">
        <v>47</v>
      </c>
      <c r="G344" t="str">
        <f>TRIM(Table1[[#This Row],[Region_Clean]])</f>
        <v>EMEA</v>
      </c>
      <c r="H344" t="s">
        <v>24</v>
      </c>
      <c r="I344" t="s">
        <v>87</v>
      </c>
      <c r="J344" s="3">
        <v>4</v>
      </c>
      <c r="K344" s="3">
        <v>730.4</v>
      </c>
      <c r="L344">
        <v>950</v>
      </c>
      <c r="M344">
        <v>3800</v>
      </c>
      <c r="N344">
        <v>878.4</v>
      </c>
      <c r="O344">
        <v>2921.6</v>
      </c>
      <c r="P344" t="s">
        <v>26</v>
      </c>
      <c r="Q344" t="s">
        <v>27</v>
      </c>
      <c r="R344" t="s">
        <v>36</v>
      </c>
      <c r="S344" t="str">
        <f>TRIM(PROPER(_xlfn.XLOOKUP(Table1[[#This Row],[ProductID_Clean]],Table3[ProductID],Table3[Category],"Missing Value",0)))</f>
        <v>Instruments</v>
      </c>
      <c r="T344" t="str">
        <f>_xlfn.XLOOKUP(Table1[[#This Row],[CustomerID_Check]],Table2[CustomerID],Table2[CustomerType],"Missing Value",0)</f>
        <v>Key Account</v>
      </c>
    </row>
    <row r="345" spans="1:20">
      <c r="A345" t="s">
        <v>565</v>
      </c>
      <c r="B345" s="1">
        <v>45815</v>
      </c>
      <c r="C345" t="s">
        <v>292</v>
      </c>
      <c r="D345" t="str">
        <f>UPPER(Table1[[#This Row],[ProductID_Clean]])</f>
        <v>P-SI-001</v>
      </c>
      <c r="E345" t="s">
        <v>72</v>
      </c>
      <c r="F345" t="s">
        <v>47</v>
      </c>
      <c r="G345" t="str">
        <f>TRIM(Table1[[#This Row],[Region_Clean]])</f>
        <v>EMEA</v>
      </c>
      <c r="H345" t="s">
        <v>24</v>
      </c>
      <c r="I345" t="s">
        <v>87</v>
      </c>
      <c r="J345" s="3">
        <v>2</v>
      </c>
      <c r="K345" s="3">
        <v>409.67</v>
      </c>
      <c r="L345">
        <v>485</v>
      </c>
      <c r="M345">
        <v>970</v>
      </c>
      <c r="N345">
        <v>150.66</v>
      </c>
      <c r="O345">
        <v>819.34</v>
      </c>
      <c r="P345" t="s">
        <v>126</v>
      </c>
      <c r="Q345" t="s">
        <v>35</v>
      </c>
      <c r="R345" t="s">
        <v>36</v>
      </c>
      <c r="S345" t="str">
        <f>TRIM(PROPER(_xlfn.XLOOKUP(Table1[[#This Row],[ProductID_Clean]],Table3[ProductID],Table3[Category],"Missing Value",0)))</f>
        <v>Sensors</v>
      </c>
      <c r="T345" t="str">
        <f>_xlfn.XLOOKUP(Table1[[#This Row],[CustomerID_Check]],Table2[CustomerID],Table2[CustomerType],"Missing Value",0)</f>
        <v>Standard</v>
      </c>
    </row>
    <row r="346" spans="1:20">
      <c r="A346" t="s">
        <v>566</v>
      </c>
      <c r="B346" s="1">
        <v>45826</v>
      </c>
      <c r="C346" t="s">
        <v>165</v>
      </c>
      <c r="D346" t="str">
        <f>UPPER(Table1[[#This Row],[ProductID_Clean]])</f>
        <v>P-SI-007</v>
      </c>
      <c r="E346" t="s">
        <v>97</v>
      </c>
      <c r="F346" t="s">
        <v>47</v>
      </c>
      <c r="G346" t="str">
        <f>TRIM(Table1[[#This Row],[Region_Clean]])</f>
        <v>EMEA</v>
      </c>
      <c r="H346" t="s">
        <v>24</v>
      </c>
      <c r="I346" t="s">
        <v>25</v>
      </c>
      <c r="J346" s="3">
        <v>3</v>
      </c>
      <c r="K346" s="3">
        <v>862.39</v>
      </c>
      <c r="L346">
        <v>980</v>
      </c>
      <c r="M346">
        <v>2940</v>
      </c>
      <c r="N346">
        <v>352.83</v>
      </c>
      <c r="O346">
        <v>2587.17</v>
      </c>
      <c r="P346" t="s">
        <v>26</v>
      </c>
      <c r="Q346" t="s">
        <v>35</v>
      </c>
      <c r="R346" t="s">
        <v>28</v>
      </c>
      <c r="S346" t="str">
        <f>TRIM(PROPER(_xlfn.XLOOKUP(Table1[[#This Row],[ProductID_Clean]],Table3[ProductID],Table3[Category],"Missing Value",0)))</f>
        <v>Sensors</v>
      </c>
      <c r="T346" t="str">
        <f>_xlfn.XLOOKUP(Table1[[#This Row],[CustomerID_Check]],Table2[CustomerID],Table2[CustomerType],"Missing Value",0)</f>
        <v>Key Account</v>
      </c>
    </row>
    <row r="347" spans="1:20">
      <c r="A347" t="s">
        <v>567</v>
      </c>
      <c r="B347" s="1">
        <v>45735</v>
      </c>
      <c r="C347" t="s">
        <v>146</v>
      </c>
      <c r="D347" t="str">
        <f>UPPER(Table1[[#This Row],[ProductID_Clean]])</f>
        <v>P-SI-003</v>
      </c>
      <c r="E347" t="s">
        <v>39</v>
      </c>
      <c r="F347" t="s">
        <v>47</v>
      </c>
      <c r="G347" t="str">
        <f>TRIM(Table1[[#This Row],[Region_Clean]])</f>
        <v>EMEA</v>
      </c>
      <c r="H347" t="s">
        <v>24</v>
      </c>
      <c r="I347" t="s">
        <v>25</v>
      </c>
      <c r="J347" s="3">
        <v>4</v>
      </c>
      <c r="K347" s="3">
        <v>1640.38</v>
      </c>
      <c r="L347">
        <v>1890</v>
      </c>
      <c r="M347">
        <v>7560</v>
      </c>
      <c r="N347">
        <v>998.48</v>
      </c>
      <c r="O347">
        <v>6561.52</v>
      </c>
      <c r="P347" t="s">
        <v>26</v>
      </c>
      <c r="Q347" t="s">
        <v>27</v>
      </c>
      <c r="R347" t="s">
        <v>44</v>
      </c>
      <c r="S347" t="str">
        <f>TRIM(PROPER(_xlfn.XLOOKUP(Table1[[#This Row],[ProductID_Clean]],Table3[ProductID],Table3[Category],"Missing Value",0)))</f>
        <v>Instruments</v>
      </c>
      <c r="T347" t="str">
        <f>_xlfn.XLOOKUP(Table1[[#This Row],[CustomerID_Check]],Table2[CustomerID],Table2[CustomerType],"Missing Value",0)</f>
        <v>Key Account</v>
      </c>
    </row>
    <row r="348" spans="1:20">
      <c r="A348" t="s">
        <v>568</v>
      </c>
      <c r="B348" s="1">
        <v>45822</v>
      </c>
      <c r="C348" t="s">
        <v>188</v>
      </c>
      <c r="D348" t="str">
        <f>UPPER(Table1[[#This Row],[ProductID_Clean]])</f>
        <v>P-SA-001</v>
      </c>
      <c r="E348" t="s">
        <v>68</v>
      </c>
      <c r="F348" t="s">
        <v>58</v>
      </c>
      <c r="G348" t="str">
        <f>TRIM(Table1[[#This Row],[Region_Clean]])</f>
        <v>APAC</v>
      </c>
      <c r="H348" t="s">
        <v>53</v>
      </c>
      <c r="I348" t="s">
        <v>87</v>
      </c>
      <c r="J348" s="3">
        <v>2</v>
      </c>
      <c r="K348" s="3">
        <v>3066.4</v>
      </c>
      <c r="L348">
        <v>4200</v>
      </c>
      <c r="M348">
        <v>8400</v>
      </c>
      <c r="N348">
        <v>2267.1999999999998</v>
      </c>
      <c r="O348">
        <v>6132.8</v>
      </c>
      <c r="P348" t="s">
        <v>26</v>
      </c>
      <c r="Q348" t="s">
        <v>54</v>
      </c>
      <c r="R348" t="s">
        <v>44</v>
      </c>
      <c r="S348" t="str">
        <f>TRIM(PROPER(_xlfn.XLOOKUP(Table1[[#This Row],[ProductID_Clean]],Table3[ProductID],Table3[Category],"Missing Value",0)))</f>
        <v>Software</v>
      </c>
      <c r="T348" t="str">
        <f>_xlfn.XLOOKUP(Table1[[#This Row],[CustomerID_Check]],Table2[CustomerID],Table2[CustomerType],"Missing Value",0)</f>
        <v>Key Account</v>
      </c>
    </row>
    <row r="349" spans="1:20">
      <c r="A349" t="s">
        <v>569</v>
      </c>
      <c r="B349" s="1">
        <v>45673</v>
      </c>
      <c r="C349" t="s">
        <v>570</v>
      </c>
      <c r="D349" t="str">
        <f>UPPER(Table1[[#This Row],[ProductID_Clean]])</f>
        <v>P-SI-008</v>
      </c>
      <c r="E349" t="s">
        <v>152</v>
      </c>
      <c r="F349" t="s">
        <v>32</v>
      </c>
      <c r="G349" t="str">
        <f>TRIM(Table1[[#This Row],[Region_Clean]])</f>
        <v>LATIN AMERICA</v>
      </c>
      <c r="H349" t="s">
        <v>24</v>
      </c>
      <c r="I349" t="s">
        <v>25</v>
      </c>
      <c r="J349" s="3">
        <v>2</v>
      </c>
      <c r="K349" s="3">
        <v>828.78</v>
      </c>
      <c r="L349">
        <v>950</v>
      </c>
      <c r="M349">
        <v>1900</v>
      </c>
      <c r="N349">
        <v>242.44</v>
      </c>
      <c r="O349">
        <v>1657.56</v>
      </c>
      <c r="P349" t="s">
        <v>26</v>
      </c>
      <c r="Q349" t="s">
        <v>27</v>
      </c>
      <c r="R349" t="s">
        <v>48</v>
      </c>
      <c r="S349" t="str">
        <f>TRIM(PROPER(_xlfn.XLOOKUP(Table1[[#This Row],[ProductID_Clean]],Table3[ProductID],Table3[Category],"Missing Value",0)))</f>
        <v>Instruments</v>
      </c>
      <c r="T349" t="str">
        <f>_xlfn.XLOOKUP(Table1[[#This Row],[CustomerID_Check]],Table2[CustomerID],Table2[CustomerType],"Missing Value",0)</f>
        <v>Standard</v>
      </c>
    </row>
    <row r="350" spans="1:20">
      <c r="A350" t="s">
        <v>571</v>
      </c>
      <c r="B350" s="1">
        <v>45760</v>
      </c>
      <c r="C350" t="s">
        <v>266</v>
      </c>
      <c r="D350" t="str">
        <f>UPPER(Table1[[#This Row],[ProductID_Clean]])</f>
        <v>P-SA-001</v>
      </c>
      <c r="E350" t="s">
        <v>68</v>
      </c>
      <c r="F350" t="s">
        <v>23</v>
      </c>
      <c r="G350" t="str">
        <f>TRIM(Table1[[#This Row],[Region_Clean]])</f>
        <v>N. AMERICA</v>
      </c>
      <c r="H350" t="s">
        <v>53</v>
      </c>
      <c r="I350" t="s">
        <v>98</v>
      </c>
      <c r="J350" s="3">
        <v>1</v>
      </c>
      <c r="K350" s="3">
        <v>3407.33</v>
      </c>
      <c r="L350">
        <v>4200</v>
      </c>
      <c r="M350">
        <v>4200</v>
      </c>
      <c r="N350">
        <v>792.67</v>
      </c>
      <c r="O350">
        <v>3407.33</v>
      </c>
      <c r="P350" t="s">
        <v>26</v>
      </c>
      <c r="Q350" t="s">
        <v>88</v>
      </c>
      <c r="R350" t="s">
        <v>44</v>
      </c>
      <c r="S350" t="str">
        <f>TRIM(PROPER(_xlfn.XLOOKUP(Table1[[#This Row],[ProductID_Clean]],Table3[ProductID],Table3[Category],"Missing Value",0)))</f>
        <v>Software</v>
      </c>
      <c r="T350" t="str">
        <f>_xlfn.XLOOKUP(Table1[[#This Row],[CustomerID_Check]],Table2[CustomerID],Table2[CustomerType],"Missing Value",0)</f>
        <v>Strategic</v>
      </c>
    </row>
    <row r="351" spans="1:20">
      <c r="A351" t="s">
        <v>572</v>
      </c>
      <c r="B351" s="1">
        <v>45833</v>
      </c>
      <c r="C351" t="s">
        <v>320</v>
      </c>
      <c r="D351" t="str">
        <f>UPPER(Table1[[#This Row],[ProductID_Clean]])</f>
        <v>P-SI-008</v>
      </c>
      <c r="E351" t="s">
        <v>152</v>
      </c>
      <c r="F351" t="s">
        <v>47</v>
      </c>
      <c r="G351" t="str">
        <f>TRIM(Table1[[#This Row],[Region_Clean]])</f>
        <v>EMEA</v>
      </c>
      <c r="H351" t="s">
        <v>24</v>
      </c>
      <c r="I351" t="s">
        <v>25</v>
      </c>
      <c r="J351" s="3">
        <v>12</v>
      </c>
      <c r="K351" s="3">
        <v>870.47</v>
      </c>
      <c r="L351">
        <v>950</v>
      </c>
      <c r="M351">
        <v>11400</v>
      </c>
      <c r="N351">
        <v>954.36</v>
      </c>
      <c r="O351">
        <v>10445.64</v>
      </c>
      <c r="P351" t="s">
        <v>26</v>
      </c>
      <c r="Q351" t="s">
        <v>40</v>
      </c>
      <c r="R351" t="s">
        <v>44</v>
      </c>
      <c r="S351" t="str">
        <f>TRIM(PROPER(_xlfn.XLOOKUP(Table1[[#This Row],[ProductID_Clean]],Table3[ProductID],Table3[Category],"Missing Value",0)))</f>
        <v>Instruments</v>
      </c>
      <c r="T351" t="str">
        <f>_xlfn.XLOOKUP(Table1[[#This Row],[CustomerID_Check]],Table2[CustomerID],Table2[CustomerType],"Missing Value",0)</f>
        <v>Standard</v>
      </c>
    </row>
    <row r="352" spans="1:20">
      <c r="A352" t="s">
        <v>573</v>
      </c>
      <c r="B352" s="1">
        <v>45783</v>
      </c>
      <c r="C352" t="s">
        <v>272</v>
      </c>
      <c r="D352" t="str">
        <f>UPPER(Table1[[#This Row],[ProductID_Clean]])</f>
        <v>P-FS-006</v>
      </c>
      <c r="E352" t="s">
        <v>92</v>
      </c>
      <c r="F352" t="s">
        <v>47</v>
      </c>
      <c r="G352" t="str">
        <f>TRIM(Table1[[#This Row],[Region_Clean]])</f>
        <v>EMEA</v>
      </c>
      <c r="H352" t="s">
        <v>82</v>
      </c>
      <c r="I352" t="s">
        <v>25</v>
      </c>
      <c r="J352" s="3">
        <v>1</v>
      </c>
      <c r="K352" s="3">
        <v>1305.6500000000001</v>
      </c>
      <c r="L352">
        <v>1450</v>
      </c>
      <c r="M352">
        <v>1450</v>
      </c>
      <c r="N352">
        <v>144.35</v>
      </c>
      <c r="O352">
        <v>1305.6500000000001</v>
      </c>
      <c r="P352" t="s">
        <v>26</v>
      </c>
      <c r="Q352" t="s">
        <v>65</v>
      </c>
      <c r="R352" t="s">
        <v>36</v>
      </c>
      <c r="S352" t="str">
        <f>TRIM(PROPER(_xlfn.XLOOKUP(Table1[[#This Row],[ProductID_Clean]],Table3[ProductID],Table3[Category],"Missing Value",0)))</f>
        <v>Services</v>
      </c>
      <c r="T352" t="str">
        <f>_xlfn.XLOOKUP(Table1[[#This Row],[CustomerID_Check]],Table2[CustomerID],Table2[CustomerType],"Missing Value",0)</f>
        <v>Key Account</v>
      </c>
    </row>
    <row r="353" spans="1:20">
      <c r="A353" t="s">
        <v>574</v>
      </c>
      <c r="B353" s="1">
        <v>45771</v>
      </c>
      <c r="C353" t="s">
        <v>46</v>
      </c>
      <c r="D353" t="str">
        <f>UPPER(Table1[[#This Row],[ProductID_Clean]])</f>
        <v>P-SA-001</v>
      </c>
      <c r="E353" t="s">
        <v>68</v>
      </c>
      <c r="F353" t="s">
        <v>47</v>
      </c>
      <c r="G353" t="str">
        <f>TRIM(Table1[[#This Row],[Region_Clean]])</f>
        <v>EMEA</v>
      </c>
      <c r="H353" t="s">
        <v>53</v>
      </c>
      <c r="I353" t="s">
        <v>25</v>
      </c>
      <c r="J353" s="3">
        <v>1</v>
      </c>
      <c r="K353" s="3">
        <v>3526.54</v>
      </c>
      <c r="L353">
        <v>4200</v>
      </c>
      <c r="M353">
        <v>4200</v>
      </c>
      <c r="N353">
        <v>673.46</v>
      </c>
      <c r="O353">
        <v>3526.54</v>
      </c>
      <c r="P353" t="s">
        <v>26</v>
      </c>
      <c r="Q353" t="s">
        <v>88</v>
      </c>
      <c r="R353" t="s">
        <v>48</v>
      </c>
      <c r="S353" t="str">
        <f>TRIM(PROPER(_xlfn.XLOOKUP(Table1[[#This Row],[ProductID_Clean]],Table3[ProductID],Table3[Category],"Missing Value",0)))</f>
        <v>Software</v>
      </c>
      <c r="T353" t="str">
        <f>_xlfn.XLOOKUP(Table1[[#This Row],[CustomerID_Check]],Table2[CustomerID],Table2[CustomerType],"Missing Value",0)</f>
        <v>Strategic</v>
      </c>
    </row>
    <row r="354" spans="1:20">
      <c r="A354" t="s">
        <v>575</v>
      </c>
      <c r="B354" s="1">
        <v>45678</v>
      </c>
      <c r="C354" t="s">
        <v>576</v>
      </c>
      <c r="D354" t="str">
        <f>UPPER(Table1[[#This Row],[ProductID_Clean]])</f>
        <v>P-SI-002</v>
      </c>
      <c r="E354" t="s">
        <v>31</v>
      </c>
      <c r="F354" t="s">
        <v>58</v>
      </c>
      <c r="G354" t="str">
        <f>TRIM(Table1[[#This Row],[Region_Clean]])</f>
        <v>APAC</v>
      </c>
      <c r="H354" t="s">
        <v>24</v>
      </c>
      <c r="I354" t="s">
        <v>87</v>
      </c>
      <c r="J354" s="3">
        <v>3</v>
      </c>
      <c r="K354" s="3">
        <v>595.24</v>
      </c>
      <c r="L354">
        <v>725</v>
      </c>
      <c r="M354">
        <v>2175</v>
      </c>
      <c r="N354">
        <v>389.28</v>
      </c>
      <c r="O354">
        <v>1785.72</v>
      </c>
      <c r="P354" t="s">
        <v>26</v>
      </c>
      <c r="Q354" t="s">
        <v>35</v>
      </c>
      <c r="R354" t="s">
        <v>36</v>
      </c>
      <c r="S354" t="str">
        <f>TRIM(PROPER(_xlfn.XLOOKUP(Table1[[#This Row],[ProductID_Clean]],Table3[ProductID],Table3[Category],"Missing Value",0)))</f>
        <v>Sensors</v>
      </c>
      <c r="T354" t="str">
        <f>_xlfn.XLOOKUP(Table1[[#This Row],[CustomerID_Check]],Table2[CustomerID],Table2[CustomerType],"Missing Value",0)</f>
        <v>Standard</v>
      </c>
    </row>
    <row r="355" spans="1:20">
      <c r="A355" t="s">
        <v>577</v>
      </c>
      <c r="B355" s="1">
        <v>45813</v>
      </c>
      <c r="C355" t="s">
        <v>477</v>
      </c>
      <c r="D355" t="str">
        <f>UPPER(Table1[[#This Row],[ProductID_Clean]])</f>
        <v>P-SI-003</v>
      </c>
      <c r="E355" t="s">
        <v>39</v>
      </c>
      <c r="F355" t="s">
        <v>23</v>
      </c>
      <c r="G355" t="str">
        <f>TRIM(Table1[[#This Row],[Region_Clean]])</f>
        <v>N. AMERICA</v>
      </c>
      <c r="H355" t="s">
        <v>24</v>
      </c>
      <c r="I355" t="s">
        <v>87</v>
      </c>
      <c r="J355" s="3">
        <v>1</v>
      </c>
      <c r="K355" s="3">
        <v>1485.81</v>
      </c>
      <c r="L355">
        <v>1890</v>
      </c>
      <c r="M355">
        <v>1890</v>
      </c>
      <c r="N355">
        <v>404.19</v>
      </c>
      <c r="O355">
        <v>1485.81</v>
      </c>
      <c r="P355" t="s">
        <v>26</v>
      </c>
      <c r="Q355" t="s">
        <v>35</v>
      </c>
      <c r="R355" t="s">
        <v>36</v>
      </c>
      <c r="S355" t="str">
        <f>TRIM(PROPER(_xlfn.XLOOKUP(Table1[[#This Row],[ProductID_Clean]],Table3[ProductID],Table3[Category],"Missing Value",0)))</f>
        <v>Instruments</v>
      </c>
      <c r="T355" t="str">
        <f>_xlfn.XLOOKUP(Table1[[#This Row],[CustomerID_Check]],Table2[CustomerID],Table2[CustomerType],"Missing Value",0)</f>
        <v>Key Account</v>
      </c>
    </row>
    <row r="356" spans="1:20">
      <c r="A356" t="s">
        <v>578</v>
      </c>
      <c r="B356" s="1">
        <v>45674</v>
      </c>
      <c r="C356" t="s">
        <v>118</v>
      </c>
      <c r="D356" t="str">
        <f>UPPER(Table1[[#This Row],[ProductID_Clean]])</f>
        <v>P-SI-001</v>
      </c>
      <c r="E356" t="s">
        <v>72</v>
      </c>
      <c r="F356" t="s">
        <v>52</v>
      </c>
      <c r="G356" t="str">
        <f>TRIM(Table1[[#This Row],[Region_Clean]])</f>
        <v>N. AMERICA</v>
      </c>
      <c r="H356" t="s">
        <v>24</v>
      </c>
      <c r="I356" t="s">
        <v>25</v>
      </c>
      <c r="J356" s="3">
        <v>3</v>
      </c>
      <c r="K356" s="3">
        <v>413.32</v>
      </c>
      <c r="L356">
        <v>485</v>
      </c>
      <c r="M356">
        <v>1455</v>
      </c>
      <c r="N356">
        <v>215.04</v>
      </c>
      <c r="O356">
        <v>1239.96</v>
      </c>
      <c r="P356" t="s">
        <v>26</v>
      </c>
      <c r="Q356" t="s">
        <v>35</v>
      </c>
      <c r="R356" t="s">
        <v>59</v>
      </c>
      <c r="S356" t="str">
        <f>TRIM(PROPER(_xlfn.XLOOKUP(Table1[[#This Row],[ProductID_Clean]],Table3[ProductID],Table3[Category],"Missing Value",0)))</f>
        <v>Sensors</v>
      </c>
      <c r="T356" t="str">
        <f>_xlfn.XLOOKUP(Table1[[#This Row],[CustomerID_Check]],Table2[CustomerID],Table2[CustomerType],"Missing Value",0)</f>
        <v>Key Account</v>
      </c>
    </row>
    <row r="357" spans="1:20">
      <c r="A357" t="s">
        <v>579</v>
      </c>
      <c r="B357" s="1">
        <v>45728</v>
      </c>
      <c r="C357" t="s">
        <v>457</v>
      </c>
      <c r="D357" t="str">
        <f>UPPER(Table1[[#This Row],[ProductID_Clean]])</f>
        <v>P-SI-008</v>
      </c>
      <c r="E357" t="s">
        <v>152</v>
      </c>
      <c r="F357" t="s">
        <v>23</v>
      </c>
      <c r="G357" t="str">
        <f>TRIM(Table1[[#This Row],[Region_Clean]])</f>
        <v>N. AMERICA</v>
      </c>
      <c r="H357" t="s">
        <v>24</v>
      </c>
      <c r="I357" t="s">
        <v>87</v>
      </c>
      <c r="J357" s="3">
        <v>1</v>
      </c>
      <c r="K357" s="3">
        <v>736.28</v>
      </c>
      <c r="L357">
        <v>950</v>
      </c>
      <c r="M357">
        <v>950</v>
      </c>
      <c r="N357">
        <v>213.72</v>
      </c>
      <c r="O357">
        <v>736.28</v>
      </c>
      <c r="P357" t="s">
        <v>26</v>
      </c>
      <c r="Q357" t="s">
        <v>35</v>
      </c>
      <c r="R357" t="s">
        <v>28</v>
      </c>
      <c r="S357" t="str">
        <f>TRIM(PROPER(_xlfn.XLOOKUP(Table1[[#This Row],[ProductID_Clean]],Table3[ProductID],Table3[Category],"Missing Value",0)))</f>
        <v>Instruments</v>
      </c>
      <c r="T357" t="str">
        <f>_xlfn.XLOOKUP(Table1[[#This Row],[CustomerID_Check]],Table2[CustomerID],Table2[CustomerType],"Missing Value",0)</f>
        <v>Key Account</v>
      </c>
    </row>
    <row r="358" spans="1:20">
      <c r="A358" t="s">
        <v>580</v>
      </c>
      <c r="B358" s="1">
        <v>45820</v>
      </c>
      <c r="C358" t="s">
        <v>353</v>
      </c>
      <c r="D358" t="str">
        <f>UPPER(Table1[[#This Row],[ProductID_Clean]])</f>
        <v>P-FS-001</v>
      </c>
      <c r="E358" t="s">
        <v>133</v>
      </c>
      <c r="F358" t="s">
        <v>23</v>
      </c>
      <c r="G358" t="str">
        <f>TRIM(Table1[[#This Row],[Region_Clean]])</f>
        <v>N. AMERICA</v>
      </c>
      <c r="H358" t="s">
        <v>82</v>
      </c>
      <c r="I358" t="s">
        <v>34</v>
      </c>
      <c r="J358" s="3">
        <v>1</v>
      </c>
      <c r="K358" s="3">
        <v>1516.96</v>
      </c>
      <c r="L358">
        <v>1850</v>
      </c>
      <c r="M358">
        <v>1850</v>
      </c>
      <c r="N358">
        <v>333.04</v>
      </c>
      <c r="O358">
        <v>1516.96</v>
      </c>
      <c r="P358" t="s">
        <v>26</v>
      </c>
      <c r="Q358" t="s">
        <v>35</v>
      </c>
      <c r="R358" t="s">
        <v>48</v>
      </c>
      <c r="S358" t="str">
        <f>TRIM(PROPER(_xlfn.XLOOKUP(Table1[[#This Row],[ProductID_Clean]],Table3[ProductID],Table3[Category],"Missing Value",0)))</f>
        <v>Services</v>
      </c>
      <c r="T358" t="str">
        <f>_xlfn.XLOOKUP(Table1[[#This Row],[CustomerID_Check]],Table2[CustomerID],Table2[CustomerType],"Missing Value",0)</f>
        <v>Key Account</v>
      </c>
    </row>
    <row r="359" spans="1:20">
      <c r="A359" t="s">
        <v>581</v>
      </c>
      <c r="B359" s="1">
        <v>45798</v>
      </c>
      <c r="C359" t="s">
        <v>163</v>
      </c>
      <c r="D359" t="str">
        <f>UPPER(Table1[[#This Row],[ProductID_Clean]])</f>
        <v>P-SI-006</v>
      </c>
      <c r="E359" t="s">
        <v>43</v>
      </c>
      <c r="F359" t="s">
        <v>23</v>
      </c>
      <c r="G359" t="str">
        <f>TRIM(Table1[[#This Row],[Region_Clean]])</f>
        <v>N. AMERICA</v>
      </c>
      <c r="H359" t="s">
        <v>24</v>
      </c>
      <c r="I359" t="s">
        <v>34</v>
      </c>
      <c r="J359" s="3">
        <v>3</v>
      </c>
      <c r="K359" s="3">
        <v>157.02000000000001</v>
      </c>
      <c r="L359">
        <v>215</v>
      </c>
      <c r="M359">
        <v>645</v>
      </c>
      <c r="N359">
        <v>173.94</v>
      </c>
      <c r="O359">
        <v>471.06</v>
      </c>
      <c r="P359" t="s">
        <v>26</v>
      </c>
      <c r="Q359" t="s">
        <v>65</v>
      </c>
      <c r="R359" t="s">
        <v>28</v>
      </c>
      <c r="S359" t="str">
        <f>TRIM(PROPER(_xlfn.XLOOKUP(Table1[[#This Row],[ProductID_Clean]],Table3[ProductID],Table3[Category],"Missing Value",0)))</f>
        <v>Sensors</v>
      </c>
      <c r="T359" t="str">
        <f>_xlfn.XLOOKUP(Table1[[#This Row],[CustomerID_Check]],Table2[CustomerID],Table2[CustomerType],"Missing Value",0)</f>
        <v>Strategic</v>
      </c>
    </row>
    <row r="360" spans="1:20">
      <c r="A360" t="s">
        <v>582</v>
      </c>
      <c r="B360" s="1">
        <v>45741</v>
      </c>
      <c r="C360" t="s">
        <v>141</v>
      </c>
      <c r="D360" t="str">
        <f>UPPER(Table1[[#This Row],[ProductID_Clean]])</f>
        <v>P-SI-001</v>
      </c>
      <c r="E360" t="s">
        <v>72</v>
      </c>
      <c r="F360" t="s">
        <v>23</v>
      </c>
      <c r="G360" t="str">
        <f>TRIM(Table1[[#This Row],[Region_Clean]])</f>
        <v>N. AMERICA</v>
      </c>
      <c r="H360" t="s">
        <v>24</v>
      </c>
      <c r="I360" t="s">
        <v>40</v>
      </c>
      <c r="J360" s="3">
        <v>5</v>
      </c>
      <c r="K360" s="3">
        <v>446.08</v>
      </c>
      <c r="L360">
        <v>485</v>
      </c>
      <c r="M360">
        <v>2425</v>
      </c>
      <c r="N360">
        <v>194.6</v>
      </c>
      <c r="O360">
        <v>2230.4</v>
      </c>
      <c r="P360" t="s">
        <v>26</v>
      </c>
      <c r="Q360" t="s">
        <v>27</v>
      </c>
      <c r="R360" t="s">
        <v>36</v>
      </c>
      <c r="S360" t="str">
        <f>TRIM(PROPER(_xlfn.XLOOKUP(Table1[[#This Row],[ProductID_Clean]],Table3[ProductID],Table3[Category],"Missing Value",0)))</f>
        <v>Sensors</v>
      </c>
      <c r="T360" t="str">
        <f>_xlfn.XLOOKUP(Table1[[#This Row],[CustomerID_Check]],Table2[CustomerID],Table2[CustomerType],"Missing Value",0)</f>
        <v>Key Account</v>
      </c>
    </row>
    <row r="361" spans="1:20">
      <c r="A361" t="s">
        <v>583</v>
      </c>
      <c r="B361" s="1">
        <v>45810</v>
      </c>
      <c r="C361" t="s">
        <v>100</v>
      </c>
      <c r="D361" t="str">
        <f>UPPER(Table1[[#This Row],[ProductID_Clean]])</f>
        <v>P-SI-008</v>
      </c>
      <c r="E361" t="s">
        <v>152</v>
      </c>
      <c r="F361" t="s">
        <v>47</v>
      </c>
      <c r="G361" t="str">
        <f>TRIM(Table1[[#This Row],[Region_Clean]])</f>
        <v>EMEA</v>
      </c>
      <c r="H361" t="s">
        <v>24</v>
      </c>
      <c r="I361" t="s">
        <v>25</v>
      </c>
      <c r="J361" s="3">
        <v>10</v>
      </c>
      <c r="K361" s="3">
        <v>821.14</v>
      </c>
      <c r="L361">
        <v>950</v>
      </c>
      <c r="M361">
        <v>9500</v>
      </c>
      <c r="N361">
        <v>1288.5999999999999</v>
      </c>
      <c r="O361">
        <v>8211.4</v>
      </c>
      <c r="P361" t="s">
        <v>26</v>
      </c>
      <c r="Q361" t="s">
        <v>35</v>
      </c>
      <c r="R361" t="s">
        <v>36</v>
      </c>
      <c r="S361" t="str">
        <f>TRIM(PROPER(_xlfn.XLOOKUP(Table1[[#This Row],[ProductID_Clean]],Table3[ProductID],Table3[Category],"Missing Value",0)))</f>
        <v>Instruments</v>
      </c>
      <c r="T361" t="str">
        <f>_xlfn.XLOOKUP(Table1[[#This Row],[CustomerID_Check]],Table2[CustomerID],Table2[CustomerType],"Missing Value",0)</f>
        <v>Strategic</v>
      </c>
    </row>
    <row r="362" spans="1:20">
      <c r="A362" t="s">
        <v>584</v>
      </c>
      <c r="B362" s="1">
        <v>45733</v>
      </c>
      <c r="C362" t="s">
        <v>110</v>
      </c>
      <c r="D362" t="str">
        <f>UPPER(Table1[[#This Row],[ProductID_Clean]])</f>
        <v>P-SI-008</v>
      </c>
      <c r="E362" t="s">
        <v>152</v>
      </c>
      <c r="F362" t="s">
        <v>23</v>
      </c>
      <c r="G362" t="str">
        <f>TRIM(Table1[[#This Row],[Region_Clean]])</f>
        <v>N. AMERICA</v>
      </c>
      <c r="H362" t="s">
        <v>24</v>
      </c>
      <c r="I362" t="s">
        <v>87</v>
      </c>
      <c r="J362" s="3">
        <v>2</v>
      </c>
      <c r="K362" s="3">
        <v>790.93</v>
      </c>
      <c r="L362">
        <v>950</v>
      </c>
      <c r="M362">
        <v>1900</v>
      </c>
      <c r="N362">
        <v>318.14</v>
      </c>
      <c r="O362">
        <v>1581.86</v>
      </c>
      <c r="P362" t="s">
        <v>26</v>
      </c>
      <c r="Q362" t="s">
        <v>27</v>
      </c>
      <c r="R362" t="s">
        <v>59</v>
      </c>
      <c r="S362" t="str">
        <f>TRIM(PROPER(_xlfn.XLOOKUP(Table1[[#This Row],[ProductID_Clean]],Table3[ProductID],Table3[Category],"Missing Value",0)))</f>
        <v>Instruments</v>
      </c>
      <c r="T362" t="str">
        <f>_xlfn.XLOOKUP(Table1[[#This Row],[CustomerID_Check]],Table2[CustomerID],Table2[CustomerType],"Missing Value",0)</f>
        <v>Standard</v>
      </c>
    </row>
    <row r="363" spans="1:20">
      <c r="A363" t="s">
        <v>585</v>
      </c>
      <c r="B363" s="1">
        <v>45787</v>
      </c>
      <c r="C363" t="s">
        <v>194</v>
      </c>
      <c r="D363" t="str">
        <f>UPPER(Table1[[#This Row],[ProductID_Clean]])</f>
        <v>P-FS-005</v>
      </c>
      <c r="E363" t="s">
        <v>101</v>
      </c>
      <c r="F363" t="s">
        <v>23</v>
      </c>
      <c r="G363" t="str">
        <f>TRIM(Table1[[#This Row],[Region_Clean]])</f>
        <v>N. AMERICA</v>
      </c>
      <c r="H363" t="s">
        <v>82</v>
      </c>
      <c r="I363" t="s">
        <v>25</v>
      </c>
      <c r="J363" s="3">
        <v>1</v>
      </c>
      <c r="K363" s="3">
        <v>725.49</v>
      </c>
      <c r="L363">
        <v>950</v>
      </c>
      <c r="M363">
        <v>950</v>
      </c>
      <c r="N363">
        <v>224.51</v>
      </c>
      <c r="O363">
        <v>725.49</v>
      </c>
      <c r="P363" t="s">
        <v>26</v>
      </c>
      <c r="Q363" t="s">
        <v>35</v>
      </c>
      <c r="R363" t="s">
        <v>36</v>
      </c>
      <c r="S363" t="str">
        <f>TRIM(PROPER(_xlfn.XLOOKUP(Table1[[#This Row],[ProductID_Clean]],Table3[ProductID],Table3[Category],"Missing Value",0)))</f>
        <v>Services</v>
      </c>
      <c r="T363" t="str">
        <f>_xlfn.XLOOKUP(Table1[[#This Row],[CustomerID_Check]],Table2[CustomerID],Table2[CustomerType],"Missing Value",0)</f>
        <v>Strategic</v>
      </c>
    </row>
    <row r="364" spans="1:20">
      <c r="A364" t="s">
        <v>586</v>
      </c>
      <c r="B364" s="1">
        <v>45768</v>
      </c>
      <c r="C364" t="s">
        <v>139</v>
      </c>
      <c r="D364" t="str">
        <f>UPPER(Table1[[#This Row],[ProductID_Clean]])</f>
        <v>P-SA-004</v>
      </c>
      <c r="E364" t="s">
        <v>86</v>
      </c>
      <c r="F364" t="s">
        <v>102</v>
      </c>
      <c r="G364" t="str">
        <f>TRIM(Table1[[#This Row],[Region_Clean]])</f>
        <v>EMEA</v>
      </c>
      <c r="H364" t="s">
        <v>53</v>
      </c>
      <c r="I364" t="s">
        <v>87</v>
      </c>
      <c r="J364" s="3">
        <v>1</v>
      </c>
      <c r="K364" s="3">
        <v>1434.98</v>
      </c>
      <c r="L364">
        <v>1650</v>
      </c>
      <c r="M364">
        <v>1650</v>
      </c>
      <c r="N364">
        <v>215.02</v>
      </c>
      <c r="O364">
        <v>1434.98</v>
      </c>
      <c r="P364" t="s">
        <v>26</v>
      </c>
      <c r="Q364" t="s">
        <v>54</v>
      </c>
      <c r="R364" t="s">
        <v>59</v>
      </c>
      <c r="S364" t="str">
        <f>TRIM(PROPER(_xlfn.XLOOKUP(Table1[[#This Row],[ProductID_Clean]],Table3[ProductID],Table3[Category],"Missing Value",0)))</f>
        <v>Software</v>
      </c>
      <c r="T364" t="str">
        <f>_xlfn.XLOOKUP(Table1[[#This Row],[CustomerID_Check]],Table2[CustomerID],Table2[CustomerType],"Missing Value",0)</f>
        <v>Key Account</v>
      </c>
    </row>
    <row r="365" spans="1:20">
      <c r="A365" t="s">
        <v>587</v>
      </c>
      <c r="B365" s="1">
        <v>45837</v>
      </c>
      <c r="C365" t="s">
        <v>416</v>
      </c>
      <c r="D365" t="str">
        <f>UPPER(Table1[[#This Row],[ProductID_Clean]])</f>
        <v>P-SI-006</v>
      </c>
      <c r="E365" t="s">
        <v>43</v>
      </c>
      <c r="F365" t="s">
        <v>23</v>
      </c>
      <c r="G365" t="str">
        <f>TRIM(Table1[[#This Row],[Region_Clean]])</f>
        <v>N. AMERICA</v>
      </c>
      <c r="H365" t="s">
        <v>24</v>
      </c>
      <c r="I365" t="s">
        <v>25</v>
      </c>
      <c r="J365" s="3">
        <v>1</v>
      </c>
      <c r="K365" s="3">
        <v>193.52</v>
      </c>
      <c r="L365">
        <v>215</v>
      </c>
      <c r="M365">
        <v>215</v>
      </c>
      <c r="N365">
        <v>21.48</v>
      </c>
      <c r="O365">
        <v>193.52</v>
      </c>
      <c r="P365" t="s">
        <v>26</v>
      </c>
      <c r="Q365" t="s">
        <v>27</v>
      </c>
      <c r="R365" t="s">
        <v>48</v>
      </c>
      <c r="S365" t="str">
        <f>TRIM(PROPER(_xlfn.XLOOKUP(Table1[[#This Row],[ProductID_Clean]],Table3[ProductID],Table3[Category],"Missing Value",0)))</f>
        <v>Sensors</v>
      </c>
      <c r="T365" t="str">
        <f>_xlfn.XLOOKUP(Table1[[#This Row],[CustomerID_Check]],Table2[CustomerID],Table2[CustomerType],"Missing Value",0)</f>
        <v>Standard</v>
      </c>
    </row>
    <row r="366" spans="1:20">
      <c r="A366" t="s">
        <v>588</v>
      </c>
      <c r="B366" s="1">
        <v>45824</v>
      </c>
      <c r="C366" t="s">
        <v>431</v>
      </c>
      <c r="D366" t="str">
        <f>UPPER(Table1[[#This Row],[ProductID_Clean]])</f>
        <v>P-SI-001</v>
      </c>
      <c r="E366" t="s">
        <v>72</v>
      </c>
      <c r="F366" t="s">
        <v>23</v>
      </c>
      <c r="G366" t="str">
        <f>TRIM(Table1[[#This Row],[Region_Clean]])</f>
        <v>N. AMERICA</v>
      </c>
      <c r="H366" t="s">
        <v>24</v>
      </c>
      <c r="I366" t="s">
        <v>87</v>
      </c>
      <c r="J366" s="3">
        <v>1</v>
      </c>
      <c r="K366" s="3">
        <v>384.6</v>
      </c>
      <c r="L366">
        <v>485</v>
      </c>
      <c r="M366">
        <v>485</v>
      </c>
      <c r="N366">
        <v>100.4</v>
      </c>
      <c r="O366">
        <v>384.6</v>
      </c>
      <c r="P366" t="s">
        <v>26</v>
      </c>
      <c r="Q366" t="s">
        <v>65</v>
      </c>
      <c r="R366" t="s">
        <v>44</v>
      </c>
      <c r="S366" t="str">
        <f>TRIM(PROPER(_xlfn.XLOOKUP(Table1[[#This Row],[ProductID_Clean]],Table3[ProductID],Table3[Category],"Missing Value",0)))</f>
        <v>Sensors</v>
      </c>
      <c r="T366" t="str">
        <f>_xlfn.XLOOKUP(Table1[[#This Row],[CustomerID_Check]],Table2[CustomerID],Table2[CustomerType],"Missing Value",0)</f>
        <v>Standard</v>
      </c>
    </row>
    <row r="367" spans="1:20">
      <c r="A367" t="s">
        <v>589</v>
      </c>
      <c r="B367" s="1">
        <v>45713</v>
      </c>
      <c r="C367" t="s">
        <v>197</v>
      </c>
      <c r="D367" t="str">
        <f>UPPER(Table1[[#This Row],[ProductID_Clean]])</f>
        <v>P-SI-001</v>
      </c>
      <c r="E367" t="s">
        <v>72</v>
      </c>
      <c r="F367" t="s">
        <v>58</v>
      </c>
      <c r="G367" t="str">
        <f>TRIM(Table1[[#This Row],[Region_Clean]])</f>
        <v>APAC</v>
      </c>
      <c r="H367" t="s">
        <v>24</v>
      </c>
      <c r="I367" t="s">
        <v>87</v>
      </c>
      <c r="J367" s="3">
        <v>1</v>
      </c>
      <c r="K367" s="3">
        <v>351.16</v>
      </c>
      <c r="L367">
        <v>485</v>
      </c>
      <c r="M367">
        <v>485</v>
      </c>
      <c r="N367">
        <v>133.84</v>
      </c>
      <c r="O367">
        <v>351.16</v>
      </c>
      <c r="P367" t="s">
        <v>26</v>
      </c>
      <c r="Q367" t="s">
        <v>35</v>
      </c>
      <c r="R367" t="s">
        <v>28</v>
      </c>
      <c r="S367" t="str">
        <f>TRIM(PROPER(_xlfn.XLOOKUP(Table1[[#This Row],[ProductID_Clean]],Table3[ProductID],Table3[Category],"Missing Value",0)))</f>
        <v>Sensors</v>
      </c>
      <c r="T367" t="str">
        <f>_xlfn.XLOOKUP(Table1[[#This Row],[CustomerID_Check]],Table2[CustomerID],Table2[CustomerType],"Missing Value",0)</f>
        <v>Strategic</v>
      </c>
    </row>
    <row r="368" spans="1:20">
      <c r="A368" t="s">
        <v>590</v>
      </c>
      <c r="B368" s="1">
        <v>45773</v>
      </c>
      <c r="C368" t="s">
        <v>591</v>
      </c>
      <c r="D368" t="str">
        <f>UPPER(Table1[[#This Row],[ProductID_Clean]])</f>
        <v>P-SI-002</v>
      </c>
      <c r="E368" t="s">
        <v>31</v>
      </c>
      <c r="F368" t="s">
        <v>47</v>
      </c>
      <c r="G368" t="str">
        <f>TRIM(Table1[[#This Row],[Region_Clean]])</f>
        <v>EMEA</v>
      </c>
      <c r="H368" t="s">
        <v>24</v>
      </c>
      <c r="I368" t="s">
        <v>25</v>
      </c>
      <c r="J368" s="3">
        <v>1</v>
      </c>
      <c r="K368" s="3">
        <v>654.66999999999996</v>
      </c>
      <c r="L368">
        <v>725</v>
      </c>
      <c r="M368">
        <v>725</v>
      </c>
      <c r="N368">
        <v>70.33</v>
      </c>
      <c r="O368">
        <v>654.66999999999996</v>
      </c>
      <c r="P368" t="s">
        <v>26</v>
      </c>
      <c r="Q368" t="s">
        <v>65</v>
      </c>
      <c r="R368" t="s">
        <v>44</v>
      </c>
      <c r="S368" t="str">
        <f>TRIM(PROPER(_xlfn.XLOOKUP(Table1[[#This Row],[ProductID_Clean]],Table3[ProductID],Table3[Category],"Missing Value",0)))</f>
        <v>Sensors</v>
      </c>
      <c r="T368" t="str">
        <f>_xlfn.XLOOKUP(Table1[[#This Row],[CustomerID_Check]],Table2[CustomerID],Table2[CustomerType],"Missing Value",0)</f>
        <v>Standard</v>
      </c>
    </row>
    <row r="369" spans="1:20">
      <c r="A369" t="s">
        <v>592</v>
      </c>
      <c r="B369" s="1">
        <v>45744</v>
      </c>
      <c r="C369" t="s">
        <v>387</v>
      </c>
      <c r="D369" t="str">
        <f>UPPER(Table1[[#This Row],[ProductID_Clean]])</f>
        <v>P-SI-002</v>
      </c>
      <c r="E369" t="s">
        <v>31</v>
      </c>
      <c r="F369" t="s">
        <v>23</v>
      </c>
      <c r="G369" t="str">
        <f>TRIM(Table1[[#This Row],[Region_Clean]])</f>
        <v>N. AMERICA</v>
      </c>
      <c r="H369" t="s">
        <v>24</v>
      </c>
      <c r="I369" t="s">
        <v>25</v>
      </c>
      <c r="J369" s="3">
        <v>2</v>
      </c>
      <c r="K369" s="3">
        <v>642.78</v>
      </c>
      <c r="L369">
        <v>725</v>
      </c>
      <c r="M369">
        <v>1450</v>
      </c>
      <c r="N369">
        <v>164.44</v>
      </c>
      <c r="O369">
        <v>1285.56</v>
      </c>
      <c r="P369" t="s">
        <v>26</v>
      </c>
      <c r="Q369" t="s">
        <v>27</v>
      </c>
      <c r="R369" t="s">
        <v>44</v>
      </c>
      <c r="S369" t="str">
        <f>TRIM(PROPER(_xlfn.XLOOKUP(Table1[[#This Row],[ProductID_Clean]],Table3[ProductID],Table3[Category],"Missing Value",0)))</f>
        <v>Sensors</v>
      </c>
      <c r="T369" t="str">
        <f>_xlfn.XLOOKUP(Table1[[#This Row],[CustomerID_Check]],Table2[CustomerID],Table2[CustomerType],"Missing Value",0)</f>
        <v>Standard</v>
      </c>
    </row>
    <row r="370" spans="1:20">
      <c r="A370" t="s">
        <v>593</v>
      </c>
      <c r="B370" s="1">
        <v>45764</v>
      </c>
      <c r="C370" t="s">
        <v>194</v>
      </c>
      <c r="D370" t="str">
        <f>UPPER(Table1[[#This Row],[ProductID_Clean]])</f>
        <v>P-SI-007</v>
      </c>
      <c r="E370" t="s">
        <v>97</v>
      </c>
      <c r="F370" t="s">
        <v>23</v>
      </c>
      <c r="G370" t="str">
        <f>TRIM(Table1[[#This Row],[Region_Clean]])</f>
        <v>N. AMERICA</v>
      </c>
      <c r="H370" t="s">
        <v>24</v>
      </c>
      <c r="I370" t="s">
        <v>98</v>
      </c>
      <c r="J370" s="3">
        <v>2</v>
      </c>
      <c r="K370" s="3">
        <v>886.7</v>
      </c>
      <c r="L370">
        <v>980</v>
      </c>
      <c r="M370">
        <v>1960</v>
      </c>
      <c r="N370">
        <v>186.6</v>
      </c>
      <c r="O370">
        <v>1773.4</v>
      </c>
      <c r="P370" t="s">
        <v>126</v>
      </c>
      <c r="Q370" t="s">
        <v>35</v>
      </c>
      <c r="R370" t="s">
        <v>36</v>
      </c>
      <c r="S370" t="str">
        <f>TRIM(PROPER(_xlfn.XLOOKUP(Table1[[#This Row],[ProductID_Clean]],Table3[ProductID],Table3[Category],"Missing Value",0)))</f>
        <v>Sensors</v>
      </c>
      <c r="T370" t="str">
        <f>_xlfn.XLOOKUP(Table1[[#This Row],[CustomerID_Check]],Table2[CustomerID],Table2[CustomerType],"Missing Value",0)</f>
        <v>Strategic</v>
      </c>
    </row>
    <row r="371" spans="1:20">
      <c r="A371" t="s">
        <v>594</v>
      </c>
      <c r="B371" s="1">
        <v>45682</v>
      </c>
      <c r="C371" t="s">
        <v>139</v>
      </c>
      <c r="D371" t="str">
        <f>UPPER(Table1[[#This Row],[ProductID_Clean]])</f>
        <v>P-SA-003</v>
      </c>
      <c r="E371" t="s">
        <v>51</v>
      </c>
      <c r="F371" t="s">
        <v>47</v>
      </c>
      <c r="G371" t="str">
        <f>TRIM(Table1[[#This Row],[Region_Clean]])</f>
        <v>EMEA</v>
      </c>
      <c r="H371" t="s">
        <v>53</v>
      </c>
      <c r="I371" t="s">
        <v>25</v>
      </c>
      <c r="J371" s="3">
        <v>1</v>
      </c>
      <c r="K371" s="3">
        <v>2464.0100000000002</v>
      </c>
      <c r="L371">
        <v>2750</v>
      </c>
      <c r="M371">
        <v>2750</v>
      </c>
      <c r="N371">
        <v>285.99</v>
      </c>
      <c r="O371">
        <v>2464.0100000000002</v>
      </c>
      <c r="P371" t="s">
        <v>26</v>
      </c>
      <c r="Q371" t="s">
        <v>54</v>
      </c>
      <c r="R371" t="s">
        <v>59</v>
      </c>
      <c r="S371" t="str">
        <f>TRIM(PROPER(_xlfn.XLOOKUP(Table1[[#This Row],[ProductID_Clean]],Table3[ProductID],Table3[Category],"Missing Value",0)))</f>
        <v>Software</v>
      </c>
      <c r="T371" t="str">
        <f>_xlfn.XLOOKUP(Table1[[#This Row],[CustomerID_Check]],Table2[CustomerID],Table2[CustomerType],"Missing Value",0)</f>
        <v>Key Account</v>
      </c>
    </row>
    <row r="372" spans="1:20">
      <c r="A372" t="s">
        <v>595</v>
      </c>
      <c r="B372" s="1">
        <v>45780</v>
      </c>
      <c r="C372" t="s">
        <v>202</v>
      </c>
      <c r="D372" t="str">
        <f>UPPER(Table1[[#This Row],[ProductID_Clean]])</f>
        <v>P-SA-001</v>
      </c>
      <c r="E372" t="s">
        <v>68</v>
      </c>
      <c r="F372" t="s">
        <v>47</v>
      </c>
      <c r="G372" t="str">
        <f>TRIM(Table1[[#This Row],[Region_Clean]])</f>
        <v>EMEA</v>
      </c>
      <c r="H372" t="s">
        <v>53</v>
      </c>
      <c r="I372" t="s">
        <v>25</v>
      </c>
      <c r="J372" s="3">
        <v>1</v>
      </c>
      <c r="K372" s="3">
        <v>3647.95</v>
      </c>
      <c r="L372">
        <v>4200</v>
      </c>
      <c r="M372">
        <v>4200</v>
      </c>
      <c r="N372">
        <v>552.05000000000018</v>
      </c>
      <c r="O372">
        <v>3647.95</v>
      </c>
      <c r="P372" t="s">
        <v>26</v>
      </c>
      <c r="Q372" t="s">
        <v>54</v>
      </c>
      <c r="R372" t="s">
        <v>44</v>
      </c>
      <c r="S372" t="str">
        <f>TRIM(PROPER(_xlfn.XLOOKUP(Table1[[#This Row],[ProductID_Clean]],Table3[ProductID],Table3[Category],"Missing Value",0)))</f>
        <v>Software</v>
      </c>
      <c r="T372" t="str">
        <f>_xlfn.XLOOKUP(Table1[[#This Row],[CustomerID_Check]],Table2[CustomerID],Table2[CustomerType],"Missing Value",0)</f>
        <v>Standard</v>
      </c>
    </row>
    <row r="373" spans="1:20">
      <c r="A373" t="s">
        <v>596</v>
      </c>
      <c r="B373" s="1">
        <v>45828</v>
      </c>
      <c r="C373" t="s">
        <v>206</v>
      </c>
      <c r="D373" t="str">
        <f>UPPER(Table1[[#This Row],[ProductID_Clean]])</f>
        <v>P-SI-003</v>
      </c>
      <c r="E373" t="s">
        <v>39</v>
      </c>
      <c r="F373" t="s">
        <v>23</v>
      </c>
      <c r="G373" t="str">
        <f>TRIM(Table1[[#This Row],[Region_Clean]])</f>
        <v>N. AMERICA</v>
      </c>
      <c r="H373" t="s">
        <v>24</v>
      </c>
      <c r="I373" t="s">
        <v>25</v>
      </c>
      <c r="J373" s="3">
        <v>8</v>
      </c>
      <c r="K373" s="3">
        <v>1757.31</v>
      </c>
      <c r="L373">
        <v>1890</v>
      </c>
      <c r="M373">
        <v>15120</v>
      </c>
      <c r="N373">
        <v>1061.52</v>
      </c>
      <c r="O373">
        <v>14058.48</v>
      </c>
      <c r="P373" t="s">
        <v>26</v>
      </c>
      <c r="Q373" t="s">
        <v>35</v>
      </c>
      <c r="R373" t="s">
        <v>48</v>
      </c>
      <c r="S373" t="str">
        <f>TRIM(PROPER(_xlfn.XLOOKUP(Table1[[#This Row],[ProductID_Clean]],Table3[ProductID],Table3[Category],"Missing Value",0)))</f>
        <v>Instruments</v>
      </c>
      <c r="T373" t="str">
        <f>_xlfn.XLOOKUP(Table1[[#This Row],[CustomerID_Check]],Table2[CustomerID],Table2[CustomerType],"Missing Value",0)</f>
        <v>Standard</v>
      </c>
    </row>
    <row r="374" spans="1:20">
      <c r="A374" t="s">
        <v>597</v>
      </c>
      <c r="B374" s="1">
        <v>45728</v>
      </c>
      <c r="C374" t="s">
        <v>151</v>
      </c>
      <c r="D374" t="str">
        <f>UPPER(Table1[[#This Row],[ProductID_Clean]])</f>
        <v>P-SI-001</v>
      </c>
      <c r="E374" t="s">
        <v>72</v>
      </c>
      <c r="F374" t="s">
        <v>32</v>
      </c>
      <c r="G374" t="str">
        <f>TRIM(Table1[[#This Row],[Region_Clean]])</f>
        <v>LATIN AMERICA</v>
      </c>
      <c r="H374" t="s">
        <v>24</v>
      </c>
      <c r="I374" t="s">
        <v>34</v>
      </c>
      <c r="J374" s="3">
        <v>1</v>
      </c>
      <c r="K374" s="3">
        <v>24.25</v>
      </c>
      <c r="L374">
        <v>485</v>
      </c>
      <c r="M374">
        <v>485</v>
      </c>
      <c r="N374">
        <v>460.75</v>
      </c>
      <c r="O374">
        <v>24.25</v>
      </c>
      <c r="P374" t="s">
        <v>26</v>
      </c>
      <c r="Q374" t="s">
        <v>35</v>
      </c>
      <c r="R374" t="s">
        <v>59</v>
      </c>
      <c r="S374" t="str">
        <f>TRIM(PROPER(_xlfn.XLOOKUP(Table1[[#This Row],[ProductID_Clean]],Table3[ProductID],Table3[Category],"Missing Value",0)))</f>
        <v>Sensors</v>
      </c>
      <c r="T374" t="str">
        <f>_xlfn.XLOOKUP(Table1[[#This Row],[CustomerID_Check]],Table2[CustomerID],Table2[CustomerType],"Missing Value",0)</f>
        <v>Standard</v>
      </c>
    </row>
    <row r="375" spans="1:20">
      <c r="A375" t="s">
        <v>598</v>
      </c>
      <c r="B375" s="1">
        <v>45833</v>
      </c>
      <c r="C375" t="s">
        <v>170</v>
      </c>
      <c r="D375" t="str">
        <f>UPPER(Table1[[#This Row],[ProductID_Clean]])</f>
        <v>P-SI-001</v>
      </c>
      <c r="E375" t="s">
        <v>72</v>
      </c>
      <c r="F375" t="s">
        <v>47</v>
      </c>
      <c r="G375" t="str">
        <f>TRIM(Table1[[#This Row],[Region_Clean]])</f>
        <v>EMEA</v>
      </c>
      <c r="H375" t="s">
        <v>24</v>
      </c>
      <c r="I375" t="s">
        <v>25</v>
      </c>
      <c r="J375" s="3">
        <v>4</v>
      </c>
      <c r="K375" s="3">
        <v>480.5</v>
      </c>
      <c r="L375">
        <v>485</v>
      </c>
      <c r="M375">
        <v>1940</v>
      </c>
      <c r="N375">
        <v>18</v>
      </c>
      <c r="O375">
        <v>1922</v>
      </c>
      <c r="P375" t="s">
        <v>26</v>
      </c>
      <c r="Q375" t="s">
        <v>35</v>
      </c>
      <c r="R375" t="s">
        <v>59</v>
      </c>
      <c r="S375" t="str">
        <f>TRIM(PROPER(_xlfn.XLOOKUP(Table1[[#This Row],[ProductID_Clean]],Table3[ProductID],Table3[Category],"Missing Value",0)))</f>
        <v>Sensors</v>
      </c>
      <c r="T375" t="str">
        <f>_xlfn.XLOOKUP(Table1[[#This Row],[CustomerID_Check]],Table2[CustomerID],Table2[CustomerType],"Missing Value",0)</f>
        <v>Standard</v>
      </c>
    </row>
    <row r="376" spans="1:20">
      <c r="A376" t="s">
        <v>599</v>
      </c>
      <c r="B376" s="1">
        <v>45679</v>
      </c>
      <c r="C376" t="s">
        <v>496</v>
      </c>
      <c r="D376" t="str">
        <f>UPPER(Table1[[#This Row],[ProductID_Clean]])</f>
        <v>P-FS-006</v>
      </c>
      <c r="E376" t="s">
        <v>92</v>
      </c>
      <c r="F376" t="s">
        <v>47</v>
      </c>
      <c r="G376" t="str">
        <f>TRIM(Table1[[#This Row],[Region_Clean]])</f>
        <v>EMEA</v>
      </c>
      <c r="H376" t="s">
        <v>82</v>
      </c>
      <c r="I376" t="s">
        <v>40</v>
      </c>
      <c r="J376" s="3">
        <v>1</v>
      </c>
      <c r="K376" s="3">
        <v>1200.42</v>
      </c>
      <c r="L376">
        <v>1450</v>
      </c>
      <c r="M376">
        <v>1450</v>
      </c>
      <c r="N376">
        <v>249.58</v>
      </c>
      <c r="O376">
        <v>1200.42</v>
      </c>
      <c r="P376" t="s">
        <v>26</v>
      </c>
      <c r="Q376" t="s">
        <v>35</v>
      </c>
      <c r="R376" t="s">
        <v>36</v>
      </c>
      <c r="S376" t="str">
        <f>TRIM(PROPER(_xlfn.XLOOKUP(Table1[[#This Row],[ProductID_Clean]],Table3[ProductID],Table3[Category],"Missing Value",0)))</f>
        <v>Services</v>
      </c>
      <c r="T376" t="str">
        <f>_xlfn.XLOOKUP(Table1[[#This Row],[CustomerID_Check]],Table2[CustomerID],Table2[CustomerType],"Missing Value",0)</f>
        <v>Key Account</v>
      </c>
    </row>
    <row r="377" spans="1:20">
      <c r="A377" t="s">
        <v>600</v>
      </c>
      <c r="B377" s="1">
        <v>45768</v>
      </c>
      <c r="C377" t="s">
        <v>460</v>
      </c>
      <c r="D377" t="str">
        <f>UPPER(Table1[[#This Row],[ProductID_Clean]])</f>
        <v>P-SI-002</v>
      </c>
      <c r="E377" t="s">
        <v>31</v>
      </c>
      <c r="F377" t="s">
        <v>23</v>
      </c>
      <c r="G377" t="str">
        <f>TRIM(Table1[[#This Row],[Region_Clean]])</f>
        <v>N. AMERICA</v>
      </c>
      <c r="H377" t="s">
        <v>24</v>
      </c>
      <c r="I377" t="s">
        <v>87</v>
      </c>
      <c r="J377" s="3">
        <v>3</v>
      </c>
      <c r="K377" s="3">
        <v>652.25</v>
      </c>
      <c r="L377">
        <v>725</v>
      </c>
      <c r="M377">
        <v>2175</v>
      </c>
      <c r="N377">
        <v>218.25</v>
      </c>
      <c r="O377">
        <v>1956.75</v>
      </c>
      <c r="P377" t="s">
        <v>26</v>
      </c>
      <c r="Q377" t="s">
        <v>35</v>
      </c>
      <c r="R377" t="s">
        <v>36</v>
      </c>
      <c r="S377" t="str">
        <f>TRIM(PROPER(_xlfn.XLOOKUP(Table1[[#This Row],[ProductID_Clean]],Table3[ProductID],Table3[Category],"Missing Value",0)))</f>
        <v>Sensors</v>
      </c>
      <c r="T377" t="str">
        <f>_xlfn.XLOOKUP(Table1[[#This Row],[CustomerID_Check]],Table2[CustomerID],Table2[CustomerType],"Missing Value",0)</f>
        <v>Standard</v>
      </c>
    </row>
    <row r="378" spans="1:20">
      <c r="A378" t="s">
        <v>601</v>
      </c>
      <c r="B378" s="1">
        <v>45753</v>
      </c>
      <c r="C378" t="s">
        <v>602</v>
      </c>
      <c r="D378" t="str">
        <f>UPPER(Table1[[#This Row],[ProductID_Clean]])</f>
        <v>P-SI-008</v>
      </c>
      <c r="E378" t="s">
        <v>152</v>
      </c>
      <c r="F378" t="s">
        <v>23</v>
      </c>
      <c r="G378" t="str">
        <f>TRIM(Table1[[#This Row],[Region_Clean]])</f>
        <v>N. AMERICA</v>
      </c>
      <c r="H378" t="s">
        <v>24</v>
      </c>
      <c r="I378" t="s">
        <v>184</v>
      </c>
      <c r="J378" s="3">
        <v>2</v>
      </c>
      <c r="K378" s="3">
        <v>804.22</v>
      </c>
      <c r="L378">
        <v>950</v>
      </c>
      <c r="M378">
        <v>1900</v>
      </c>
      <c r="N378">
        <v>291.56</v>
      </c>
      <c r="O378">
        <v>1608.44</v>
      </c>
      <c r="P378" t="s">
        <v>26</v>
      </c>
      <c r="Q378" t="s">
        <v>27</v>
      </c>
      <c r="R378" t="s">
        <v>48</v>
      </c>
      <c r="S378" t="str">
        <f>TRIM(PROPER(_xlfn.XLOOKUP(Table1[[#This Row],[ProductID_Clean]],Table3[ProductID],Table3[Category],"Missing Value",0)))</f>
        <v>Instruments</v>
      </c>
      <c r="T378" t="str">
        <f>_xlfn.XLOOKUP(Table1[[#This Row],[CustomerID_Check]],Table2[CustomerID],Table2[CustomerType],"Missing Value",0)</f>
        <v>Standard</v>
      </c>
    </row>
    <row r="379" spans="1:20">
      <c r="A379" t="s">
        <v>603</v>
      </c>
      <c r="B379" s="1">
        <v>45800</v>
      </c>
      <c r="C379" t="s">
        <v>557</v>
      </c>
      <c r="D379" t="str">
        <f>UPPER(Table1[[#This Row],[ProductID_Clean]])</f>
        <v>P-SI-004</v>
      </c>
      <c r="E379" t="s">
        <v>22</v>
      </c>
      <c r="F379" t="s">
        <v>23</v>
      </c>
      <c r="G379" t="str">
        <f>TRIM(Table1[[#This Row],[Region_Clean]])</f>
        <v>N. AMERICA</v>
      </c>
      <c r="H379" t="s">
        <v>24</v>
      </c>
      <c r="I379" t="s">
        <v>25</v>
      </c>
      <c r="J379" s="3">
        <v>2</v>
      </c>
      <c r="K379" s="3">
        <v>2312.77</v>
      </c>
      <c r="L379">
        <v>2450</v>
      </c>
      <c r="M379">
        <v>4900</v>
      </c>
      <c r="N379">
        <v>274.45999999999998</v>
      </c>
      <c r="O379">
        <v>4625.54</v>
      </c>
      <c r="P379" t="s">
        <v>26</v>
      </c>
      <c r="Q379" t="s">
        <v>35</v>
      </c>
      <c r="R379" t="s">
        <v>36</v>
      </c>
      <c r="S379" t="str">
        <f>TRIM(PROPER(_xlfn.XLOOKUP(Table1[[#This Row],[ProductID_Clean]],Table3[ProductID],Table3[Category],"Missing Value",0)))</f>
        <v>Instruments</v>
      </c>
      <c r="T379" t="str">
        <f>_xlfn.XLOOKUP(Table1[[#This Row],[CustomerID_Check]],Table2[CustomerID],Table2[CustomerType],"Missing Value",0)</f>
        <v>Standard</v>
      </c>
    </row>
    <row r="380" spans="1:20">
      <c r="A380" t="s">
        <v>604</v>
      </c>
      <c r="B380" s="1">
        <v>45808</v>
      </c>
      <c r="C380" t="s">
        <v>316</v>
      </c>
      <c r="D380" t="str">
        <f>UPPER(Table1[[#This Row],[ProductID_Clean]])</f>
        <v>P-SA-003</v>
      </c>
      <c r="E380" t="s">
        <v>51</v>
      </c>
      <c r="F380" t="s">
        <v>32</v>
      </c>
      <c r="G380" t="str">
        <f>TRIM(Table1[[#This Row],[Region_Clean]])</f>
        <v>LATIN AMERICA</v>
      </c>
      <c r="H380" t="s">
        <v>53</v>
      </c>
      <c r="I380" t="s">
        <v>34</v>
      </c>
      <c r="J380" s="3">
        <v>1</v>
      </c>
      <c r="K380" s="3">
        <v>2203.2600000000002</v>
      </c>
      <c r="L380">
        <v>2750</v>
      </c>
      <c r="M380">
        <v>2750</v>
      </c>
      <c r="N380">
        <v>546.74</v>
      </c>
      <c r="O380">
        <v>2203.2600000000002</v>
      </c>
      <c r="P380" t="s">
        <v>26</v>
      </c>
      <c r="Q380" t="s">
        <v>189</v>
      </c>
      <c r="R380" t="s">
        <v>48</v>
      </c>
      <c r="S380" t="str">
        <f>TRIM(PROPER(_xlfn.XLOOKUP(Table1[[#This Row],[ProductID_Clean]],Table3[ProductID],Table3[Category],"Missing Value",0)))</f>
        <v>Software</v>
      </c>
      <c r="T380" t="str">
        <f>_xlfn.XLOOKUP(Table1[[#This Row],[CustomerID_Check]],Table2[CustomerID],Table2[CustomerType],"Missing Value",0)</f>
        <v>Key Account</v>
      </c>
    </row>
    <row r="381" spans="1:20">
      <c r="A381" t="s">
        <v>605</v>
      </c>
      <c r="B381" s="1">
        <v>45742</v>
      </c>
      <c r="C381" t="s">
        <v>194</v>
      </c>
      <c r="D381" t="str">
        <f>UPPER(Table1[[#This Row],[ProductID_Clean]])</f>
        <v>P-SI-007</v>
      </c>
      <c r="E381" t="s">
        <v>97</v>
      </c>
      <c r="F381" t="s">
        <v>23</v>
      </c>
      <c r="G381" t="str">
        <f>TRIM(Table1[[#This Row],[Region_Clean]])</f>
        <v>N. AMERICA</v>
      </c>
      <c r="H381" t="s">
        <v>24</v>
      </c>
      <c r="I381" t="s">
        <v>25</v>
      </c>
      <c r="J381" s="3">
        <v>10</v>
      </c>
      <c r="K381" s="3">
        <v>887.32</v>
      </c>
      <c r="L381">
        <v>980</v>
      </c>
      <c r="M381">
        <v>9800</v>
      </c>
      <c r="N381">
        <v>926.8</v>
      </c>
      <c r="O381">
        <v>8873.2000000000007</v>
      </c>
      <c r="P381" t="s">
        <v>113</v>
      </c>
      <c r="Q381" t="s">
        <v>35</v>
      </c>
      <c r="R381" t="s">
        <v>36</v>
      </c>
      <c r="S381" t="str">
        <f>TRIM(PROPER(_xlfn.XLOOKUP(Table1[[#This Row],[ProductID_Clean]],Table3[ProductID],Table3[Category],"Missing Value",0)))</f>
        <v>Sensors</v>
      </c>
      <c r="T381" t="str">
        <f>_xlfn.XLOOKUP(Table1[[#This Row],[CustomerID_Check]],Table2[CustomerID],Table2[CustomerType],"Missing Value",0)</f>
        <v>Strategic</v>
      </c>
    </row>
    <row r="382" spans="1:20">
      <c r="A382" t="s">
        <v>606</v>
      </c>
      <c r="B382" s="1">
        <v>45748</v>
      </c>
      <c r="C382" t="s">
        <v>56</v>
      </c>
      <c r="D382" t="str">
        <f>UPPER(Table1[[#This Row],[ProductID_Clean]])</f>
        <v>P-SA-005</v>
      </c>
      <c r="E382" t="s">
        <v>62</v>
      </c>
      <c r="F382" t="s">
        <v>58</v>
      </c>
      <c r="G382" t="str">
        <f>TRIM(Table1[[#This Row],[Region_Clean]])</f>
        <v>APAC</v>
      </c>
      <c r="H382" t="s">
        <v>53</v>
      </c>
      <c r="I382" t="s">
        <v>34</v>
      </c>
      <c r="J382" s="3">
        <v>1</v>
      </c>
      <c r="K382" s="3">
        <v>2522.25</v>
      </c>
      <c r="L382">
        <v>3200</v>
      </c>
      <c r="M382">
        <v>3200</v>
      </c>
      <c r="N382">
        <v>677.75</v>
      </c>
      <c r="O382">
        <v>2522.25</v>
      </c>
      <c r="P382" t="s">
        <v>26</v>
      </c>
      <c r="Q382" t="s">
        <v>54</v>
      </c>
      <c r="R382" t="s">
        <v>59</v>
      </c>
      <c r="S382" t="str">
        <f>TRIM(PROPER(_xlfn.XLOOKUP(Table1[[#This Row],[ProductID_Clean]],Table3[ProductID],Table3[Category],"Missing Value",0)))</f>
        <v>Software / Integration</v>
      </c>
      <c r="T382" t="str">
        <f>_xlfn.XLOOKUP(Table1[[#This Row],[CustomerID_Check]],Table2[CustomerID],Table2[CustomerType],"Missing Value",0)</f>
        <v>Key Account</v>
      </c>
    </row>
    <row r="383" spans="1:20">
      <c r="A383" t="s">
        <v>607</v>
      </c>
      <c r="B383" s="1">
        <v>45766</v>
      </c>
      <c r="C383" t="s">
        <v>213</v>
      </c>
      <c r="D383" t="str">
        <f>UPPER(Table1[[#This Row],[ProductID_Clean]])</f>
        <v>P-SI-008</v>
      </c>
      <c r="E383" t="s">
        <v>152</v>
      </c>
      <c r="F383" t="s">
        <v>23</v>
      </c>
      <c r="G383" t="str">
        <f>TRIM(Table1[[#This Row],[Region_Clean]])</f>
        <v>N. AMERICA</v>
      </c>
      <c r="H383" t="s">
        <v>24</v>
      </c>
      <c r="I383" t="s">
        <v>87</v>
      </c>
      <c r="J383" s="3">
        <v>3</v>
      </c>
      <c r="K383" s="3">
        <v>850.4</v>
      </c>
      <c r="L383">
        <v>950</v>
      </c>
      <c r="M383">
        <v>2850</v>
      </c>
      <c r="N383">
        <v>298.8</v>
      </c>
      <c r="O383">
        <v>2551.1999999999998</v>
      </c>
      <c r="P383" t="s">
        <v>26</v>
      </c>
      <c r="Q383" t="s">
        <v>35</v>
      </c>
      <c r="R383" t="s">
        <v>36</v>
      </c>
      <c r="S383" t="str">
        <f>TRIM(PROPER(_xlfn.XLOOKUP(Table1[[#This Row],[ProductID_Clean]],Table3[ProductID],Table3[Category],"Missing Value",0)))</f>
        <v>Instruments</v>
      </c>
      <c r="T383" t="str">
        <f>_xlfn.XLOOKUP(Table1[[#This Row],[CustomerID_Check]],Table2[CustomerID],Table2[CustomerType],"Missing Value",0)</f>
        <v>Emerging</v>
      </c>
    </row>
    <row r="384" spans="1:20">
      <c r="A384" t="s">
        <v>608</v>
      </c>
      <c r="B384" s="1">
        <v>45671</v>
      </c>
      <c r="C384" t="s">
        <v>130</v>
      </c>
      <c r="D384" t="str">
        <f>UPPER(Table1[[#This Row],[ProductID_Clean]])</f>
        <v>P-SI-004</v>
      </c>
      <c r="E384" t="s">
        <v>22</v>
      </c>
      <c r="F384" t="s">
        <v>58</v>
      </c>
      <c r="G384" t="str">
        <f>TRIM(Table1[[#This Row],[Region_Clean]])</f>
        <v>APAC</v>
      </c>
      <c r="H384" t="s">
        <v>24</v>
      </c>
      <c r="I384" t="s">
        <v>25</v>
      </c>
      <c r="J384" s="3">
        <v>2</v>
      </c>
      <c r="K384" s="3">
        <v>2160.91</v>
      </c>
      <c r="L384">
        <v>2450</v>
      </c>
      <c r="M384">
        <v>4900</v>
      </c>
      <c r="N384">
        <v>578.17999999999995</v>
      </c>
      <c r="O384">
        <v>4321.82</v>
      </c>
      <c r="P384" t="s">
        <v>126</v>
      </c>
      <c r="Q384" t="s">
        <v>27</v>
      </c>
      <c r="R384" t="s">
        <v>48</v>
      </c>
      <c r="S384" t="str">
        <f>TRIM(PROPER(_xlfn.XLOOKUP(Table1[[#This Row],[ProductID_Clean]],Table3[ProductID],Table3[Category],"Missing Value",0)))</f>
        <v>Instruments</v>
      </c>
      <c r="T384" t="str">
        <f>_xlfn.XLOOKUP(Table1[[#This Row],[CustomerID_Check]],Table2[CustomerID],Table2[CustomerType],"Missing Value",0)</f>
        <v>Standard</v>
      </c>
    </row>
    <row r="385" spans="1:20">
      <c r="A385" t="s">
        <v>609</v>
      </c>
      <c r="B385" s="1">
        <v>45811</v>
      </c>
      <c r="C385" t="s">
        <v>21</v>
      </c>
      <c r="D385" t="str">
        <f>UPPER(Table1[[#This Row],[ProductID_Clean]])</f>
        <v>P-SI-002</v>
      </c>
      <c r="E385" t="s">
        <v>31</v>
      </c>
      <c r="F385" t="s">
        <v>23</v>
      </c>
      <c r="G385" t="str">
        <f>TRIM(Table1[[#This Row],[Region_Clean]])</f>
        <v>N. AMERICA</v>
      </c>
      <c r="H385" t="s">
        <v>24</v>
      </c>
      <c r="I385" t="s">
        <v>87</v>
      </c>
      <c r="J385" s="3">
        <v>8</v>
      </c>
      <c r="K385" s="3">
        <v>597.11</v>
      </c>
      <c r="L385">
        <v>725</v>
      </c>
      <c r="M385">
        <v>5800</v>
      </c>
      <c r="N385">
        <v>1023.12</v>
      </c>
      <c r="O385">
        <v>4776.88</v>
      </c>
      <c r="P385" t="s">
        <v>26</v>
      </c>
      <c r="Q385" t="s">
        <v>65</v>
      </c>
      <c r="R385" t="s">
        <v>28</v>
      </c>
      <c r="S385" t="str">
        <f>TRIM(PROPER(_xlfn.XLOOKUP(Table1[[#This Row],[ProductID_Clean]],Table3[ProductID],Table3[Category],"Missing Value",0)))</f>
        <v>Sensors</v>
      </c>
      <c r="T385" t="str">
        <f>_xlfn.XLOOKUP(Table1[[#This Row],[CustomerID_Check]],Table2[CustomerID],Table2[CustomerType],"Missing Value",0)</f>
        <v>Standard</v>
      </c>
    </row>
    <row r="386" spans="1:20">
      <c r="A386" t="s">
        <v>610</v>
      </c>
      <c r="B386" s="1">
        <v>45748</v>
      </c>
      <c r="C386" t="s">
        <v>611</v>
      </c>
      <c r="D386" t="str">
        <f>UPPER(Table1[[#This Row],[ProductID_Clean]])</f>
        <v>P-SI-004</v>
      </c>
      <c r="E386" t="s">
        <v>22</v>
      </c>
      <c r="F386" t="s">
        <v>47</v>
      </c>
      <c r="G386" t="str">
        <f>TRIM(Table1[[#This Row],[Region_Clean]])</f>
        <v>EMEA</v>
      </c>
      <c r="H386" t="s">
        <v>24</v>
      </c>
      <c r="I386" t="s">
        <v>40</v>
      </c>
      <c r="J386" s="3">
        <v>8</v>
      </c>
      <c r="K386" s="3">
        <v>2479.14</v>
      </c>
      <c r="L386">
        <v>2450</v>
      </c>
      <c r="M386">
        <v>19600</v>
      </c>
      <c r="N386">
        <v>-233.12</v>
      </c>
      <c r="O386">
        <v>19833.12</v>
      </c>
      <c r="P386" t="s">
        <v>26</v>
      </c>
      <c r="Q386" t="s">
        <v>35</v>
      </c>
      <c r="R386" t="s">
        <v>59</v>
      </c>
      <c r="S386" t="str">
        <f>TRIM(PROPER(_xlfn.XLOOKUP(Table1[[#This Row],[ProductID_Clean]],Table3[ProductID],Table3[Category],"Missing Value",0)))</f>
        <v>Instruments</v>
      </c>
      <c r="T386" t="str">
        <f>_xlfn.XLOOKUP(Table1[[#This Row],[CustomerID_Check]],Table2[CustomerID],Table2[CustomerType],"Missing Value",0)</f>
        <v>Standard</v>
      </c>
    </row>
    <row r="387" spans="1:20">
      <c r="A387" t="s">
        <v>612</v>
      </c>
      <c r="B387" s="1">
        <v>45805</v>
      </c>
      <c r="C387" t="s">
        <v>276</v>
      </c>
      <c r="D387" t="str">
        <f>UPPER(Table1[[#This Row],[ProductID_Clean]])</f>
        <v>P-FS-001</v>
      </c>
      <c r="E387" t="s">
        <v>133</v>
      </c>
      <c r="F387" t="s">
        <v>58</v>
      </c>
      <c r="G387" t="str">
        <f>TRIM(Table1[[#This Row],[Region_Clean]])</f>
        <v>APAC</v>
      </c>
      <c r="H387" t="s">
        <v>82</v>
      </c>
      <c r="I387" t="s">
        <v>25</v>
      </c>
      <c r="J387" s="3">
        <v>1</v>
      </c>
      <c r="K387" s="3">
        <v>1347.41</v>
      </c>
      <c r="L387">
        <v>1850</v>
      </c>
      <c r="M387">
        <v>1850</v>
      </c>
      <c r="N387">
        <v>502.59</v>
      </c>
      <c r="O387">
        <v>1347.41</v>
      </c>
      <c r="P387" t="s">
        <v>26</v>
      </c>
      <c r="Q387" t="s">
        <v>35</v>
      </c>
      <c r="R387" t="s">
        <v>59</v>
      </c>
      <c r="S387" t="str">
        <f>TRIM(PROPER(_xlfn.XLOOKUP(Table1[[#This Row],[ProductID_Clean]],Table3[ProductID],Table3[Category],"Missing Value",0)))</f>
        <v>Services</v>
      </c>
      <c r="T387" t="str">
        <f>_xlfn.XLOOKUP(Table1[[#This Row],[CustomerID_Check]],Table2[CustomerID],Table2[CustomerType],"Missing Value",0)</f>
        <v>Key Account</v>
      </c>
    </row>
    <row r="388" spans="1:20">
      <c r="A388" t="s">
        <v>613</v>
      </c>
      <c r="B388" s="1">
        <v>45826</v>
      </c>
      <c r="C388" t="s">
        <v>176</v>
      </c>
      <c r="D388" t="str">
        <f>UPPER(Table1[[#This Row],[ProductID_Clean]])</f>
        <v>P-SA-001</v>
      </c>
      <c r="E388" t="s">
        <v>68</v>
      </c>
      <c r="F388" t="s">
        <v>58</v>
      </c>
      <c r="G388" t="str">
        <f>TRIM(Table1[[#This Row],[Region_Clean]])</f>
        <v>APAC</v>
      </c>
      <c r="H388" t="s">
        <v>53</v>
      </c>
      <c r="I388" t="s">
        <v>87</v>
      </c>
      <c r="J388" s="3">
        <v>3</v>
      </c>
      <c r="K388" s="3">
        <v>3270.93</v>
      </c>
      <c r="L388">
        <v>4200</v>
      </c>
      <c r="M388">
        <v>12600</v>
      </c>
      <c r="N388">
        <v>2787.21</v>
      </c>
      <c r="O388">
        <v>9812.7900000000009</v>
      </c>
      <c r="P388" t="s">
        <v>26</v>
      </c>
      <c r="Q388" t="s">
        <v>54</v>
      </c>
      <c r="R388" t="s">
        <v>28</v>
      </c>
      <c r="S388" t="str">
        <f>TRIM(PROPER(_xlfn.XLOOKUP(Table1[[#This Row],[ProductID_Clean]],Table3[ProductID],Table3[Category],"Missing Value",0)))</f>
        <v>Software</v>
      </c>
      <c r="T388" t="str">
        <f>_xlfn.XLOOKUP(Table1[[#This Row],[CustomerID_Check]],Table2[CustomerID],Table2[CustomerType],"Missing Value",0)</f>
        <v>Emerging</v>
      </c>
    </row>
    <row r="389" spans="1:20">
      <c r="A389" t="s">
        <v>614</v>
      </c>
      <c r="B389" s="1">
        <v>45715</v>
      </c>
      <c r="C389" t="s">
        <v>172</v>
      </c>
      <c r="D389" t="str">
        <f>UPPER(Table1[[#This Row],[ProductID_Clean]])</f>
        <v>P-SA-003</v>
      </c>
      <c r="E389" t="s">
        <v>51</v>
      </c>
      <c r="F389" t="s">
        <v>23</v>
      </c>
      <c r="G389" t="str">
        <f>TRIM(Table1[[#This Row],[Region_Clean]])</f>
        <v>N. AMERICA</v>
      </c>
      <c r="H389" t="s">
        <v>53</v>
      </c>
      <c r="I389" t="s">
        <v>25</v>
      </c>
      <c r="J389" s="3">
        <v>1</v>
      </c>
      <c r="K389" s="3">
        <v>2536.4299999999998</v>
      </c>
      <c r="L389">
        <v>2750</v>
      </c>
      <c r="M389">
        <v>2750</v>
      </c>
      <c r="N389">
        <v>213.57</v>
      </c>
      <c r="O389">
        <v>2536.4299999999998</v>
      </c>
      <c r="P389" t="s">
        <v>26</v>
      </c>
      <c r="Q389" t="s">
        <v>54</v>
      </c>
      <c r="R389" t="s">
        <v>36</v>
      </c>
      <c r="S389" t="str">
        <f>TRIM(PROPER(_xlfn.XLOOKUP(Table1[[#This Row],[ProductID_Clean]],Table3[ProductID],Table3[Category],"Missing Value",0)))</f>
        <v>Software</v>
      </c>
      <c r="T389" t="str">
        <f>_xlfn.XLOOKUP(Table1[[#This Row],[CustomerID_Check]],Table2[CustomerID],Table2[CustomerType],"Missing Value",0)</f>
        <v>Key Account</v>
      </c>
    </row>
    <row r="390" spans="1:20">
      <c r="A390" t="s">
        <v>615</v>
      </c>
      <c r="B390" s="1">
        <v>45800</v>
      </c>
      <c r="C390" t="s">
        <v>488</v>
      </c>
      <c r="D390" t="str">
        <f>UPPER(Table1[[#This Row],[ProductID_Clean]])</f>
        <v>P-SI-003</v>
      </c>
      <c r="E390" t="s">
        <v>39</v>
      </c>
      <c r="F390" t="s">
        <v>32</v>
      </c>
      <c r="G390" t="str">
        <f>TRIM(Table1[[#This Row],[Region_Clean]])</f>
        <v>LATIN AMERICA</v>
      </c>
      <c r="H390" t="s">
        <v>24</v>
      </c>
      <c r="I390" t="s">
        <v>25</v>
      </c>
      <c r="J390" s="3">
        <v>2</v>
      </c>
      <c r="K390" s="3">
        <v>1566.17</v>
      </c>
      <c r="L390">
        <v>1890</v>
      </c>
      <c r="M390">
        <v>3780</v>
      </c>
      <c r="N390">
        <v>647.66</v>
      </c>
      <c r="O390">
        <v>3132.34</v>
      </c>
      <c r="P390" t="s">
        <v>26</v>
      </c>
      <c r="Q390" t="s">
        <v>35</v>
      </c>
      <c r="R390" t="s">
        <v>36</v>
      </c>
      <c r="S390" t="str">
        <f>TRIM(PROPER(_xlfn.XLOOKUP(Table1[[#This Row],[ProductID_Clean]],Table3[ProductID],Table3[Category],"Missing Value",0)))</f>
        <v>Instruments</v>
      </c>
      <c r="T390" t="str">
        <f>_xlfn.XLOOKUP(Table1[[#This Row],[CustomerID_Check]],Table2[CustomerID],Table2[CustomerType],"Missing Value",0)</f>
        <v>Strategic</v>
      </c>
    </row>
    <row r="391" spans="1:20">
      <c r="A391" t="s">
        <v>616</v>
      </c>
      <c r="B391" s="1">
        <v>45687</v>
      </c>
      <c r="C391" t="s">
        <v>332</v>
      </c>
      <c r="D391" t="str">
        <f>UPPER(Table1[[#This Row],[ProductID_Clean]])</f>
        <v>P-FS-001</v>
      </c>
      <c r="E391" t="s">
        <v>133</v>
      </c>
      <c r="F391" t="s">
        <v>23</v>
      </c>
      <c r="G391" t="str">
        <f>TRIM(Table1[[#This Row],[Region_Clean]])</f>
        <v>N. AMERICA</v>
      </c>
      <c r="H391" t="s">
        <v>82</v>
      </c>
      <c r="I391" t="s">
        <v>25</v>
      </c>
      <c r="J391" s="3">
        <v>1</v>
      </c>
      <c r="K391" s="3">
        <v>1455.23</v>
      </c>
      <c r="L391">
        <v>1850</v>
      </c>
      <c r="M391">
        <v>1850</v>
      </c>
      <c r="N391">
        <v>394.77</v>
      </c>
      <c r="O391">
        <v>1455.23</v>
      </c>
      <c r="P391" t="s">
        <v>26</v>
      </c>
      <c r="Q391" t="s">
        <v>35</v>
      </c>
      <c r="R391" t="s">
        <v>28</v>
      </c>
      <c r="S391" t="str">
        <f>TRIM(PROPER(_xlfn.XLOOKUP(Table1[[#This Row],[ProductID_Clean]],Table3[ProductID],Table3[Category],"Missing Value",0)))</f>
        <v>Services</v>
      </c>
      <c r="T391" t="str">
        <f>_xlfn.XLOOKUP(Table1[[#This Row],[CustomerID_Check]],Table2[CustomerID],Table2[CustomerType],"Missing Value",0)</f>
        <v>Key Account</v>
      </c>
    </row>
    <row r="392" spans="1:20">
      <c r="A392" t="s">
        <v>617</v>
      </c>
      <c r="B392" s="1">
        <v>45665</v>
      </c>
      <c r="C392" t="s">
        <v>541</v>
      </c>
      <c r="D392" t="str">
        <f>UPPER(Table1[[#This Row],[ProductID_Clean]])</f>
        <v>P-SI-003</v>
      </c>
      <c r="E392" t="s">
        <v>39</v>
      </c>
      <c r="F392" t="s">
        <v>23</v>
      </c>
      <c r="G392" t="str">
        <f>TRIM(Table1[[#This Row],[Region_Clean]])</f>
        <v>N. AMERICA</v>
      </c>
      <c r="H392" t="s">
        <v>24</v>
      </c>
      <c r="I392" t="s">
        <v>34</v>
      </c>
      <c r="J392" s="3">
        <v>1</v>
      </c>
      <c r="K392" s="3">
        <v>94.5</v>
      </c>
      <c r="L392">
        <v>1890</v>
      </c>
      <c r="M392">
        <v>1890</v>
      </c>
      <c r="N392">
        <v>1795.5</v>
      </c>
      <c r="O392">
        <v>94.5</v>
      </c>
      <c r="P392" t="s">
        <v>26</v>
      </c>
      <c r="Q392" t="s">
        <v>27</v>
      </c>
      <c r="R392" t="s">
        <v>48</v>
      </c>
      <c r="S392" t="str">
        <f>TRIM(PROPER(_xlfn.XLOOKUP(Table1[[#This Row],[ProductID_Clean]],Table3[ProductID],Table3[Category],"Missing Value",0)))</f>
        <v>Instruments</v>
      </c>
      <c r="T392" t="str">
        <f>_xlfn.XLOOKUP(Table1[[#This Row],[CustomerID_Check]],Table2[CustomerID],Table2[CustomerType],"Missing Value",0)</f>
        <v>Standard</v>
      </c>
    </row>
    <row r="393" spans="1:20">
      <c r="A393" t="s">
        <v>618</v>
      </c>
      <c r="B393" s="1">
        <v>45817</v>
      </c>
      <c r="C393" t="s">
        <v>128</v>
      </c>
      <c r="D393" t="str">
        <f>UPPER(Table1[[#This Row],[ProductID_Clean]])</f>
        <v>P-SA-002</v>
      </c>
      <c r="E393" t="s">
        <v>147</v>
      </c>
      <c r="F393" t="s">
        <v>32</v>
      </c>
      <c r="G393" t="str">
        <f>TRIM(Table1[[#This Row],[Region_Clean]])</f>
        <v>LATIN AMERICA</v>
      </c>
      <c r="H393" t="s">
        <v>53</v>
      </c>
      <c r="I393" t="s">
        <v>25</v>
      </c>
      <c r="J393" s="3">
        <v>3</v>
      </c>
      <c r="K393" s="3">
        <v>8198.2800000000007</v>
      </c>
      <c r="L393">
        <v>9800</v>
      </c>
      <c r="M393">
        <v>29400</v>
      </c>
      <c r="N393">
        <v>4805.16</v>
      </c>
      <c r="O393">
        <v>24594.84</v>
      </c>
      <c r="P393" t="s">
        <v>26</v>
      </c>
      <c r="Q393" t="s">
        <v>54</v>
      </c>
      <c r="R393" t="s">
        <v>28</v>
      </c>
      <c r="S393" t="str">
        <f>TRIM(PROPER(_xlfn.XLOOKUP(Table1[[#This Row],[ProductID_Clean]],Table3[ProductID],Table3[Category],"Missing Value",0)))</f>
        <v>Software</v>
      </c>
      <c r="T393" t="str">
        <f>_xlfn.XLOOKUP(Table1[[#This Row],[CustomerID_Check]],Table2[CustomerID],Table2[CustomerType],"Missing Value",0)</f>
        <v>Key Account</v>
      </c>
    </row>
    <row r="394" spans="1:20">
      <c r="A394" t="s">
        <v>619</v>
      </c>
      <c r="B394" s="1">
        <v>45830</v>
      </c>
      <c r="C394" t="s">
        <v>188</v>
      </c>
      <c r="D394" t="str">
        <f>UPPER(Table1[[#This Row],[ProductID_Clean]])</f>
        <v>P-SA-005</v>
      </c>
      <c r="E394" t="s">
        <v>62</v>
      </c>
      <c r="F394" t="s">
        <v>198</v>
      </c>
      <c r="G394" t="str">
        <f>TRIM(Table1[[#This Row],[Region_Clean]])</f>
        <v>APAC</v>
      </c>
      <c r="H394" t="s">
        <v>53</v>
      </c>
      <c r="I394" t="s">
        <v>34</v>
      </c>
      <c r="J394" s="3">
        <v>2</v>
      </c>
      <c r="K394" s="3">
        <v>2715.37</v>
      </c>
      <c r="L394">
        <v>3200</v>
      </c>
      <c r="M394">
        <v>6400</v>
      </c>
      <c r="N394">
        <v>969.26</v>
      </c>
      <c r="O394">
        <v>5430.74</v>
      </c>
      <c r="P394" t="s">
        <v>126</v>
      </c>
      <c r="Q394" t="s">
        <v>88</v>
      </c>
      <c r="R394" t="s">
        <v>44</v>
      </c>
      <c r="S394" t="str">
        <f>TRIM(PROPER(_xlfn.XLOOKUP(Table1[[#This Row],[ProductID_Clean]],Table3[ProductID],Table3[Category],"Missing Value",0)))</f>
        <v>Software / Integration</v>
      </c>
      <c r="T394" t="str">
        <f>_xlfn.XLOOKUP(Table1[[#This Row],[CustomerID_Check]],Table2[CustomerID],Table2[CustomerType],"Missing Value",0)</f>
        <v>Key Account</v>
      </c>
    </row>
    <row r="395" spans="1:20">
      <c r="A395" t="s">
        <v>620</v>
      </c>
      <c r="B395" s="1">
        <v>45800</v>
      </c>
      <c r="C395" t="s">
        <v>76</v>
      </c>
      <c r="D395" t="str">
        <f>UPPER(Table1[[#This Row],[ProductID_Clean]])</f>
        <v>P-FS-001</v>
      </c>
      <c r="E395" t="s">
        <v>133</v>
      </c>
      <c r="F395" t="s">
        <v>58</v>
      </c>
      <c r="G395" t="str">
        <f>TRIM(Table1[[#This Row],[Region_Clean]])</f>
        <v>APAC</v>
      </c>
      <c r="H395" t="s">
        <v>82</v>
      </c>
      <c r="I395" t="s">
        <v>87</v>
      </c>
      <c r="J395" s="3">
        <v>1</v>
      </c>
      <c r="K395" s="3">
        <v>1197.17</v>
      </c>
      <c r="L395">
        <v>1850</v>
      </c>
      <c r="M395">
        <v>1850</v>
      </c>
      <c r="N395">
        <v>652.83000000000004</v>
      </c>
      <c r="O395">
        <v>1197.17</v>
      </c>
      <c r="P395" t="s">
        <v>26</v>
      </c>
      <c r="Q395" t="s">
        <v>35</v>
      </c>
      <c r="R395" t="s">
        <v>44</v>
      </c>
      <c r="S395" t="str">
        <f>TRIM(PROPER(_xlfn.XLOOKUP(Table1[[#This Row],[ProductID_Clean]],Table3[ProductID],Table3[Category],"Missing Value",0)))</f>
        <v>Services</v>
      </c>
      <c r="T395" t="str">
        <f>_xlfn.XLOOKUP(Table1[[#This Row],[CustomerID_Check]],Table2[CustomerID],Table2[CustomerType],"Missing Value",0)</f>
        <v>Missing Value</v>
      </c>
    </row>
    <row r="396" spans="1:20">
      <c r="A396" t="s">
        <v>621</v>
      </c>
      <c r="B396" s="1">
        <v>45813</v>
      </c>
      <c r="C396" t="s">
        <v>135</v>
      </c>
      <c r="D396" t="str">
        <f>UPPER(Table1[[#This Row],[ProductID_Clean]])</f>
        <v>P-FS-001</v>
      </c>
      <c r="E396" t="s">
        <v>133</v>
      </c>
      <c r="F396" t="s">
        <v>58</v>
      </c>
      <c r="G396" t="str">
        <f>TRIM(Table1[[#This Row],[Region_Clean]])</f>
        <v>APAC</v>
      </c>
      <c r="H396" t="s">
        <v>82</v>
      </c>
      <c r="I396" t="s">
        <v>87</v>
      </c>
      <c r="J396" s="3">
        <v>1</v>
      </c>
      <c r="K396" s="3">
        <v>1288.6099999999999</v>
      </c>
      <c r="L396">
        <v>1850</v>
      </c>
      <c r="M396">
        <v>1850</v>
      </c>
      <c r="N396">
        <v>561.39</v>
      </c>
      <c r="O396">
        <v>1288.6099999999999</v>
      </c>
      <c r="P396" t="s">
        <v>26</v>
      </c>
      <c r="Q396" t="s">
        <v>27</v>
      </c>
      <c r="R396" t="s">
        <v>28</v>
      </c>
      <c r="S396" t="str">
        <f>TRIM(PROPER(_xlfn.XLOOKUP(Table1[[#This Row],[ProductID_Clean]],Table3[ProductID],Table3[Category],"Missing Value",0)))</f>
        <v>Services</v>
      </c>
      <c r="T396" t="str">
        <f>_xlfn.XLOOKUP(Table1[[#This Row],[CustomerID_Check]],Table2[CustomerID],Table2[CustomerType],"Missing Value",0)</f>
        <v>Strategic</v>
      </c>
    </row>
    <row r="397" spans="1:20">
      <c r="A397" t="s">
        <v>622</v>
      </c>
      <c r="B397" s="1">
        <v>45835</v>
      </c>
      <c r="C397" t="s">
        <v>38</v>
      </c>
      <c r="D397" t="str">
        <f>UPPER(Table1[[#This Row],[ProductID_Clean]])</f>
        <v>P-FS-001</v>
      </c>
      <c r="E397" t="s">
        <v>133</v>
      </c>
      <c r="F397" t="s">
        <v>32</v>
      </c>
      <c r="G397" t="str">
        <f>TRIM(Table1[[#This Row],[Region_Clean]])</f>
        <v>LATIN AMERICA</v>
      </c>
      <c r="H397" t="s">
        <v>82</v>
      </c>
      <c r="I397" t="s">
        <v>87</v>
      </c>
      <c r="J397" s="3">
        <v>1</v>
      </c>
      <c r="K397" s="3">
        <v>1459.95</v>
      </c>
      <c r="L397">
        <v>1850</v>
      </c>
      <c r="M397">
        <v>1850</v>
      </c>
      <c r="N397">
        <v>390.05</v>
      </c>
      <c r="O397">
        <v>1459.95</v>
      </c>
      <c r="P397" t="s">
        <v>26</v>
      </c>
      <c r="Q397" t="s">
        <v>27</v>
      </c>
      <c r="R397" t="s">
        <v>36</v>
      </c>
      <c r="S397" t="str">
        <f>TRIM(PROPER(_xlfn.XLOOKUP(Table1[[#This Row],[ProductID_Clean]],Table3[ProductID],Table3[Category],"Missing Value",0)))</f>
        <v>Services</v>
      </c>
      <c r="T397" t="str">
        <f>_xlfn.XLOOKUP(Table1[[#This Row],[CustomerID_Check]],Table2[CustomerID],Table2[CustomerType],"Missing Value",0)</f>
        <v>Standard</v>
      </c>
    </row>
    <row r="398" spans="1:20">
      <c r="A398" t="s">
        <v>623</v>
      </c>
      <c r="B398" s="1">
        <v>45727</v>
      </c>
      <c r="C398" t="s">
        <v>194</v>
      </c>
      <c r="D398" t="str">
        <f>UPPER(Table1[[#This Row],[ProductID_Clean]])</f>
        <v>P-FS-002</v>
      </c>
      <c r="E398" t="s">
        <v>81</v>
      </c>
      <c r="F398" t="s">
        <v>23</v>
      </c>
      <c r="G398" t="str">
        <f>TRIM(Table1[[#This Row],[Region_Clean]])</f>
        <v>N. AMERICA</v>
      </c>
      <c r="H398" t="s">
        <v>82</v>
      </c>
      <c r="I398" t="s">
        <v>87</v>
      </c>
      <c r="J398" s="3">
        <v>1</v>
      </c>
      <c r="K398" s="3">
        <v>1643.67</v>
      </c>
      <c r="L398">
        <v>2400</v>
      </c>
      <c r="M398">
        <v>2400</v>
      </c>
      <c r="N398">
        <v>756.33</v>
      </c>
      <c r="O398">
        <v>1643.67</v>
      </c>
      <c r="P398" t="s">
        <v>126</v>
      </c>
      <c r="Q398" t="s">
        <v>94</v>
      </c>
      <c r="R398" t="s">
        <v>36</v>
      </c>
      <c r="S398" t="str">
        <f>TRIM(PROPER(_xlfn.XLOOKUP(Table1[[#This Row],[ProductID_Clean]],Table3[ProductID],Table3[Category],"Missing Value",0)))</f>
        <v>Services</v>
      </c>
      <c r="T398" t="str">
        <f>_xlfn.XLOOKUP(Table1[[#This Row],[CustomerID_Check]],Table2[CustomerID],Table2[CustomerType],"Missing Value",0)</f>
        <v>Strategic</v>
      </c>
    </row>
    <row r="399" spans="1:20">
      <c r="A399" t="s">
        <v>624</v>
      </c>
      <c r="B399" s="1">
        <v>45737</v>
      </c>
      <c r="C399" t="s">
        <v>344</v>
      </c>
      <c r="D399" t="str">
        <f>UPPER(Table1[[#This Row],[ProductID_Clean]])</f>
        <v>P-SA-004</v>
      </c>
      <c r="E399" t="s">
        <v>86</v>
      </c>
      <c r="F399" t="s">
        <v>23</v>
      </c>
      <c r="G399" t="str">
        <f>TRIM(Table1[[#This Row],[Region_Clean]])</f>
        <v>N. AMERICA</v>
      </c>
      <c r="H399" t="s">
        <v>53</v>
      </c>
      <c r="I399" t="s">
        <v>25</v>
      </c>
      <c r="J399" s="3">
        <v>1</v>
      </c>
      <c r="K399" s="3">
        <v>1634.51</v>
      </c>
      <c r="L399">
        <v>1650</v>
      </c>
      <c r="M399">
        <v>1650</v>
      </c>
      <c r="N399">
        <v>15.49</v>
      </c>
      <c r="O399">
        <v>1634.51</v>
      </c>
      <c r="P399" t="s">
        <v>26</v>
      </c>
      <c r="Q399" t="s">
        <v>88</v>
      </c>
      <c r="R399" t="s">
        <v>59</v>
      </c>
      <c r="S399" t="str">
        <f>TRIM(PROPER(_xlfn.XLOOKUP(Table1[[#This Row],[ProductID_Clean]],Table3[ProductID],Table3[Category],"Missing Value",0)))</f>
        <v>Software</v>
      </c>
      <c r="T399" t="str">
        <f>_xlfn.XLOOKUP(Table1[[#This Row],[CustomerID_Check]],Table2[CustomerID],Table2[CustomerType],"Missing Value",0)</f>
        <v>Standard</v>
      </c>
    </row>
    <row r="400" spans="1:20">
      <c r="A400" t="s">
        <v>625</v>
      </c>
      <c r="B400" s="1">
        <v>45747</v>
      </c>
      <c r="C400" t="s">
        <v>89</v>
      </c>
      <c r="D400" t="str">
        <f>UPPER(Table1[[#This Row],[ProductID_Clean]])</f>
        <v>P-SI-005</v>
      </c>
      <c r="E400" t="s">
        <v>57</v>
      </c>
      <c r="F400" t="s">
        <v>58</v>
      </c>
      <c r="G400" t="str">
        <f>TRIM(Table1[[#This Row],[Region_Clean]])</f>
        <v>APAC</v>
      </c>
      <c r="H400" t="s">
        <v>24</v>
      </c>
      <c r="I400" t="s">
        <v>34</v>
      </c>
      <c r="J400" s="3">
        <v>3</v>
      </c>
      <c r="K400" s="3">
        <v>841.72</v>
      </c>
      <c r="L400">
        <v>1120</v>
      </c>
      <c r="M400">
        <v>3360</v>
      </c>
      <c r="N400">
        <v>834.84</v>
      </c>
      <c r="O400">
        <v>2525.16</v>
      </c>
      <c r="P400" t="s">
        <v>26</v>
      </c>
      <c r="Q400" t="s">
        <v>65</v>
      </c>
      <c r="R400" t="s">
        <v>44</v>
      </c>
      <c r="S400" t="str">
        <f>TRIM(PROPER(_xlfn.XLOOKUP(Table1[[#This Row],[ProductID_Clean]],Table3[ProductID],Table3[Category],"Missing Value",0)))</f>
        <v>Sensors</v>
      </c>
      <c r="T400" t="str">
        <f>_xlfn.XLOOKUP(Table1[[#This Row],[CustomerID_Check]],Table2[CustomerID],Table2[CustomerType],"Missing Value",0)</f>
        <v>Strategic</v>
      </c>
    </row>
    <row r="401" spans="1:20">
      <c r="A401" t="s">
        <v>626</v>
      </c>
      <c r="B401" s="1">
        <v>45802</v>
      </c>
      <c r="C401" t="s">
        <v>323</v>
      </c>
      <c r="D401" t="str">
        <f>UPPER(Table1[[#This Row],[ProductID_Clean]])</f>
        <v>P-SA-001</v>
      </c>
      <c r="E401" t="s">
        <v>68</v>
      </c>
      <c r="F401" t="s">
        <v>23</v>
      </c>
      <c r="G401" t="str">
        <f>TRIM(Table1[[#This Row],[Region_Clean]])</f>
        <v>N. AMERICA</v>
      </c>
      <c r="H401" t="s">
        <v>53</v>
      </c>
      <c r="I401" t="s">
        <v>25</v>
      </c>
      <c r="J401" s="3">
        <v>1</v>
      </c>
      <c r="K401" s="3">
        <v>3859.15</v>
      </c>
      <c r="L401">
        <v>4200</v>
      </c>
      <c r="M401">
        <v>4200</v>
      </c>
      <c r="N401">
        <v>340.85</v>
      </c>
      <c r="O401">
        <v>3859.15</v>
      </c>
      <c r="P401" t="s">
        <v>26</v>
      </c>
      <c r="Q401" t="s">
        <v>54</v>
      </c>
      <c r="R401" t="s">
        <v>59</v>
      </c>
      <c r="S401" t="str">
        <f>TRIM(PROPER(_xlfn.XLOOKUP(Table1[[#This Row],[ProductID_Clean]],Table3[ProductID],Table3[Category],"Missing Value",0)))</f>
        <v>Software</v>
      </c>
      <c r="T401" t="str">
        <f>_xlfn.XLOOKUP(Table1[[#This Row],[CustomerID_Check]],Table2[CustomerID],Table2[CustomerType],"Missing Value",0)</f>
        <v>Key Account</v>
      </c>
    </row>
    <row r="402" spans="1:20">
      <c r="A402" t="s">
        <v>627</v>
      </c>
      <c r="B402" s="1">
        <v>45760</v>
      </c>
      <c r="C402" t="s">
        <v>225</v>
      </c>
      <c r="D402" t="str">
        <f>UPPER(Table1[[#This Row],[ProductID_Clean]])</f>
        <v>P-SI-006</v>
      </c>
      <c r="E402" t="s">
        <v>43</v>
      </c>
      <c r="F402" t="s">
        <v>23</v>
      </c>
      <c r="G402" t="str">
        <f>TRIM(Table1[[#This Row],[Region_Clean]])</f>
        <v>N. AMERICA</v>
      </c>
      <c r="H402" t="s">
        <v>24</v>
      </c>
      <c r="I402" t="s">
        <v>184</v>
      </c>
      <c r="J402" s="3">
        <v>3</v>
      </c>
      <c r="K402" s="3">
        <v>169.63</v>
      </c>
      <c r="L402">
        <v>215</v>
      </c>
      <c r="M402">
        <v>645</v>
      </c>
      <c r="N402">
        <v>136.11000000000001</v>
      </c>
      <c r="O402">
        <v>508.89</v>
      </c>
      <c r="P402" t="s">
        <v>26</v>
      </c>
      <c r="Q402" t="s">
        <v>65</v>
      </c>
      <c r="R402" t="s">
        <v>36</v>
      </c>
      <c r="S402" t="str">
        <f>TRIM(PROPER(_xlfn.XLOOKUP(Table1[[#This Row],[ProductID_Clean]],Table3[ProductID],Table3[Category],"Missing Value",0)))</f>
        <v>Sensors</v>
      </c>
      <c r="T402" t="str">
        <f>_xlfn.XLOOKUP(Table1[[#This Row],[CustomerID_Check]],Table2[CustomerID],Table2[CustomerType],"Missing Value",0)</f>
        <v>Key Account</v>
      </c>
    </row>
    <row r="403" spans="1:20">
      <c r="A403" t="s">
        <v>628</v>
      </c>
      <c r="B403" s="1">
        <v>45694</v>
      </c>
      <c r="C403" t="s">
        <v>64</v>
      </c>
      <c r="D403" t="str">
        <f>UPPER(Table1[[#This Row],[ProductID_Clean]])</f>
        <v>P-SI-005</v>
      </c>
      <c r="E403" t="s">
        <v>57</v>
      </c>
      <c r="F403" t="s">
        <v>47</v>
      </c>
      <c r="G403" t="str">
        <f>TRIM(Table1[[#This Row],[Region_Clean]])</f>
        <v>EMEA</v>
      </c>
      <c r="H403" t="s">
        <v>24</v>
      </c>
      <c r="I403" t="s">
        <v>25</v>
      </c>
      <c r="J403" s="3">
        <v>1</v>
      </c>
      <c r="K403" s="3">
        <v>1029.45</v>
      </c>
      <c r="L403">
        <v>1120</v>
      </c>
      <c r="M403">
        <v>1120</v>
      </c>
      <c r="N403">
        <v>90.55</v>
      </c>
      <c r="O403">
        <v>1029.45</v>
      </c>
      <c r="P403" t="s">
        <v>113</v>
      </c>
      <c r="Q403" t="s">
        <v>35</v>
      </c>
      <c r="R403" t="s">
        <v>36</v>
      </c>
      <c r="S403" t="str">
        <f>TRIM(PROPER(_xlfn.XLOOKUP(Table1[[#This Row],[ProductID_Clean]],Table3[ProductID],Table3[Category],"Missing Value",0)))</f>
        <v>Sensors</v>
      </c>
      <c r="T403" t="str">
        <f>_xlfn.XLOOKUP(Table1[[#This Row],[CustomerID_Check]],Table2[CustomerID],Table2[CustomerType],"Missing Value",0)</f>
        <v>Key Account</v>
      </c>
    </row>
    <row r="404" spans="1:20">
      <c r="A404" t="s">
        <v>629</v>
      </c>
      <c r="B404" s="1">
        <v>45820</v>
      </c>
      <c r="C404" t="s">
        <v>378</v>
      </c>
      <c r="D404" t="str">
        <f>UPPER(Table1[[#This Row],[ProductID_Clean]])</f>
        <v>P-SA-003</v>
      </c>
      <c r="E404" t="s">
        <v>51</v>
      </c>
      <c r="F404" t="s">
        <v>58</v>
      </c>
      <c r="G404" t="str">
        <f>TRIM(Table1[[#This Row],[Region_Clean]])</f>
        <v>APAC</v>
      </c>
      <c r="H404" t="s">
        <v>53</v>
      </c>
      <c r="I404" t="s">
        <v>25</v>
      </c>
      <c r="J404" s="3">
        <v>1</v>
      </c>
      <c r="K404" s="3">
        <v>2592.7800000000002</v>
      </c>
      <c r="L404">
        <v>2750</v>
      </c>
      <c r="M404">
        <v>2750</v>
      </c>
      <c r="N404">
        <v>157.22</v>
      </c>
      <c r="O404">
        <v>2592.7800000000002</v>
      </c>
      <c r="P404" t="s">
        <v>26</v>
      </c>
      <c r="Q404" t="s">
        <v>40</v>
      </c>
      <c r="R404" t="s">
        <v>48</v>
      </c>
      <c r="S404" t="str">
        <f>TRIM(PROPER(_xlfn.XLOOKUP(Table1[[#This Row],[ProductID_Clean]],Table3[ProductID],Table3[Category],"Missing Value",0)))</f>
        <v>Software</v>
      </c>
      <c r="T404" t="str">
        <f>_xlfn.XLOOKUP(Table1[[#This Row],[CustomerID_Check]],Table2[CustomerID],Table2[CustomerType],"Missing Value",0)</f>
        <v>Emerging</v>
      </c>
    </row>
    <row r="405" spans="1:20">
      <c r="A405" t="s">
        <v>630</v>
      </c>
      <c r="B405" s="1">
        <v>45681</v>
      </c>
      <c r="C405" t="s">
        <v>631</v>
      </c>
      <c r="D405" t="str">
        <f>UPPER(Table1[[#This Row],[ProductID_Clean]])</f>
        <v>P-SI-005</v>
      </c>
      <c r="E405" t="s">
        <v>57</v>
      </c>
      <c r="F405" t="s">
        <v>23</v>
      </c>
      <c r="G405" t="str">
        <f>TRIM(Table1[[#This Row],[Region_Clean]])</f>
        <v>N. AMERICA</v>
      </c>
      <c r="H405" t="s">
        <v>24</v>
      </c>
      <c r="I405" t="s">
        <v>87</v>
      </c>
      <c r="J405" s="3">
        <v>2</v>
      </c>
      <c r="K405" s="3">
        <v>923.46</v>
      </c>
      <c r="L405">
        <v>1120</v>
      </c>
      <c r="M405">
        <v>2240</v>
      </c>
      <c r="N405">
        <v>393.08</v>
      </c>
      <c r="O405">
        <v>1846.92</v>
      </c>
      <c r="P405" t="s">
        <v>26</v>
      </c>
      <c r="Q405" t="s">
        <v>40</v>
      </c>
      <c r="R405" t="s">
        <v>44</v>
      </c>
      <c r="S405" t="str">
        <f>TRIM(PROPER(_xlfn.XLOOKUP(Table1[[#This Row],[ProductID_Clean]],Table3[ProductID],Table3[Category],"Missing Value",0)))</f>
        <v>Sensors</v>
      </c>
      <c r="T405" t="str">
        <f>_xlfn.XLOOKUP(Table1[[#This Row],[CustomerID_Check]],Table2[CustomerID],Table2[CustomerType],"Missing Value",0)</f>
        <v>Emerging</v>
      </c>
    </row>
    <row r="406" spans="1:20">
      <c r="A406" t="s">
        <v>632</v>
      </c>
      <c r="B406" s="1">
        <v>45793</v>
      </c>
      <c r="C406" t="s">
        <v>100</v>
      </c>
      <c r="D406" t="str">
        <f>UPPER(Table1[[#This Row],[ProductID_Clean]])</f>
        <v>P-SI-002</v>
      </c>
      <c r="E406" t="s">
        <v>31</v>
      </c>
      <c r="F406" t="s">
        <v>47</v>
      </c>
      <c r="G406" t="str">
        <f>TRIM(Table1[[#This Row],[Region_Clean]])</f>
        <v>EMEA</v>
      </c>
      <c r="H406" t="s">
        <v>24</v>
      </c>
      <c r="I406" t="s">
        <v>87</v>
      </c>
      <c r="J406" s="3">
        <v>1</v>
      </c>
      <c r="K406" s="3">
        <v>572.38</v>
      </c>
      <c r="L406">
        <v>725</v>
      </c>
      <c r="M406">
        <v>725</v>
      </c>
      <c r="N406">
        <v>152.62</v>
      </c>
      <c r="O406">
        <v>572.38</v>
      </c>
      <c r="P406" t="s">
        <v>26</v>
      </c>
      <c r="Q406" t="s">
        <v>27</v>
      </c>
      <c r="R406" t="s">
        <v>36</v>
      </c>
      <c r="S406" t="str">
        <f>TRIM(PROPER(_xlfn.XLOOKUP(Table1[[#This Row],[ProductID_Clean]],Table3[ProductID],Table3[Category],"Missing Value",0)))</f>
        <v>Sensors</v>
      </c>
      <c r="T406" t="str">
        <f>_xlfn.XLOOKUP(Table1[[#This Row],[CustomerID_Check]],Table2[CustomerID],Table2[CustomerType],"Missing Value",0)</f>
        <v>Strategic</v>
      </c>
    </row>
    <row r="407" spans="1:20">
      <c r="A407" t="s">
        <v>633</v>
      </c>
      <c r="B407" s="1">
        <v>45754</v>
      </c>
      <c r="C407" t="s">
        <v>339</v>
      </c>
      <c r="D407" t="str">
        <f>UPPER(Table1[[#This Row],[ProductID_Clean]])</f>
        <v>P-FS-001</v>
      </c>
      <c r="E407" t="s">
        <v>133</v>
      </c>
      <c r="F407" t="s">
        <v>47</v>
      </c>
      <c r="G407" t="str">
        <f>TRIM(Table1[[#This Row],[Region_Clean]])</f>
        <v>EMEA</v>
      </c>
      <c r="H407" t="s">
        <v>82</v>
      </c>
      <c r="I407" t="s">
        <v>98</v>
      </c>
      <c r="J407" s="3">
        <v>1</v>
      </c>
      <c r="K407" s="3">
        <v>1429.05</v>
      </c>
      <c r="L407">
        <v>1850</v>
      </c>
      <c r="M407">
        <v>1850</v>
      </c>
      <c r="N407">
        <v>420.95</v>
      </c>
      <c r="O407">
        <v>1429.05</v>
      </c>
      <c r="P407" t="s">
        <v>26</v>
      </c>
      <c r="Q407" t="s">
        <v>65</v>
      </c>
      <c r="R407" t="s">
        <v>48</v>
      </c>
      <c r="S407" t="str">
        <f>TRIM(PROPER(_xlfn.XLOOKUP(Table1[[#This Row],[ProductID_Clean]],Table3[ProductID],Table3[Category],"Missing Value",0)))</f>
        <v>Services</v>
      </c>
      <c r="T407" t="str">
        <f>_xlfn.XLOOKUP(Table1[[#This Row],[CustomerID_Check]],Table2[CustomerID],Table2[CustomerType],"Missing Value",0)</f>
        <v>Key Account</v>
      </c>
    </row>
    <row r="408" spans="1:20">
      <c r="A408" t="s">
        <v>634</v>
      </c>
      <c r="B408" s="1">
        <v>45774</v>
      </c>
      <c r="C408" t="s">
        <v>61</v>
      </c>
      <c r="D408" t="str">
        <f>UPPER(Table1[[#This Row],[ProductID_Clean]])</f>
        <v>P-SI-007</v>
      </c>
      <c r="E408" t="s">
        <v>97</v>
      </c>
      <c r="F408" t="s">
        <v>47</v>
      </c>
      <c r="G408" t="str">
        <f>TRIM(Table1[[#This Row],[Region_Clean]])</f>
        <v>EMEA</v>
      </c>
      <c r="H408" t="s">
        <v>24</v>
      </c>
      <c r="I408" t="s">
        <v>25</v>
      </c>
      <c r="J408" s="3">
        <v>20</v>
      </c>
      <c r="K408" s="3">
        <v>790.42</v>
      </c>
      <c r="L408">
        <v>980</v>
      </c>
      <c r="M408">
        <v>19600</v>
      </c>
      <c r="N408">
        <v>3791.6</v>
      </c>
      <c r="O408">
        <v>15808.4</v>
      </c>
      <c r="P408" t="s">
        <v>26</v>
      </c>
      <c r="Q408" t="s">
        <v>35</v>
      </c>
      <c r="R408" t="s">
        <v>48</v>
      </c>
      <c r="S408" t="str">
        <f>TRIM(PROPER(_xlfn.XLOOKUP(Table1[[#This Row],[ProductID_Clean]],Table3[ProductID],Table3[Category],"Missing Value",0)))</f>
        <v>Sensors</v>
      </c>
      <c r="T408" t="str">
        <f>_xlfn.XLOOKUP(Table1[[#This Row],[CustomerID_Check]],Table2[CustomerID],Table2[CustomerType],"Missing Value",0)</f>
        <v>Strategic</v>
      </c>
    </row>
    <row r="409" spans="1:20">
      <c r="A409" t="s">
        <v>635</v>
      </c>
      <c r="B409" s="1">
        <v>45737</v>
      </c>
      <c r="C409" t="s">
        <v>194</v>
      </c>
      <c r="D409" t="str">
        <f>UPPER(Table1[[#This Row],[ProductID_Clean]])</f>
        <v>P-SI-003</v>
      </c>
      <c r="E409" t="s">
        <v>39</v>
      </c>
      <c r="F409" t="s">
        <v>23</v>
      </c>
      <c r="G409" t="str">
        <f>TRIM(Table1[[#This Row],[Region_Clean]])</f>
        <v>N. AMERICA</v>
      </c>
      <c r="H409" t="s">
        <v>24</v>
      </c>
      <c r="I409" t="s">
        <v>87</v>
      </c>
      <c r="J409" s="3">
        <v>5</v>
      </c>
      <c r="K409" s="3">
        <v>1543.01</v>
      </c>
      <c r="L409">
        <v>1890</v>
      </c>
      <c r="M409">
        <v>9450</v>
      </c>
      <c r="N409">
        <v>1734.95</v>
      </c>
      <c r="O409">
        <v>7715.05</v>
      </c>
      <c r="P409" t="s">
        <v>26</v>
      </c>
      <c r="Q409" t="s">
        <v>35</v>
      </c>
      <c r="R409" t="s">
        <v>36</v>
      </c>
      <c r="S409" t="str">
        <f>TRIM(PROPER(_xlfn.XLOOKUP(Table1[[#This Row],[ProductID_Clean]],Table3[ProductID],Table3[Category],"Missing Value",0)))</f>
        <v>Instruments</v>
      </c>
      <c r="T409" t="str">
        <f>_xlfn.XLOOKUP(Table1[[#This Row],[CustomerID_Check]],Table2[CustomerID],Table2[CustomerType],"Missing Value",0)</f>
        <v>Strategic</v>
      </c>
    </row>
    <row r="410" spans="1:20">
      <c r="A410" t="s">
        <v>636</v>
      </c>
      <c r="B410" s="1">
        <v>45741</v>
      </c>
      <c r="C410" t="s">
        <v>323</v>
      </c>
      <c r="D410" t="str">
        <f>UPPER(Table1[[#This Row],[ProductID_Clean]])</f>
        <v>P-SI-002</v>
      </c>
      <c r="E410" t="s">
        <v>31</v>
      </c>
      <c r="F410" t="s">
        <v>23</v>
      </c>
      <c r="G410" t="str">
        <f>TRIM(Table1[[#This Row],[Region_Clean]])</f>
        <v>N. AMERICA</v>
      </c>
      <c r="H410" t="s">
        <v>24</v>
      </c>
      <c r="I410" t="s">
        <v>25</v>
      </c>
      <c r="J410" s="3">
        <v>3</v>
      </c>
      <c r="K410" s="3">
        <v>664.34</v>
      </c>
      <c r="L410">
        <v>725</v>
      </c>
      <c r="M410">
        <v>2175</v>
      </c>
      <c r="N410">
        <v>181.98</v>
      </c>
      <c r="O410">
        <v>1993.02</v>
      </c>
      <c r="P410" t="s">
        <v>113</v>
      </c>
      <c r="Q410" t="s">
        <v>65</v>
      </c>
      <c r="R410" t="s">
        <v>59</v>
      </c>
      <c r="S410" t="str">
        <f>TRIM(PROPER(_xlfn.XLOOKUP(Table1[[#This Row],[ProductID_Clean]],Table3[ProductID],Table3[Category],"Missing Value",0)))</f>
        <v>Sensors</v>
      </c>
      <c r="T410" t="str">
        <f>_xlfn.XLOOKUP(Table1[[#This Row],[CustomerID_Check]],Table2[CustomerID],Table2[CustomerType],"Missing Value",0)</f>
        <v>Key Account</v>
      </c>
    </row>
    <row r="411" spans="1:20">
      <c r="A411" t="s">
        <v>637</v>
      </c>
      <c r="B411" s="1">
        <v>45810</v>
      </c>
      <c r="C411" t="s">
        <v>122</v>
      </c>
      <c r="D411" t="str">
        <f>UPPER(Table1[[#This Row],[ProductID_Clean]])</f>
        <v>P-SI-005</v>
      </c>
      <c r="E411" t="s">
        <v>57</v>
      </c>
      <c r="F411" t="s">
        <v>23</v>
      </c>
      <c r="G411" t="str">
        <f>TRIM(Table1[[#This Row],[Region_Clean]])</f>
        <v>N. AMERICA</v>
      </c>
      <c r="H411" t="s">
        <v>24</v>
      </c>
      <c r="I411" t="s">
        <v>25</v>
      </c>
      <c r="J411" s="3">
        <v>1</v>
      </c>
      <c r="K411" s="3">
        <v>1026.2</v>
      </c>
      <c r="L411">
        <v>1120</v>
      </c>
      <c r="M411">
        <v>1120</v>
      </c>
      <c r="N411">
        <v>93.8</v>
      </c>
      <c r="O411">
        <v>1026.2</v>
      </c>
      <c r="P411" t="s">
        <v>26</v>
      </c>
      <c r="Q411" t="s">
        <v>35</v>
      </c>
      <c r="R411" t="s">
        <v>48</v>
      </c>
      <c r="S411" t="str">
        <f>TRIM(PROPER(_xlfn.XLOOKUP(Table1[[#This Row],[ProductID_Clean]],Table3[ProductID],Table3[Category],"Missing Value",0)))</f>
        <v>Sensors</v>
      </c>
      <c r="T411" t="str">
        <f>_xlfn.XLOOKUP(Table1[[#This Row],[CustomerID_Check]],Table2[CustomerID],Table2[CustomerType],"Missing Value",0)</f>
        <v>Emerging</v>
      </c>
    </row>
    <row r="412" spans="1:20">
      <c r="A412" t="s">
        <v>638</v>
      </c>
      <c r="B412" s="1">
        <v>45671</v>
      </c>
      <c r="C412" t="s">
        <v>252</v>
      </c>
      <c r="D412" t="str">
        <f>UPPER(Table1[[#This Row],[ProductID_Clean]])</f>
        <v>P-SA-004</v>
      </c>
      <c r="E412" t="s">
        <v>86</v>
      </c>
      <c r="F412" t="s">
        <v>23</v>
      </c>
      <c r="G412" t="str">
        <f>TRIM(Table1[[#This Row],[Region_Clean]])</f>
        <v>N. AMERICA</v>
      </c>
      <c r="H412" t="s">
        <v>53</v>
      </c>
      <c r="I412" t="s">
        <v>25</v>
      </c>
      <c r="J412" s="3">
        <v>1</v>
      </c>
      <c r="K412" s="3">
        <v>1347.78</v>
      </c>
      <c r="L412">
        <v>1650</v>
      </c>
      <c r="M412">
        <v>1650</v>
      </c>
      <c r="N412">
        <v>302.22000000000003</v>
      </c>
      <c r="O412">
        <v>1347.78</v>
      </c>
      <c r="P412" t="s">
        <v>26</v>
      </c>
      <c r="Q412" t="s">
        <v>88</v>
      </c>
      <c r="R412" t="s">
        <v>44</v>
      </c>
      <c r="S412" t="str">
        <f>TRIM(PROPER(_xlfn.XLOOKUP(Table1[[#This Row],[ProductID_Clean]],Table3[ProductID],Table3[Category],"Missing Value",0)))</f>
        <v>Software</v>
      </c>
      <c r="T412" t="str">
        <f>_xlfn.XLOOKUP(Table1[[#This Row],[CustomerID_Check]],Table2[CustomerID],Table2[CustomerType],"Missing Value",0)</f>
        <v>Strategic</v>
      </c>
    </row>
    <row r="413" spans="1:20">
      <c r="A413" t="s">
        <v>639</v>
      </c>
      <c r="B413" s="1">
        <v>45698</v>
      </c>
      <c r="C413" t="s">
        <v>527</v>
      </c>
      <c r="D413" t="str">
        <f>UPPER(Table1[[#This Row],[ProductID_Clean]])</f>
        <v>P-SI-008</v>
      </c>
      <c r="E413" t="s">
        <v>152</v>
      </c>
      <c r="F413" t="s">
        <v>23</v>
      </c>
      <c r="G413" t="str">
        <f>TRIM(Table1[[#This Row],[Region_Clean]])</f>
        <v>N. AMERICA</v>
      </c>
      <c r="H413" t="s">
        <v>24</v>
      </c>
      <c r="I413" t="s">
        <v>25</v>
      </c>
      <c r="J413" s="3">
        <v>1</v>
      </c>
      <c r="K413" s="3">
        <v>833.05</v>
      </c>
      <c r="L413">
        <v>950</v>
      </c>
      <c r="M413">
        <v>950</v>
      </c>
      <c r="N413">
        <v>116.95</v>
      </c>
      <c r="O413">
        <v>833.05</v>
      </c>
      <c r="P413" t="s">
        <v>113</v>
      </c>
      <c r="Q413" t="s">
        <v>35</v>
      </c>
      <c r="R413" t="s">
        <v>44</v>
      </c>
      <c r="S413" t="str">
        <f>TRIM(PROPER(_xlfn.XLOOKUP(Table1[[#This Row],[ProductID_Clean]],Table3[ProductID],Table3[Category],"Missing Value",0)))</f>
        <v>Instruments</v>
      </c>
      <c r="T413" t="str">
        <f>_xlfn.XLOOKUP(Table1[[#This Row],[CustomerID_Check]],Table2[CustomerID],Table2[CustomerType],"Missing Value",0)</f>
        <v>Standard</v>
      </c>
    </row>
    <row r="414" spans="1:20">
      <c r="A414" t="s">
        <v>640</v>
      </c>
      <c r="B414" s="1">
        <v>45670</v>
      </c>
      <c r="C414" t="s">
        <v>91</v>
      </c>
      <c r="D414" t="str">
        <f>UPPER(Table1[[#This Row],[ProductID_Clean]])</f>
        <v>P-SI-007</v>
      </c>
      <c r="E414" t="s">
        <v>97</v>
      </c>
      <c r="F414" t="s">
        <v>23</v>
      </c>
      <c r="G414" t="str">
        <f>TRIM(Table1[[#This Row],[Region_Clean]])</f>
        <v>N. AMERICA</v>
      </c>
      <c r="H414" t="s">
        <v>24</v>
      </c>
      <c r="I414" t="s">
        <v>34</v>
      </c>
      <c r="J414" s="3">
        <v>5</v>
      </c>
      <c r="K414" s="3">
        <v>791.73</v>
      </c>
      <c r="L414">
        <v>980</v>
      </c>
      <c r="M414">
        <v>4900</v>
      </c>
      <c r="N414">
        <v>941.35</v>
      </c>
      <c r="O414">
        <v>3958.65</v>
      </c>
      <c r="P414" t="s">
        <v>26</v>
      </c>
      <c r="Q414" t="s">
        <v>35</v>
      </c>
      <c r="R414" t="s">
        <v>48</v>
      </c>
      <c r="S414" t="str">
        <f>TRIM(PROPER(_xlfn.XLOOKUP(Table1[[#This Row],[ProductID_Clean]],Table3[ProductID],Table3[Category],"Missing Value",0)))</f>
        <v>Sensors</v>
      </c>
      <c r="T414" t="str">
        <f>_xlfn.XLOOKUP(Table1[[#This Row],[CustomerID_Check]],Table2[CustomerID],Table2[CustomerType],"Missing Value",0)</f>
        <v>Key Account</v>
      </c>
    </row>
    <row r="415" spans="1:20">
      <c r="A415" t="s">
        <v>641</v>
      </c>
      <c r="B415" s="1">
        <v>45678</v>
      </c>
      <c r="C415" t="s">
        <v>642</v>
      </c>
      <c r="D415" t="str">
        <f>UPPER(Table1[[#This Row],[ProductID_Clean]])</f>
        <v>P-SI-006</v>
      </c>
      <c r="E415" t="s">
        <v>43</v>
      </c>
      <c r="F415" t="s">
        <v>47</v>
      </c>
      <c r="G415" t="str">
        <f>TRIM(Table1[[#This Row],[Region_Clean]])</f>
        <v>EMEA</v>
      </c>
      <c r="H415" t="s">
        <v>24</v>
      </c>
      <c r="I415" t="s">
        <v>25</v>
      </c>
      <c r="J415" s="3">
        <v>2</v>
      </c>
      <c r="K415" s="3">
        <v>175.47</v>
      </c>
      <c r="L415">
        <v>215</v>
      </c>
      <c r="M415">
        <v>430</v>
      </c>
      <c r="N415">
        <v>79.06</v>
      </c>
      <c r="O415">
        <v>350.94</v>
      </c>
      <c r="P415" t="s">
        <v>26</v>
      </c>
      <c r="Q415" t="s">
        <v>35</v>
      </c>
      <c r="R415" t="s">
        <v>28</v>
      </c>
      <c r="S415" t="str">
        <f>TRIM(PROPER(_xlfn.XLOOKUP(Table1[[#This Row],[ProductID_Clean]],Table3[ProductID],Table3[Category],"Missing Value",0)))</f>
        <v>Sensors</v>
      </c>
      <c r="T415" t="str">
        <f>_xlfn.XLOOKUP(Table1[[#This Row],[CustomerID_Check]],Table2[CustomerID],Table2[CustomerType],"Missing Value",0)</f>
        <v>Standard</v>
      </c>
    </row>
    <row r="416" spans="1:20">
      <c r="A416" t="s">
        <v>643</v>
      </c>
      <c r="B416" s="1">
        <v>45771</v>
      </c>
      <c r="C416" t="s">
        <v>405</v>
      </c>
      <c r="D416" t="str">
        <f>UPPER(Table1[[#This Row],[ProductID_Clean]])</f>
        <v>P-SA-003</v>
      </c>
      <c r="E416" t="s">
        <v>51</v>
      </c>
      <c r="F416" t="s">
        <v>58</v>
      </c>
      <c r="G416" t="str">
        <f>TRIM(Table1[[#This Row],[Region_Clean]])</f>
        <v>APAC</v>
      </c>
      <c r="H416" t="s">
        <v>53</v>
      </c>
      <c r="I416" t="s">
        <v>25</v>
      </c>
      <c r="J416" s="3">
        <v>1</v>
      </c>
      <c r="K416" s="3">
        <v>2633.32</v>
      </c>
      <c r="L416">
        <v>2750</v>
      </c>
      <c r="M416">
        <v>2750</v>
      </c>
      <c r="N416">
        <v>116.68</v>
      </c>
      <c r="O416">
        <v>2633.32</v>
      </c>
      <c r="P416" t="s">
        <v>26</v>
      </c>
      <c r="Q416" t="s">
        <v>54</v>
      </c>
      <c r="R416" t="s">
        <v>59</v>
      </c>
      <c r="S416" t="str">
        <f>TRIM(PROPER(_xlfn.XLOOKUP(Table1[[#This Row],[ProductID_Clean]],Table3[ProductID],Table3[Category],"Missing Value",0)))</f>
        <v>Software</v>
      </c>
      <c r="T416" t="str">
        <f>_xlfn.XLOOKUP(Table1[[#This Row],[CustomerID_Check]],Table2[CustomerID],Table2[CustomerType],"Missing Value",0)</f>
        <v>Emerging</v>
      </c>
    </row>
    <row r="417" spans="1:20">
      <c r="A417" t="s">
        <v>644</v>
      </c>
      <c r="B417" s="1">
        <v>45766</v>
      </c>
      <c r="C417" t="s">
        <v>399</v>
      </c>
      <c r="D417" t="str">
        <f>UPPER(Table1[[#This Row],[ProductID_Clean]])</f>
        <v>P-FS-005</v>
      </c>
      <c r="E417" t="s">
        <v>101</v>
      </c>
      <c r="F417" t="s">
        <v>102</v>
      </c>
      <c r="G417" t="str">
        <f>TRIM(Table1[[#This Row],[Region_Clean]])</f>
        <v>EMEA</v>
      </c>
      <c r="H417" t="s">
        <v>82</v>
      </c>
      <c r="I417" t="s">
        <v>25</v>
      </c>
      <c r="J417" s="3">
        <v>2</v>
      </c>
      <c r="K417" s="3">
        <v>879.01</v>
      </c>
      <c r="L417">
        <v>950</v>
      </c>
      <c r="M417">
        <v>1900</v>
      </c>
      <c r="N417">
        <v>141.97999999999999</v>
      </c>
      <c r="O417">
        <v>1758.02</v>
      </c>
      <c r="P417" t="s">
        <v>26</v>
      </c>
      <c r="Q417" t="s">
        <v>65</v>
      </c>
      <c r="R417" t="s">
        <v>59</v>
      </c>
      <c r="S417" t="str">
        <f>TRIM(PROPER(_xlfn.XLOOKUP(Table1[[#This Row],[ProductID_Clean]],Table3[ProductID],Table3[Category],"Missing Value",0)))</f>
        <v>Services</v>
      </c>
      <c r="T417" t="str">
        <f>_xlfn.XLOOKUP(Table1[[#This Row],[CustomerID_Check]],Table2[CustomerID],Table2[CustomerType],"Missing Value",0)</f>
        <v>Emerging</v>
      </c>
    </row>
    <row r="418" spans="1:20">
      <c r="A418" t="s">
        <v>645</v>
      </c>
      <c r="B418" s="1">
        <v>45813</v>
      </c>
      <c r="C418" t="s">
        <v>178</v>
      </c>
      <c r="D418" t="str">
        <f>UPPER(Table1[[#This Row],[ProductID_Clean]])</f>
        <v>P-SI-002</v>
      </c>
      <c r="E418" t="s">
        <v>31</v>
      </c>
      <c r="F418" t="s">
        <v>23</v>
      </c>
      <c r="G418" t="str">
        <f>TRIM(Table1[[#This Row],[Region_Clean]])</f>
        <v>N. AMERICA</v>
      </c>
      <c r="H418" t="s">
        <v>24</v>
      </c>
      <c r="I418" t="s">
        <v>87</v>
      </c>
      <c r="J418" s="3">
        <v>15</v>
      </c>
      <c r="K418" s="3">
        <v>610.54999999999995</v>
      </c>
      <c r="L418">
        <v>725</v>
      </c>
      <c r="M418">
        <v>10875</v>
      </c>
      <c r="N418">
        <v>1716.75</v>
      </c>
      <c r="O418">
        <v>9158.25</v>
      </c>
      <c r="P418" t="s">
        <v>26</v>
      </c>
      <c r="Q418" t="s">
        <v>35</v>
      </c>
      <c r="R418" t="s">
        <v>28</v>
      </c>
      <c r="S418" t="str">
        <f>TRIM(PROPER(_xlfn.XLOOKUP(Table1[[#This Row],[ProductID_Clean]],Table3[ProductID],Table3[Category],"Missing Value",0)))</f>
        <v>Sensors</v>
      </c>
      <c r="T418" t="str">
        <f>_xlfn.XLOOKUP(Table1[[#This Row],[CustomerID_Check]],Table2[CustomerID],Table2[CustomerType],"Missing Value",0)</f>
        <v>Key Account</v>
      </c>
    </row>
    <row r="419" spans="1:20">
      <c r="A419" t="s">
        <v>646</v>
      </c>
      <c r="B419" s="1">
        <v>45764</v>
      </c>
      <c r="C419" t="s">
        <v>454</v>
      </c>
      <c r="D419" t="str">
        <f>UPPER(Table1[[#This Row],[ProductID_Clean]])</f>
        <v>P-FS-003</v>
      </c>
      <c r="E419" t="s">
        <v>216</v>
      </c>
      <c r="F419" t="s">
        <v>47</v>
      </c>
      <c r="G419" t="str">
        <f>TRIM(Table1[[#This Row],[Region_Clean]])</f>
        <v>EMEA</v>
      </c>
      <c r="H419" t="s">
        <v>82</v>
      </c>
      <c r="I419" t="s">
        <v>87</v>
      </c>
      <c r="J419" s="3">
        <v>1</v>
      </c>
      <c r="K419" s="3">
        <v>3431.93</v>
      </c>
      <c r="L419">
        <v>4100</v>
      </c>
      <c r="M419">
        <v>4100</v>
      </c>
      <c r="N419">
        <v>668.07</v>
      </c>
      <c r="O419">
        <v>3431.93</v>
      </c>
      <c r="P419" t="s">
        <v>26</v>
      </c>
      <c r="Q419" t="s">
        <v>94</v>
      </c>
      <c r="R419" t="s">
        <v>28</v>
      </c>
      <c r="S419" t="str">
        <f>TRIM(PROPER(_xlfn.XLOOKUP(Table1[[#This Row],[ProductID_Clean]],Table3[ProductID],Table3[Category],"Missing Value",0)))</f>
        <v>Services</v>
      </c>
      <c r="T419" t="str">
        <f>_xlfn.XLOOKUP(Table1[[#This Row],[CustomerID_Check]],Table2[CustomerID],Table2[CustomerType],"Missing Value",0)</f>
        <v>Standard</v>
      </c>
    </row>
    <row r="420" spans="1:20">
      <c r="A420" t="s">
        <v>647</v>
      </c>
      <c r="B420" s="1">
        <v>45713</v>
      </c>
      <c r="C420" t="s">
        <v>89</v>
      </c>
      <c r="D420" t="str">
        <f>UPPER(Table1[[#This Row],[ProductID_Clean]])</f>
        <v>P-SI-002</v>
      </c>
      <c r="E420" t="s">
        <v>31</v>
      </c>
      <c r="F420" t="s">
        <v>58</v>
      </c>
      <c r="G420" t="str">
        <f>TRIM(Table1[[#This Row],[Region_Clean]])</f>
        <v>APAC</v>
      </c>
      <c r="H420" t="s">
        <v>24</v>
      </c>
      <c r="I420" t="s">
        <v>25</v>
      </c>
      <c r="J420" s="3">
        <v>3</v>
      </c>
      <c r="K420" s="3">
        <v>557.24</v>
      </c>
      <c r="L420">
        <v>725</v>
      </c>
      <c r="M420">
        <v>2175</v>
      </c>
      <c r="N420">
        <v>503.28</v>
      </c>
      <c r="O420">
        <v>1671.72</v>
      </c>
      <c r="P420" t="s">
        <v>26</v>
      </c>
      <c r="Q420" t="s">
        <v>35</v>
      </c>
      <c r="R420" t="s">
        <v>44</v>
      </c>
      <c r="S420" t="str">
        <f>TRIM(PROPER(_xlfn.XLOOKUP(Table1[[#This Row],[ProductID_Clean]],Table3[ProductID],Table3[Category],"Missing Value",0)))</f>
        <v>Sensors</v>
      </c>
      <c r="T420" t="str">
        <f>_xlfn.XLOOKUP(Table1[[#This Row],[CustomerID_Check]],Table2[CustomerID],Table2[CustomerType],"Missing Value",0)</f>
        <v>Strategic</v>
      </c>
    </row>
    <row r="421" spans="1:20">
      <c r="A421" t="s">
        <v>648</v>
      </c>
      <c r="B421" s="1">
        <v>45687</v>
      </c>
      <c r="C421" t="s">
        <v>248</v>
      </c>
      <c r="D421" t="str">
        <f>UPPER(Table1[[#This Row],[ProductID_Clean]])</f>
        <v>P-SA-001</v>
      </c>
      <c r="E421" t="s">
        <v>68</v>
      </c>
      <c r="F421" t="s">
        <v>32</v>
      </c>
      <c r="G421" t="str">
        <f>TRIM(Table1[[#This Row],[Region_Clean]])</f>
        <v>LATIN AMERICA</v>
      </c>
      <c r="H421" t="s">
        <v>53</v>
      </c>
      <c r="I421" t="s">
        <v>87</v>
      </c>
      <c r="J421" s="3">
        <v>1</v>
      </c>
      <c r="K421" s="3">
        <v>3448.57</v>
      </c>
      <c r="L421">
        <v>4200</v>
      </c>
      <c r="M421">
        <v>4200</v>
      </c>
      <c r="N421">
        <v>751.43</v>
      </c>
      <c r="O421">
        <v>3448.57</v>
      </c>
      <c r="P421" t="s">
        <v>26</v>
      </c>
      <c r="Q421" t="s">
        <v>54</v>
      </c>
      <c r="R421" t="s">
        <v>44</v>
      </c>
      <c r="S421" t="str">
        <f>TRIM(PROPER(_xlfn.XLOOKUP(Table1[[#This Row],[ProductID_Clean]],Table3[ProductID],Table3[Category],"Missing Value",0)))</f>
        <v>Software</v>
      </c>
      <c r="T421" t="str">
        <f>_xlfn.XLOOKUP(Table1[[#This Row],[CustomerID_Check]],Table2[CustomerID],Table2[CustomerType],"Missing Value",0)</f>
        <v>Standard</v>
      </c>
    </row>
    <row r="422" spans="1:20">
      <c r="A422" t="s">
        <v>649</v>
      </c>
      <c r="B422" s="1">
        <v>45730</v>
      </c>
      <c r="C422" t="s">
        <v>106</v>
      </c>
      <c r="D422" t="str">
        <f>UPPER(Table1[[#This Row],[ProductID_Clean]])</f>
        <v>P-SI-005</v>
      </c>
      <c r="E422" t="s">
        <v>57</v>
      </c>
      <c r="F422" t="s">
        <v>58</v>
      </c>
      <c r="G422" t="str">
        <f>TRIM(Table1[[#This Row],[Region_Clean]])</f>
        <v>APAC</v>
      </c>
      <c r="H422" t="s">
        <v>24</v>
      </c>
      <c r="I422" t="s">
        <v>87</v>
      </c>
      <c r="J422" s="3">
        <v>4</v>
      </c>
      <c r="K422" s="3">
        <v>958.42</v>
      </c>
      <c r="L422">
        <v>1120</v>
      </c>
      <c r="M422">
        <v>4480</v>
      </c>
      <c r="N422">
        <v>646.32000000000005</v>
      </c>
      <c r="O422">
        <v>3833.68</v>
      </c>
      <c r="P422" t="s">
        <v>26</v>
      </c>
      <c r="Q422" t="s">
        <v>35</v>
      </c>
      <c r="R422" t="s">
        <v>59</v>
      </c>
      <c r="S422" t="str">
        <f>TRIM(PROPER(_xlfn.XLOOKUP(Table1[[#This Row],[ProductID_Clean]],Table3[ProductID],Table3[Category],"Missing Value",0)))</f>
        <v>Sensors</v>
      </c>
      <c r="T422" t="str">
        <f>_xlfn.XLOOKUP(Table1[[#This Row],[CustomerID_Check]],Table2[CustomerID],Table2[CustomerType],"Missing Value",0)</f>
        <v>Key Account</v>
      </c>
    </row>
    <row r="423" spans="1:20">
      <c r="A423" t="s">
        <v>650</v>
      </c>
      <c r="B423" s="1">
        <v>45831</v>
      </c>
      <c r="C423" t="s">
        <v>143</v>
      </c>
      <c r="D423" t="str">
        <f>UPPER(Table1[[#This Row],[ProductID_Clean]])</f>
        <v>P-SI-002</v>
      </c>
      <c r="E423" t="s">
        <v>31</v>
      </c>
      <c r="F423" t="s">
        <v>23</v>
      </c>
      <c r="G423" t="str">
        <f>TRIM(Table1[[#This Row],[Region_Clean]])</f>
        <v>N. AMERICA</v>
      </c>
      <c r="H423" t="s">
        <v>24</v>
      </c>
      <c r="I423" t="s">
        <v>34</v>
      </c>
      <c r="J423" s="3">
        <v>2</v>
      </c>
      <c r="K423" s="3">
        <v>642.75</v>
      </c>
      <c r="L423">
        <v>725</v>
      </c>
      <c r="M423">
        <v>1450</v>
      </c>
      <c r="N423">
        <v>164.5</v>
      </c>
      <c r="O423">
        <v>1285.5</v>
      </c>
      <c r="P423" t="s">
        <v>26</v>
      </c>
      <c r="Q423" t="s">
        <v>40</v>
      </c>
      <c r="R423" t="s">
        <v>28</v>
      </c>
      <c r="S423" t="str">
        <f>TRIM(PROPER(_xlfn.XLOOKUP(Table1[[#This Row],[ProductID_Clean]],Table3[ProductID],Table3[Category],"Missing Value",0)))</f>
        <v>Sensors</v>
      </c>
      <c r="T423" t="str">
        <f>_xlfn.XLOOKUP(Table1[[#This Row],[CustomerID_Check]],Table2[CustomerID],Table2[CustomerType],"Missing Value",0)</f>
        <v>Strategic</v>
      </c>
    </row>
    <row r="424" spans="1:20">
      <c r="A424" t="s">
        <v>651</v>
      </c>
      <c r="B424" s="1">
        <v>45782</v>
      </c>
      <c r="C424" t="s">
        <v>121</v>
      </c>
      <c r="D424" t="str">
        <f>UPPER(Table1[[#This Row],[ProductID_Clean]])</f>
        <v>P-SI-002</v>
      </c>
      <c r="E424" t="s">
        <v>31</v>
      </c>
      <c r="F424" t="s">
        <v>58</v>
      </c>
      <c r="G424" t="str">
        <f>TRIM(Table1[[#This Row],[Region_Clean]])</f>
        <v>APAC</v>
      </c>
      <c r="H424" t="s">
        <v>24</v>
      </c>
      <c r="I424" t="s">
        <v>87</v>
      </c>
      <c r="J424" s="3">
        <v>12</v>
      </c>
      <c r="K424" s="3">
        <v>558.05999999999995</v>
      </c>
      <c r="L424">
        <v>725</v>
      </c>
      <c r="M424">
        <v>8700</v>
      </c>
      <c r="N424">
        <v>2003.28</v>
      </c>
      <c r="O424">
        <v>6696.72</v>
      </c>
      <c r="P424" t="s">
        <v>26</v>
      </c>
      <c r="Q424" t="s">
        <v>35</v>
      </c>
      <c r="R424" t="s">
        <v>36</v>
      </c>
      <c r="S424" t="str">
        <f>TRIM(PROPER(_xlfn.XLOOKUP(Table1[[#This Row],[ProductID_Clean]],Table3[ProductID],Table3[Category],"Missing Value",0)))</f>
        <v>Sensors</v>
      </c>
      <c r="T424" t="str">
        <f>_xlfn.XLOOKUP(Table1[[#This Row],[CustomerID_Check]],Table2[CustomerID],Table2[CustomerType],"Missing Value",0)</f>
        <v>Key Account</v>
      </c>
    </row>
    <row r="425" spans="1:20">
      <c r="A425" t="s">
        <v>652</v>
      </c>
      <c r="B425" s="1">
        <v>45828</v>
      </c>
      <c r="C425" t="s">
        <v>252</v>
      </c>
      <c r="D425" t="str">
        <f>UPPER(Table1[[#This Row],[ProductID_Clean]])</f>
        <v>P-FS-003</v>
      </c>
      <c r="E425" t="s">
        <v>216</v>
      </c>
      <c r="F425" t="s">
        <v>23</v>
      </c>
      <c r="G425" t="str">
        <f>TRIM(Table1[[#This Row],[Region_Clean]])</f>
        <v>N. AMERICA</v>
      </c>
      <c r="H425" t="s">
        <v>82</v>
      </c>
      <c r="I425" t="s">
        <v>87</v>
      </c>
      <c r="J425" s="3">
        <v>1</v>
      </c>
      <c r="K425" s="3">
        <v>3315.06</v>
      </c>
      <c r="L425">
        <v>4100</v>
      </c>
      <c r="M425">
        <v>4100</v>
      </c>
      <c r="N425">
        <v>784.94</v>
      </c>
      <c r="O425">
        <v>3315.06</v>
      </c>
      <c r="P425" t="s">
        <v>26</v>
      </c>
      <c r="Q425" t="s">
        <v>83</v>
      </c>
      <c r="R425" t="s">
        <v>44</v>
      </c>
      <c r="S425" t="str">
        <f>TRIM(PROPER(_xlfn.XLOOKUP(Table1[[#This Row],[ProductID_Clean]],Table3[ProductID],Table3[Category],"Missing Value",0)))</f>
        <v>Services</v>
      </c>
      <c r="T425" t="str">
        <f>_xlfn.XLOOKUP(Table1[[#This Row],[CustomerID_Check]],Table2[CustomerID],Table2[CustomerType],"Missing Value",0)</f>
        <v>Strategic</v>
      </c>
    </row>
    <row r="426" spans="1:20">
      <c r="A426" t="s">
        <v>653</v>
      </c>
      <c r="B426" s="1">
        <v>45669</v>
      </c>
      <c r="C426" t="s">
        <v>654</v>
      </c>
      <c r="D426" t="str">
        <f>UPPER(Table1[[#This Row],[ProductID_Clean]])</f>
        <v>P-SI-001</v>
      </c>
      <c r="E426" t="s">
        <v>72</v>
      </c>
      <c r="F426" t="s">
        <v>474</v>
      </c>
      <c r="G426" t="str">
        <f>TRIM(Table1[[#This Row],[Region_Clean]])</f>
        <v>LATIN AMERICA</v>
      </c>
      <c r="H426" t="s">
        <v>24</v>
      </c>
      <c r="I426" t="s">
        <v>25</v>
      </c>
      <c r="J426" s="3">
        <v>2</v>
      </c>
      <c r="K426" s="3">
        <v>418.6</v>
      </c>
      <c r="L426">
        <v>485</v>
      </c>
      <c r="M426">
        <v>970</v>
      </c>
      <c r="N426">
        <v>132.80000000000001</v>
      </c>
      <c r="O426">
        <v>837.2</v>
      </c>
      <c r="P426" t="s">
        <v>26</v>
      </c>
      <c r="Q426" t="s">
        <v>35</v>
      </c>
      <c r="R426" t="s">
        <v>28</v>
      </c>
      <c r="S426" t="str">
        <f>TRIM(PROPER(_xlfn.XLOOKUP(Table1[[#This Row],[ProductID_Clean]],Table3[ProductID],Table3[Category],"Missing Value",0)))</f>
        <v>Sensors</v>
      </c>
      <c r="T426" t="str">
        <f>_xlfn.XLOOKUP(Table1[[#This Row],[CustomerID_Check]],Table2[CustomerID],Table2[CustomerType],"Missing Value",0)</f>
        <v>Emerging</v>
      </c>
    </row>
    <row r="427" spans="1:20">
      <c r="A427" t="s">
        <v>655</v>
      </c>
      <c r="B427" s="1">
        <v>45759</v>
      </c>
      <c r="C427" t="s">
        <v>190</v>
      </c>
      <c r="D427" t="str">
        <f>UPPER(Table1[[#This Row],[ProductID_Clean]])</f>
        <v>P-SI-006</v>
      </c>
      <c r="E427" t="s">
        <v>43</v>
      </c>
      <c r="F427" t="s">
        <v>47</v>
      </c>
      <c r="G427" t="str">
        <f>TRIM(Table1[[#This Row],[Region_Clean]])</f>
        <v>EMEA</v>
      </c>
      <c r="H427" t="s">
        <v>24</v>
      </c>
      <c r="I427" t="s">
        <v>34</v>
      </c>
      <c r="J427" s="3">
        <v>3</v>
      </c>
      <c r="K427" s="3">
        <v>160.86000000000001</v>
      </c>
      <c r="L427">
        <v>215</v>
      </c>
      <c r="M427">
        <v>645</v>
      </c>
      <c r="N427">
        <v>162.41999999999999</v>
      </c>
      <c r="O427">
        <v>482.58</v>
      </c>
      <c r="P427" t="s">
        <v>26</v>
      </c>
      <c r="Q427" t="s">
        <v>35</v>
      </c>
      <c r="R427" t="s">
        <v>36</v>
      </c>
      <c r="S427" t="str">
        <f>TRIM(PROPER(_xlfn.XLOOKUP(Table1[[#This Row],[ProductID_Clean]],Table3[ProductID],Table3[Category],"Missing Value",0)))</f>
        <v>Sensors</v>
      </c>
      <c r="T427" t="str">
        <f>_xlfn.XLOOKUP(Table1[[#This Row],[CustomerID_Check]],Table2[CustomerID],Table2[CustomerType],"Missing Value",0)</f>
        <v>Strategic</v>
      </c>
    </row>
    <row r="428" spans="1:20">
      <c r="A428" t="s">
        <v>656</v>
      </c>
      <c r="B428" s="1">
        <v>45672</v>
      </c>
      <c r="C428" t="s">
        <v>112</v>
      </c>
      <c r="D428" t="str">
        <f>UPPER(Table1[[#This Row],[ProductID_Clean]])</f>
        <v>P-SI-006</v>
      </c>
      <c r="E428" t="s">
        <v>43</v>
      </c>
      <c r="F428" t="s">
        <v>58</v>
      </c>
      <c r="G428" t="str">
        <f>TRIM(Table1[[#This Row],[Region_Clean]])</f>
        <v>APAC</v>
      </c>
      <c r="H428" t="s">
        <v>24</v>
      </c>
      <c r="I428" t="s">
        <v>87</v>
      </c>
      <c r="J428" s="3">
        <v>5</v>
      </c>
      <c r="K428" s="3">
        <v>139.16</v>
      </c>
      <c r="L428">
        <v>215</v>
      </c>
      <c r="M428">
        <v>1075</v>
      </c>
      <c r="N428">
        <v>379.2</v>
      </c>
      <c r="O428">
        <v>695.8</v>
      </c>
      <c r="P428" t="s">
        <v>26</v>
      </c>
      <c r="Q428" t="s">
        <v>35</v>
      </c>
      <c r="R428" t="s">
        <v>36</v>
      </c>
      <c r="S428" t="str">
        <f>TRIM(PROPER(_xlfn.XLOOKUP(Table1[[#This Row],[ProductID_Clean]],Table3[ProductID],Table3[Category],"Missing Value",0)))</f>
        <v>Sensors</v>
      </c>
      <c r="T428" t="str">
        <f>_xlfn.XLOOKUP(Table1[[#This Row],[CustomerID_Check]],Table2[CustomerID],Table2[CustomerType],"Missing Value",0)</f>
        <v>Key Account</v>
      </c>
    </row>
    <row r="429" spans="1:20">
      <c r="A429" t="s">
        <v>657</v>
      </c>
      <c r="B429" s="1">
        <v>45710</v>
      </c>
      <c r="C429" t="s">
        <v>172</v>
      </c>
      <c r="D429" t="str">
        <f>UPPER(Table1[[#This Row],[ProductID_Clean]])</f>
        <v>P-SI-006</v>
      </c>
      <c r="E429" t="s">
        <v>43</v>
      </c>
      <c r="F429" t="s">
        <v>23</v>
      </c>
      <c r="G429" t="str">
        <f>TRIM(Table1[[#This Row],[Region_Clean]])</f>
        <v>N. AMERICA</v>
      </c>
      <c r="H429" t="s">
        <v>24</v>
      </c>
      <c r="I429" t="s">
        <v>87</v>
      </c>
      <c r="J429" s="3">
        <v>5</v>
      </c>
      <c r="K429" s="3">
        <v>165.59</v>
      </c>
      <c r="L429">
        <v>215</v>
      </c>
      <c r="M429">
        <v>1075</v>
      </c>
      <c r="N429">
        <v>247.05</v>
      </c>
      <c r="O429">
        <v>827.95</v>
      </c>
      <c r="P429" t="s">
        <v>26</v>
      </c>
      <c r="Q429" t="s">
        <v>40</v>
      </c>
      <c r="R429" t="s">
        <v>36</v>
      </c>
      <c r="S429" t="str">
        <f>TRIM(PROPER(_xlfn.XLOOKUP(Table1[[#This Row],[ProductID_Clean]],Table3[ProductID],Table3[Category],"Missing Value",0)))</f>
        <v>Sensors</v>
      </c>
      <c r="T429" t="str">
        <f>_xlfn.XLOOKUP(Table1[[#This Row],[CustomerID_Check]],Table2[CustomerID],Table2[CustomerType],"Missing Value",0)</f>
        <v>Key Account</v>
      </c>
    </row>
    <row r="430" spans="1:20">
      <c r="A430" t="s">
        <v>658</v>
      </c>
      <c r="B430" s="1">
        <v>45712</v>
      </c>
      <c r="C430" t="s">
        <v>488</v>
      </c>
      <c r="D430" t="str">
        <f>UPPER(Table1[[#This Row],[ProductID_Clean]])</f>
        <v>P-SI-007</v>
      </c>
      <c r="E430" t="s">
        <v>97</v>
      </c>
      <c r="F430" t="s">
        <v>32</v>
      </c>
      <c r="G430" t="str">
        <f>TRIM(Table1[[#This Row],[Region_Clean]])</f>
        <v>LATIN AMERICA</v>
      </c>
      <c r="H430" t="s">
        <v>24</v>
      </c>
      <c r="I430" t="s">
        <v>87</v>
      </c>
      <c r="J430" s="3">
        <v>1</v>
      </c>
      <c r="K430" s="3">
        <v>636.37</v>
      </c>
      <c r="L430">
        <v>980</v>
      </c>
      <c r="M430">
        <v>980</v>
      </c>
      <c r="N430">
        <v>343.63</v>
      </c>
      <c r="O430">
        <v>636.37</v>
      </c>
      <c r="P430" t="s">
        <v>26</v>
      </c>
      <c r="Q430" t="s">
        <v>65</v>
      </c>
      <c r="R430" t="s">
        <v>36</v>
      </c>
      <c r="S430" t="str">
        <f>TRIM(PROPER(_xlfn.XLOOKUP(Table1[[#This Row],[ProductID_Clean]],Table3[ProductID],Table3[Category],"Missing Value",0)))</f>
        <v>Sensors</v>
      </c>
      <c r="T430" t="str">
        <f>_xlfn.XLOOKUP(Table1[[#This Row],[CustomerID_Check]],Table2[CustomerID],Table2[CustomerType],"Missing Value",0)</f>
        <v>Strategic</v>
      </c>
    </row>
    <row r="431" spans="1:20">
      <c r="A431" t="s">
        <v>659</v>
      </c>
      <c r="B431" s="1">
        <v>45723</v>
      </c>
      <c r="C431" t="s">
        <v>212</v>
      </c>
      <c r="D431" t="str">
        <f>UPPER(Table1[[#This Row],[ProductID_Clean]])</f>
        <v>P-SI-003</v>
      </c>
      <c r="E431" t="s">
        <v>39</v>
      </c>
      <c r="F431" t="s">
        <v>47</v>
      </c>
      <c r="G431" t="str">
        <f>TRIM(Table1[[#This Row],[Region_Clean]])</f>
        <v>EMEA</v>
      </c>
      <c r="H431" t="s">
        <v>24</v>
      </c>
      <c r="I431" t="s">
        <v>25</v>
      </c>
      <c r="J431" s="3">
        <v>2</v>
      </c>
      <c r="K431" s="3">
        <v>1736.79</v>
      </c>
      <c r="L431">
        <v>1890</v>
      </c>
      <c r="M431">
        <v>3780</v>
      </c>
      <c r="N431">
        <v>306.42</v>
      </c>
      <c r="O431">
        <v>3473.58</v>
      </c>
      <c r="P431" t="s">
        <v>26</v>
      </c>
      <c r="Q431" t="s">
        <v>35</v>
      </c>
      <c r="R431" t="s">
        <v>44</v>
      </c>
      <c r="S431" t="str">
        <f>TRIM(PROPER(_xlfn.XLOOKUP(Table1[[#This Row],[ProductID_Clean]],Table3[ProductID],Table3[Category],"Missing Value",0)))</f>
        <v>Instruments</v>
      </c>
      <c r="T431" t="str">
        <f>_xlfn.XLOOKUP(Table1[[#This Row],[CustomerID_Check]],Table2[CustomerID],Table2[CustomerType],"Missing Value",0)</f>
        <v>Key Account</v>
      </c>
    </row>
    <row r="432" spans="1:20">
      <c r="A432" t="s">
        <v>660</v>
      </c>
      <c r="B432" s="1">
        <v>45741</v>
      </c>
      <c r="C432" t="s">
        <v>61</v>
      </c>
      <c r="D432" t="str">
        <f>UPPER(Table1[[#This Row],[ProductID_Clean]])</f>
        <v>P-SA-001</v>
      </c>
      <c r="E432" t="s">
        <v>68</v>
      </c>
      <c r="F432" t="s">
        <v>47</v>
      </c>
      <c r="G432" t="str">
        <f>TRIM(Table1[[#This Row],[Region_Clean]])</f>
        <v>EMEA</v>
      </c>
      <c r="H432" t="s">
        <v>53</v>
      </c>
      <c r="I432" t="s">
        <v>25</v>
      </c>
      <c r="J432" s="3">
        <v>2</v>
      </c>
      <c r="K432" s="3">
        <v>3572.51</v>
      </c>
      <c r="L432">
        <v>4200</v>
      </c>
      <c r="M432">
        <v>8400</v>
      </c>
      <c r="N432">
        <v>1254.98</v>
      </c>
      <c r="O432">
        <v>7145.02</v>
      </c>
      <c r="P432" t="s">
        <v>26</v>
      </c>
      <c r="Q432" t="s">
        <v>189</v>
      </c>
      <c r="R432" t="s">
        <v>48</v>
      </c>
      <c r="S432" t="str">
        <f>TRIM(PROPER(_xlfn.XLOOKUP(Table1[[#This Row],[ProductID_Clean]],Table3[ProductID],Table3[Category],"Missing Value",0)))</f>
        <v>Software</v>
      </c>
      <c r="T432" t="str">
        <f>_xlfn.XLOOKUP(Table1[[#This Row],[CustomerID_Check]],Table2[CustomerID],Table2[CustomerType],"Missing Value",0)</f>
        <v>Strategic</v>
      </c>
    </row>
    <row r="433" spans="1:20">
      <c r="A433" t="s">
        <v>661</v>
      </c>
      <c r="B433" s="1">
        <v>45659</v>
      </c>
      <c r="C433" t="s">
        <v>132</v>
      </c>
      <c r="D433" t="str">
        <f>UPPER(Table1[[#This Row],[ProductID_Clean]])</f>
        <v>P-FS-005</v>
      </c>
      <c r="E433" t="s">
        <v>101</v>
      </c>
      <c r="F433" t="s">
        <v>47</v>
      </c>
      <c r="G433" t="str">
        <f>TRIM(Table1[[#This Row],[Region_Clean]])</f>
        <v>EMEA</v>
      </c>
      <c r="H433" t="s">
        <v>82</v>
      </c>
      <c r="I433" t="s">
        <v>87</v>
      </c>
      <c r="J433" s="3">
        <v>1</v>
      </c>
      <c r="K433" s="3">
        <v>718.7</v>
      </c>
      <c r="L433">
        <v>950</v>
      </c>
      <c r="M433">
        <v>950</v>
      </c>
      <c r="N433">
        <v>231.3</v>
      </c>
      <c r="O433">
        <v>718.7</v>
      </c>
      <c r="P433" t="s">
        <v>26</v>
      </c>
      <c r="Q433" t="s">
        <v>35</v>
      </c>
      <c r="R433" t="s">
        <v>48</v>
      </c>
      <c r="S433" t="str">
        <f>TRIM(PROPER(_xlfn.XLOOKUP(Table1[[#This Row],[ProductID_Clean]],Table3[ProductID],Table3[Category],"Missing Value",0)))</f>
        <v>Services</v>
      </c>
      <c r="T433" t="str">
        <f>_xlfn.XLOOKUP(Table1[[#This Row],[CustomerID_Check]],Table2[CustomerID],Table2[CustomerType],"Missing Value",0)</f>
        <v>Key Account</v>
      </c>
    </row>
    <row r="434" spans="1:20">
      <c r="A434" t="s">
        <v>662</v>
      </c>
      <c r="B434" s="1">
        <v>45768</v>
      </c>
      <c r="C434" t="s">
        <v>56</v>
      </c>
      <c r="D434" t="str">
        <f>UPPER(Table1[[#This Row],[ProductID_Clean]])</f>
        <v>P-SI-006</v>
      </c>
      <c r="E434" t="s">
        <v>43</v>
      </c>
      <c r="F434" t="s">
        <v>58</v>
      </c>
      <c r="G434" t="str">
        <f>TRIM(Table1[[#This Row],[Region_Clean]])</f>
        <v>APAC</v>
      </c>
      <c r="H434" t="s">
        <v>24</v>
      </c>
      <c r="I434" t="s">
        <v>25</v>
      </c>
      <c r="J434" s="3">
        <v>3</v>
      </c>
      <c r="K434" s="3">
        <v>164.38</v>
      </c>
      <c r="L434">
        <v>215</v>
      </c>
      <c r="M434">
        <v>645</v>
      </c>
      <c r="N434">
        <v>151.86000000000001</v>
      </c>
      <c r="O434">
        <v>493.14</v>
      </c>
      <c r="P434" t="s">
        <v>26</v>
      </c>
      <c r="Q434" t="s">
        <v>27</v>
      </c>
      <c r="R434" t="s">
        <v>59</v>
      </c>
      <c r="S434" t="str">
        <f>TRIM(PROPER(_xlfn.XLOOKUP(Table1[[#This Row],[ProductID_Clean]],Table3[ProductID],Table3[Category],"Missing Value",0)))</f>
        <v>Sensors</v>
      </c>
      <c r="T434" t="str">
        <f>_xlfn.XLOOKUP(Table1[[#This Row],[CustomerID_Check]],Table2[CustomerID],Table2[CustomerType],"Missing Value",0)</f>
        <v>Key Account</v>
      </c>
    </row>
    <row r="435" spans="1:20">
      <c r="A435" t="s">
        <v>663</v>
      </c>
      <c r="B435" s="1">
        <v>45691</v>
      </c>
      <c r="C435" t="s">
        <v>191</v>
      </c>
      <c r="D435" t="str">
        <f>UPPER(Table1[[#This Row],[ProductID_Clean]])</f>
        <v>P-SI-002</v>
      </c>
      <c r="E435" t="s">
        <v>31</v>
      </c>
      <c r="F435" t="s">
        <v>47</v>
      </c>
      <c r="G435" t="str">
        <f>TRIM(Table1[[#This Row],[Region_Clean]])</f>
        <v>EMEA</v>
      </c>
      <c r="H435" t="s">
        <v>24</v>
      </c>
      <c r="I435" t="s">
        <v>87</v>
      </c>
      <c r="J435" s="3">
        <v>4</v>
      </c>
      <c r="K435" s="3">
        <v>640.26</v>
      </c>
      <c r="L435">
        <v>725</v>
      </c>
      <c r="M435">
        <v>2900</v>
      </c>
      <c r="N435">
        <v>338.96</v>
      </c>
      <c r="O435">
        <v>2561.04</v>
      </c>
      <c r="P435" t="s">
        <v>26</v>
      </c>
      <c r="Q435" t="s">
        <v>35</v>
      </c>
      <c r="R435" t="s">
        <v>36</v>
      </c>
      <c r="S435" t="str">
        <f>TRIM(PROPER(_xlfn.XLOOKUP(Table1[[#This Row],[ProductID_Clean]],Table3[ProductID],Table3[Category],"Missing Value",0)))</f>
        <v>Sensors</v>
      </c>
      <c r="T435" t="str">
        <f>_xlfn.XLOOKUP(Table1[[#This Row],[CustomerID_Check]],Table2[CustomerID],Table2[CustomerType],"Missing Value",0)</f>
        <v>Standard</v>
      </c>
    </row>
    <row r="436" spans="1:20">
      <c r="A436" t="s">
        <v>664</v>
      </c>
      <c r="B436" s="1">
        <v>45794</v>
      </c>
      <c r="C436" t="s">
        <v>256</v>
      </c>
      <c r="D436" t="str">
        <f>UPPER(Table1[[#This Row],[ProductID_Clean]])</f>
        <v>P-FS-001</v>
      </c>
      <c r="E436" t="s">
        <v>133</v>
      </c>
      <c r="F436" t="s">
        <v>47</v>
      </c>
      <c r="G436" t="str">
        <f>TRIM(Table1[[#This Row],[Region_Clean]])</f>
        <v>EMEA</v>
      </c>
      <c r="H436" t="s">
        <v>82</v>
      </c>
      <c r="I436" t="s">
        <v>34</v>
      </c>
      <c r="J436" s="3">
        <v>1</v>
      </c>
      <c r="K436" s="3">
        <v>1311.19</v>
      </c>
      <c r="L436">
        <v>1850</v>
      </c>
      <c r="M436">
        <v>1850</v>
      </c>
      <c r="N436">
        <v>538.80999999999995</v>
      </c>
      <c r="O436">
        <v>1311.19</v>
      </c>
      <c r="P436" t="s">
        <v>26</v>
      </c>
      <c r="Q436" t="s">
        <v>35</v>
      </c>
      <c r="R436" t="s">
        <v>44</v>
      </c>
      <c r="S436" t="str">
        <f>TRIM(PROPER(_xlfn.XLOOKUP(Table1[[#This Row],[ProductID_Clean]],Table3[ProductID],Table3[Category],"Missing Value",0)))</f>
        <v>Services</v>
      </c>
      <c r="T436" t="str">
        <f>_xlfn.XLOOKUP(Table1[[#This Row],[CustomerID_Check]],Table2[CustomerID],Table2[CustomerType],"Missing Value",0)</f>
        <v>Strategic</v>
      </c>
    </row>
    <row r="437" spans="1:20">
      <c r="A437" t="s">
        <v>665</v>
      </c>
      <c r="B437" s="1">
        <v>45716</v>
      </c>
      <c r="C437" t="s">
        <v>666</v>
      </c>
      <c r="D437" t="str">
        <f>UPPER(Table1[[#This Row],[ProductID_Clean]])</f>
        <v>P-SI-002</v>
      </c>
      <c r="E437" t="s">
        <v>31</v>
      </c>
      <c r="F437" t="s">
        <v>47</v>
      </c>
      <c r="G437" t="str">
        <f>TRIM(Table1[[#This Row],[Region_Clean]])</f>
        <v>EMEA</v>
      </c>
      <c r="H437" t="s">
        <v>24</v>
      </c>
      <c r="I437" t="s">
        <v>184</v>
      </c>
      <c r="J437" s="3">
        <v>2</v>
      </c>
      <c r="K437" s="3">
        <v>619.01</v>
      </c>
      <c r="L437">
        <v>725</v>
      </c>
      <c r="M437">
        <v>1450</v>
      </c>
      <c r="N437">
        <v>211.98</v>
      </c>
      <c r="O437">
        <v>1238.02</v>
      </c>
      <c r="P437" t="s">
        <v>26</v>
      </c>
      <c r="Q437" t="s">
        <v>35</v>
      </c>
      <c r="R437" t="s">
        <v>36</v>
      </c>
      <c r="S437" t="str">
        <f>TRIM(PROPER(_xlfn.XLOOKUP(Table1[[#This Row],[ProductID_Clean]],Table3[ProductID],Table3[Category],"Missing Value",0)))</f>
        <v>Sensors</v>
      </c>
      <c r="T437" t="str">
        <f>_xlfn.XLOOKUP(Table1[[#This Row],[CustomerID_Check]],Table2[CustomerID],Table2[CustomerType],"Missing Value",0)</f>
        <v>Standard</v>
      </c>
    </row>
    <row r="438" spans="1:20">
      <c r="A438" t="s">
        <v>667</v>
      </c>
      <c r="B438" s="1">
        <v>45719</v>
      </c>
      <c r="C438" t="s">
        <v>307</v>
      </c>
      <c r="D438" t="str">
        <f>UPPER(Table1[[#This Row],[ProductID_Clean]])</f>
        <v>P-SI-003</v>
      </c>
      <c r="E438" t="s">
        <v>39</v>
      </c>
      <c r="F438" t="s">
        <v>23</v>
      </c>
      <c r="G438" t="str">
        <f>TRIM(Table1[[#This Row],[Region_Clean]])</f>
        <v>N. AMERICA</v>
      </c>
      <c r="H438" t="s">
        <v>24</v>
      </c>
      <c r="I438" t="s">
        <v>25</v>
      </c>
      <c r="J438" s="3">
        <v>1</v>
      </c>
      <c r="K438" s="3">
        <v>1826.82</v>
      </c>
      <c r="L438">
        <v>1890</v>
      </c>
      <c r="M438">
        <v>1890</v>
      </c>
      <c r="N438">
        <v>63.180000000000064</v>
      </c>
      <c r="O438">
        <v>1826.82</v>
      </c>
      <c r="P438" t="s">
        <v>26</v>
      </c>
      <c r="Q438" t="s">
        <v>35</v>
      </c>
      <c r="R438" t="s">
        <v>36</v>
      </c>
      <c r="S438" t="str">
        <f>TRIM(PROPER(_xlfn.XLOOKUP(Table1[[#This Row],[ProductID_Clean]],Table3[ProductID],Table3[Category],"Missing Value",0)))</f>
        <v>Instruments</v>
      </c>
      <c r="T438" t="str">
        <f>_xlfn.XLOOKUP(Table1[[#This Row],[CustomerID_Check]],Table2[CustomerID],Table2[CustomerType],"Missing Value",0)</f>
        <v>Standard</v>
      </c>
    </row>
    <row r="439" spans="1:20">
      <c r="A439" t="s">
        <v>668</v>
      </c>
      <c r="B439" s="1">
        <v>45759</v>
      </c>
      <c r="C439" t="s">
        <v>312</v>
      </c>
      <c r="D439" t="str">
        <f>UPPER(Table1[[#This Row],[ProductID_Clean]])</f>
        <v>P-SI-007</v>
      </c>
      <c r="E439" t="s">
        <v>97</v>
      </c>
      <c r="F439" t="s">
        <v>58</v>
      </c>
      <c r="G439" t="str">
        <f>TRIM(Table1[[#This Row],[Region_Clean]])</f>
        <v>APAC</v>
      </c>
      <c r="H439" t="s">
        <v>24</v>
      </c>
      <c r="I439" t="s">
        <v>25</v>
      </c>
      <c r="J439" s="3">
        <v>2</v>
      </c>
      <c r="K439" s="3">
        <v>861.38</v>
      </c>
      <c r="L439">
        <v>980</v>
      </c>
      <c r="M439">
        <v>1960</v>
      </c>
      <c r="N439">
        <v>237.24</v>
      </c>
      <c r="O439">
        <v>1722.76</v>
      </c>
      <c r="P439" t="s">
        <v>26</v>
      </c>
      <c r="Q439" t="s">
        <v>35</v>
      </c>
      <c r="R439" t="s">
        <v>36</v>
      </c>
      <c r="S439" t="str">
        <f>TRIM(PROPER(_xlfn.XLOOKUP(Table1[[#This Row],[ProductID_Clean]],Table3[ProductID],Table3[Category],"Missing Value",0)))</f>
        <v>Sensors</v>
      </c>
      <c r="T439" t="str">
        <f>_xlfn.XLOOKUP(Table1[[#This Row],[CustomerID_Check]],Table2[CustomerID],Table2[CustomerType],"Missing Value",0)</f>
        <v>Standard</v>
      </c>
    </row>
    <row r="440" spans="1:20">
      <c r="A440" t="s">
        <v>669</v>
      </c>
      <c r="B440" s="1">
        <v>45668</v>
      </c>
      <c r="C440" t="s">
        <v>272</v>
      </c>
      <c r="D440" t="str">
        <f>UPPER(Table1[[#This Row],[ProductID_Clean]])</f>
        <v>P-SI-006</v>
      </c>
      <c r="E440" t="s">
        <v>43</v>
      </c>
      <c r="F440" t="s">
        <v>47</v>
      </c>
      <c r="G440" t="str">
        <f>TRIM(Table1[[#This Row],[Region_Clean]])</f>
        <v>EMEA</v>
      </c>
      <c r="H440" t="s">
        <v>24</v>
      </c>
      <c r="I440" t="s">
        <v>98</v>
      </c>
      <c r="J440" s="3">
        <v>2</v>
      </c>
      <c r="K440" s="3">
        <v>174.66</v>
      </c>
      <c r="L440">
        <v>215</v>
      </c>
      <c r="M440">
        <v>430</v>
      </c>
      <c r="N440">
        <v>80.680000000000007</v>
      </c>
      <c r="O440">
        <v>349.32</v>
      </c>
      <c r="P440" t="s">
        <v>26</v>
      </c>
      <c r="Q440" t="s">
        <v>35</v>
      </c>
      <c r="R440" t="s">
        <v>36</v>
      </c>
      <c r="S440" t="str">
        <f>TRIM(PROPER(_xlfn.XLOOKUP(Table1[[#This Row],[ProductID_Clean]],Table3[ProductID],Table3[Category],"Missing Value",0)))</f>
        <v>Sensors</v>
      </c>
      <c r="T440" t="str">
        <f>_xlfn.XLOOKUP(Table1[[#This Row],[CustomerID_Check]],Table2[CustomerID],Table2[CustomerType],"Missing Value",0)</f>
        <v>Key Account</v>
      </c>
    </row>
    <row r="441" spans="1:20">
      <c r="A441" t="s">
        <v>670</v>
      </c>
      <c r="B441" s="1">
        <v>45662</v>
      </c>
      <c r="C441" t="s">
        <v>477</v>
      </c>
      <c r="D441" t="str">
        <f>UPPER(Table1[[#This Row],[ProductID_Clean]])</f>
        <v>P-SI-001</v>
      </c>
      <c r="E441" t="s">
        <v>72</v>
      </c>
      <c r="F441" t="s">
        <v>23</v>
      </c>
      <c r="G441" t="str">
        <f>TRIM(Table1[[#This Row],[Region_Clean]])</f>
        <v>N. AMERICA</v>
      </c>
      <c r="H441" t="s">
        <v>24</v>
      </c>
      <c r="I441" t="s">
        <v>34</v>
      </c>
      <c r="J441" s="3">
        <v>3</v>
      </c>
      <c r="K441" s="3">
        <v>435.37</v>
      </c>
      <c r="L441">
        <v>485</v>
      </c>
      <c r="M441">
        <v>1455</v>
      </c>
      <c r="N441">
        <v>148.88999999999999</v>
      </c>
      <c r="O441">
        <v>1306.1099999999999</v>
      </c>
      <c r="P441" t="s">
        <v>26</v>
      </c>
      <c r="Q441" t="s">
        <v>27</v>
      </c>
      <c r="R441" t="s">
        <v>36</v>
      </c>
      <c r="S441" t="str">
        <f>TRIM(PROPER(_xlfn.XLOOKUP(Table1[[#This Row],[ProductID_Clean]],Table3[ProductID],Table3[Category],"Missing Value",0)))</f>
        <v>Sensors</v>
      </c>
      <c r="T441" t="str">
        <f>_xlfn.XLOOKUP(Table1[[#This Row],[CustomerID_Check]],Table2[CustomerID],Table2[CustomerType],"Missing Value",0)</f>
        <v>Key Account</v>
      </c>
    </row>
    <row r="442" spans="1:20">
      <c r="A442" t="s">
        <v>671</v>
      </c>
      <c r="B442" s="1">
        <v>45677</v>
      </c>
      <c r="C442" t="s">
        <v>143</v>
      </c>
      <c r="D442" t="str">
        <f>UPPER(Table1[[#This Row],[ProductID_Clean]])</f>
        <v>P-FS-005</v>
      </c>
      <c r="E442" t="s">
        <v>101</v>
      </c>
      <c r="F442" t="s">
        <v>23</v>
      </c>
      <c r="G442" t="str">
        <f>TRIM(Table1[[#This Row],[Region_Clean]])</f>
        <v>N. AMERICA</v>
      </c>
      <c r="H442" t="s">
        <v>82</v>
      </c>
      <c r="I442" t="s">
        <v>25</v>
      </c>
      <c r="J442" s="3">
        <v>1</v>
      </c>
      <c r="K442" s="3">
        <v>729.59</v>
      </c>
      <c r="L442">
        <v>950</v>
      </c>
      <c r="M442">
        <v>950</v>
      </c>
      <c r="N442">
        <v>220.41</v>
      </c>
      <c r="O442">
        <v>729.59</v>
      </c>
      <c r="P442" t="s">
        <v>26</v>
      </c>
      <c r="Q442" t="s">
        <v>35</v>
      </c>
      <c r="R442" t="s">
        <v>28</v>
      </c>
      <c r="S442" t="str">
        <f>TRIM(PROPER(_xlfn.XLOOKUP(Table1[[#This Row],[ProductID_Clean]],Table3[ProductID],Table3[Category],"Missing Value",0)))</f>
        <v>Services</v>
      </c>
      <c r="T442" t="str">
        <f>_xlfn.XLOOKUP(Table1[[#This Row],[CustomerID_Check]],Table2[CustomerID],Table2[CustomerType],"Missing Value",0)</f>
        <v>Strategic</v>
      </c>
    </row>
    <row r="443" spans="1:20">
      <c r="A443" t="s">
        <v>672</v>
      </c>
      <c r="B443" s="1">
        <v>45805</v>
      </c>
      <c r="C443" t="s">
        <v>297</v>
      </c>
      <c r="D443" t="str">
        <f>UPPER(Table1[[#This Row],[ProductID_Clean]])</f>
        <v>P-SI-003</v>
      </c>
      <c r="E443" t="s">
        <v>39</v>
      </c>
      <c r="F443" t="s">
        <v>23</v>
      </c>
      <c r="G443" t="str">
        <f>TRIM(Table1[[#This Row],[Region_Clean]])</f>
        <v>N. AMERICA</v>
      </c>
      <c r="H443" t="s">
        <v>24</v>
      </c>
      <c r="I443" t="s">
        <v>87</v>
      </c>
      <c r="J443" s="3">
        <v>1</v>
      </c>
      <c r="K443" s="3">
        <v>1602.28</v>
      </c>
      <c r="L443">
        <v>1890</v>
      </c>
      <c r="M443">
        <v>1890</v>
      </c>
      <c r="N443">
        <v>287.72000000000003</v>
      </c>
      <c r="O443">
        <v>1602.28</v>
      </c>
      <c r="P443" t="s">
        <v>26</v>
      </c>
      <c r="Q443" t="s">
        <v>35</v>
      </c>
      <c r="R443" t="s">
        <v>36</v>
      </c>
      <c r="S443" t="str">
        <f>TRIM(PROPER(_xlfn.XLOOKUP(Table1[[#This Row],[ProductID_Clean]],Table3[ProductID],Table3[Category],"Missing Value",0)))</f>
        <v>Instruments</v>
      </c>
      <c r="T443" t="str">
        <f>_xlfn.XLOOKUP(Table1[[#This Row],[CustomerID_Check]],Table2[CustomerID],Table2[CustomerType],"Missing Value",0)</f>
        <v>Key Account</v>
      </c>
    </row>
    <row r="444" spans="1:20">
      <c r="A444" t="s">
        <v>673</v>
      </c>
      <c r="B444" s="1">
        <v>45821</v>
      </c>
      <c r="C444" t="s">
        <v>100</v>
      </c>
      <c r="D444" t="str">
        <f>UPPER(Table1[[#This Row],[ProductID_Clean]])</f>
        <v>P-FS-001</v>
      </c>
      <c r="E444" t="s">
        <v>133</v>
      </c>
      <c r="F444" t="s">
        <v>47</v>
      </c>
      <c r="G444" t="str">
        <f>TRIM(Table1[[#This Row],[Region_Clean]])</f>
        <v>EMEA</v>
      </c>
      <c r="H444" t="s">
        <v>82</v>
      </c>
      <c r="I444" t="s">
        <v>25</v>
      </c>
      <c r="J444" s="3">
        <v>1</v>
      </c>
      <c r="K444" s="3">
        <v>1511.01</v>
      </c>
      <c r="L444">
        <v>1850</v>
      </c>
      <c r="M444">
        <v>1850</v>
      </c>
      <c r="N444">
        <v>338.99</v>
      </c>
      <c r="O444">
        <v>1511.01</v>
      </c>
      <c r="P444" t="s">
        <v>26</v>
      </c>
      <c r="Q444" t="s">
        <v>35</v>
      </c>
      <c r="R444" t="s">
        <v>36</v>
      </c>
      <c r="S444" t="str">
        <f>TRIM(PROPER(_xlfn.XLOOKUP(Table1[[#This Row],[ProductID_Clean]],Table3[ProductID],Table3[Category],"Missing Value",0)))</f>
        <v>Services</v>
      </c>
      <c r="T444" t="str">
        <f>_xlfn.XLOOKUP(Table1[[#This Row],[CustomerID_Check]],Table2[CustomerID],Table2[CustomerType],"Missing Value",0)</f>
        <v>Strategic</v>
      </c>
    </row>
    <row r="445" spans="1:20">
      <c r="A445" t="s">
        <v>674</v>
      </c>
      <c r="B445" s="1">
        <v>45732</v>
      </c>
      <c r="C445" t="s">
        <v>375</v>
      </c>
      <c r="D445" t="str">
        <f>UPPER(Table1[[#This Row],[ProductID_Clean]])</f>
        <v>P-SI-008</v>
      </c>
      <c r="E445" t="s">
        <v>152</v>
      </c>
      <c r="F445" t="s">
        <v>32</v>
      </c>
      <c r="G445" t="str">
        <f>TRIM(Table1[[#This Row],[Region_Clean]])</f>
        <v>LATIN AMERICA</v>
      </c>
      <c r="H445" t="s">
        <v>24</v>
      </c>
      <c r="I445" t="s">
        <v>25</v>
      </c>
      <c r="J445" s="3">
        <v>3</v>
      </c>
      <c r="K445" s="3">
        <v>894.86</v>
      </c>
      <c r="L445">
        <v>950</v>
      </c>
      <c r="M445">
        <v>2850</v>
      </c>
      <c r="N445">
        <v>165.42</v>
      </c>
      <c r="O445">
        <v>2684.58</v>
      </c>
      <c r="P445" t="s">
        <v>26</v>
      </c>
      <c r="Q445" t="s">
        <v>35</v>
      </c>
      <c r="R445" t="s">
        <v>36</v>
      </c>
      <c r="S445" t="str">
        <f>TRIM(PROPER(_xlfn.XLOOKUP(Table1[[#This Row],[ProductID_Clean]],Table3[ProductID],Table3[Category],"Missing Value",0)))</f>
        <v>Instruments</v>
      </c>
      <c r="T445" t="str">
        <f>_xlfn.XLOOKUP(Table1[[#This Row],[CustomerID_Check]],Table2[CustomerID],Table2[CustomerType],"Missing Value",0)</f>
        <v>Standard</v>
      </c>
    </row>
    <row r="446" spans="1:20">
      <c r="A446" t="s">
        <v>675</v>
      </c>
      <c r="B446" s="1">
        <v>45761</v>
      </c>
      <c r="C446" t="s">
        <v>190</v>
      </c>
      <c r="D446" t="str">
        <f>UPPER(Table1[[#This Row],[ProductID_Clean]])</f>
        <v>P-FS-005</v>
      </c>
      <c r="E446" t="s">
        <v>101</v>
      </c>
      <c r="F446" t="s">
        <v>47</v>
      </c>
      <c r="G446" t="str">
        <f>TRIM(Table1[[#This Row],[Region_Clean]])</f>
        <v>EMEA</v>
      </c>
      <c r="H446" t="s">
        <v>82</v>
      </c>
      <c r="I446" t="s">
        <v>87</v>
      </c>
      <c r="J446" s="3">
        <v>1</v>
      </c>
      <c r="K446" s="3">
        <v>656.02</v>
      </c>
      <c r="L446">
        <v>950</v>
      </c>
      <c r="M446">
        <v>950</v>
      </c>
      <c r="N446">
        <v>293.98</v>
      </c>
      <c r="O446">
        <v>656.02</v>
      </c>
      <c r="P446" t="s">
        <v>26</v>
      </c>
      <c r="Q446" t="s">
        <v>35</v>
      </c>
      <c r="R446" t="s">
        <v>36</v>
      </c>
      <c r="S446" t="str">
        <f>TRIM(PROPER(_xlfn.XLOOKUP(Table1[[#This Row],[ProductID_Clean]],Table3[ProductID],Table3[Category],"Missing Value",0)))</f>
        <v>Services</v>
      </c>
      <c r="T446" t="str">
        <f>_xlfn.XLOOKUP(Table1[[#This Row],[CustomerID_Check]],Table2[CustomerID],Table2[CustomerType],"Missing Value",0)</f>
        <v>Strategic</v>
      </c>
    </row>
    <row r="447" spans="1:20">
      <c r="A447" t="s">
        <v>676</v>
      </c>
      <c r="B447" s="1">
        <v>45798</v>
      </c>
      <c r="C447" t="s">
        <v>677</v>
      </c>
      <c r="D447" t="str">
        <f>UPPER(Table1[[#This Row],[ProductID_Clean]])</f>
        <v>P-FS-005</v>
      </c>
      <c r="E447" t="s">
        <v>101</v>
      </c>
      <c r="F447" t="s">
        <v>32</v>
      </c>
      <c r="G447" t="str">
        <f>TRIM(Table1[[#This Row],[Region_Clean]])</f>
        <v>LATIN AMERICA</v>
      </c>
      <c r="H447" t="s">
        <v>82</v>
      </c>
      <c r="I447" t="s">
        <v>25</v>
      </c>
      <c r="J447" s="3">
        <v>1</v>
      </c>
      <c r="K447" s="3">
        <v>775.71</v>
      </c>
      <c r="L447">
        <v>950</v>
      </c>
      <c r="M447">
        <v>950</v>
      </c>
      <c r="N447">
        <v>174.28999999999996</v>
      </c>
      <c r="O447">
        <v>775.71</v>
      </c>
      <c r="P447" t="s">
        <v>26</v>
      </c>
      <c r="Q447" t="s">
        <v>27</v>
      </c>
      <c r="R447" t="s">
        <v>48</v>
      </c>
      <c r="S447" t="str">
        <f>TRIM(PROPER(_xlfn.XLOOKUP(Table1[[#This Row],[ProductID_Clean]],Table3[ProductID],Table3[Category],"Missing Value",0)))</f>
        <v>Services</v>
      </c>
      <c r="T447" t="str">
        <f>_xlfn.XLOOKUP(Table1[[#This Row],[CustomerID_Check]],Table2[CustomerID],Table2[CustomerType],"Missing Value",0)</f>
        <v>Standard</v>
      </c>
    </row>
    <row r="448" spans="1:20">
      <c r="A448" t="s">
        <v>678</v>
      </c>
      <c r="B448" s="1">
        <v>45816</v>
      </c>
      <c r="C448" t="s">
        <v>262</v>
      </c>
      <c r="D448" t="str">
        <f>UPPER(Table1[[#This Row],[ProductID_Clean]])</f>
        <v>P-FS-001</v>
      </c>
      <c r="E448" t="s">
        <v>133</v>
      </c>
      <c r="F448" t="s">
        <v>23</v>
      </c>
      <c r="G448" t="str">
        <f>TRIM(Table1[[#This Row],[Region_Clean]])</f>
        <v>N. AMERICA</v>
      </c>
      <c r="H448" t="s">
        <v>82</v>
      </c>
      <c r="I448" t="s">
        <v>98</v>
      </c>
      <c r="J448" s="3">
        <v>1</v>
      </c>
      <c r="K448" s="3">
        <v>1634.46</v>
      </c>
      <c r="L448">
        <v>1850</v>
      </c>
      <c r="M448">
        <v>1850</v>
      </c>
      <c r="N448">
        <v>215.54</v>
      </c>
      <c r="O448">
        <v>1634.46</v>
      </c>
      <c r="P448" t="s">
        <v>26</v>
      </c>
      <c r="Q448" t="s">
        <v>35</v>
      </c>
      <c r="R448" t="s">
        <v>48</v>
      </c>
      <c r="S448" t="str">
        <f>TRIM(PROPER(_xlfn.XLOOKUP(Table1[[#This Row],[ProductID_Clean]],Table3[ProductID],Table3[Category],"Missing Value",0)))</f>
        <v>Services</v>
      </c>
      <c r="T448" t="str">
        <f>_xlfn.XLOOKUP(Table1[[#This Row],[CustomerID_Check]],Table2[CustomerID],Table2[CustomerType],"Missing Value",0)</f>
        <v>Key Account</v>
      </c>
    </row>
    <row r="449" spans="1:20">
      <c r="A449" t="s">
        <v>679</v>
      </c>
      <c r="B449" s="1">
        <v>45834</v>
      </c>
      <c r="C449" t="s">
        <v>264</v>
      </c>
      <c r="D449" t="str">
        <f>UPPER(Table1[[#This Row],[ProductID_Clean]])</f>
        <v>P-SA-002</v>
      </c>
      <c r="E449" t="s">
        <v>147</v>
      </c>
      <c r="F449" t="s">
        <v>23</v>
      </c>
      <c r="G449" t="str">
        <f>TRIM(Table1[[#This Row],[Region_Clean]])</f>
        <v>N. AMERICA</v>
      </c>
      <c r="H449" t="s">
        <v>53</v>
      </c>
      <c r="I449" t="s">
        <v>25</v>
      </c>
      <c r="J449" s="3">
        <v>3</v>
      </c>
      <c r="K449" s="3">
        <v>9379.24</v>
      </c>
      <c r="L449">
        <v>9800</v>
      </c>
      <c r="M449">
        <v>29400</v>
      </c>
      <c r="N449">
        <v>1262.28</v>
      </c>
      <c r="O449">
        <v>28137.72</v>
      </c>
      <c r="P449" t="s">
        <v>26</v>
      </c>
      <c r="Q449" t="s">
        <v>88</v>
      </c>
      <c r="R449" t="s">
        <v>48</v>
      </c>
      <c r="S449" t="str">
        <f>TRIM(PROPER(_xlfn.XLOOKUP(Table1[[#This Row],[ProductID_Clean]],Table3[ProductID],Table3[Category],"Missing Value",0)))</f>
        <v>Software</v>
      </c>
      <c r="T449" t="str">
        <f>_xlfn.XLOOKUP(Table1[[#This Row],[CustomerID_Check]],Table2[CustomerID],Table2[CustomerType],"Missing Value",0)</f>
        <v>Standard</v>
      </c>
    </row>
    <row r="450" spans="1:20">
      <c r="A450" t="s">
        <v>680</v>
      </c>
      <c r="B450" s="1">
        <v>45804</v>
      </c>
      <c r="C450" t="s">
        <v>204</v>
      </c>
      <c r="D450" t="str">
        <f>UPPER(Table1[[#This Row],[ProductID_Clean]])</f>
        <v>P-SA-004</v>
      </c>
      <c r="E450" t="s">
        <v>86</v>
      </c>
      <c r="F450" t="s">
        <v>47</v>
      </c>
      <c r="G450" t="str">
        <f>TRIM(Table1[[#This Row],[Region_Clean]])</f>
        <v>EMEA</v>
      </c>
      <c r="H450" t="s">
        <v>53</v>
      </c>
      <c r="I450" t="s">
        <v>34</v>
      </c>
      <c r="J450" s="3">
        <v>1</v>
      </c>
      <c r="K450" s="3">
        <v>82.5</v>
      </c>
      <c r="L450">
        <v>1650</v>
      </c>
      <c r="M450">
        <v>1650</v>
      </c>
      <c r="N450">
        <v>1567.5</v>
      </c>
      <c r="O450">
        <v>82.5</v>
      </c>
      <c r="P450" t="s">
        <v>26</v>
      </c>
      <c r="Q450" t="s">
        <v>189</v>
      </c>
      <c r="R450" t="s">
        <v>48</v>
      </c>
      <c r="S450" t="str">
        <f>TRIM(PROPER(_xlfn.XLOOKUP(Table1[[#This Row],[ProductID_Clean]],Table3[ProductID],Table3[Category],"Missing Value",0)))</f>
        <v>Software</v>
      </c>
      <c r="T450" t="str">
        <f>_xlfn.XLOOKUP(Table1[[#This Row],[CustomerID_Check]],Table2[CustomerID],Table2[CustomerType],"Missing Value",0)</f>
        <v>Standard</v>
      </c>
    </row>
    <row r="451" spans="1:20">
      <c r="A451" t="s">
        <v>681</v>
      </c>
      <c r="B451" s="1">
        <v>45720</v>
      </c>
      <c r="C451" t="s">
        <v>172</v>
      </c>
      <c r="D451" t="str">
        <f>UPPER(Table1[[#This Row],[ProductID_Clean]])</f>
        <v>P-SI-004</v>
      </c>
      <c r="E451" t="s">
        <v>22</v>
      </c>
      <c r="F451" t="s">
        <v>23</v>
      </c>
      <c r="G451" t="str">
        <f>TRIM(Table1[[#This Row],[Region_Clean]])</f>
        <v>N. AMERICA</v>
      </c>
      <c r="H451" t="s">
        <v>24</v>
      </c>
      <c r="I451" t="s">
        <v>25</v>
      </c>
      <c r="J451" s="3">
        <v>1</v>
      </c>
      <c r="K451" s="3">
        <v>2118.67</v>
      </c>
      <c r="L451">
        <v>2450</v>
      </c>
      <c r="M451">
        <v>2450</v>
      </c>
      <c r="N451">
        <v>331.33</v>
      </c>
      <c r="O451">
        <v>2118.67</v>
      </c>
      <c r="P451" t="s">
        <v>26</v>
      </c>
      <c r="Q451" t="s">
        <v>27</v>
      </c>
      <c r="R451" t="s">
        <v>36</v>
      </c>
      <c r="S451" t="str">
        <f>TRIM(PROPER(_xlfn.XLOOKUP(Table1[[#This Row],[ProductID_Clean]],Table3[ProductID],Table3[Category],"Missing Value",0)))</f>
        <v>Instruments</v>
      </c>
      <c r="T451" t="str">
        <f>_xlfn.XLOOKUP(Table1[[#This Row],[CustomerID_Check]],Table2[CustomerID],Table2[CustomerType],"Missing Value",0)</f>
        <v>Key Account</v>
      </c>
    </row>
    <row r="452" spans="1:20">
      <c r="A452" t="s">
        <v>682</v>
      </c>
      <c r="B452" s="1">
        <v>45808</v>
      </c>
      <c r="C452" t="s">
        <v>76</v>
      </c>
      <c r="D452" t="str">
        <f>UPPER(Table1[[#This Row],[ProductID_Clean]])</f>
        <v>P-SI-006</v>
      </c>
      <c r="E452" t="s">
        <v>43</v>
      </c>
      <c r="F452" t="s">
        <v>23</v>
      </c>
      <c r="G452" t="str">
        <f>TRIM(Table1[[#This Row],[Region_Clean]])</f>
        <v>N. AMERICA</v>
      </c>
      <c r="H452" t="s">
        <v>24</v>
      </c>
      <c r="I452" t="s">
        <v>25</v>
      </c>
      <c r="J452" s="3">
        <v>1</v>
      </c>
      <c r="K452" s="3">
        <v>157.86000000000001</v>
      </c>
      <c r="L452">
        <v>215</v>
      </c>
      <c r="M452">
        <v>215</v>
      </c>
      <c r="N452">
        <v>57.14</v>
      </c>
      <c r="O452">
        <v>157.86000000000001</v>
      </c>
      <c r="P452" t="s">
        <v>26</v>
      </c>
      <c r="Q452" t="s">
        <v>27</v>
      </c>
      <c r="R452" t="s">
        <v>44</v>
      </c>
      <c r="S452" t="str">
        <f>TRIM(PROPER(_xlfn.XLOOKUP(Table1[[#This Row],[ProductID_Clean]],Table3[ProductID],Table3[Category],"Missing Value",0)))</f>
        <v>Sensors</v>
      </c>
      <c r="T452" t="str">
        <f>_xlfn.XLOOKUP(Table1[[#This Row],[CustomerID_Check]],Table2[CustomerID],Table2[CustomerType],"Missing Value",0)</f>
        <v>Missing Value</v>
      </c>
    </row>
    <row r="453" spans="1:20">
      <c r="A453" t="s">
        <v>683</v>
      </c>
      <c r="B453" s="1">
        <v>45759</v>
      </c>
      <c r="C453" t="s">
        <v>463</v>
      </c>
      <c r="D453" t="str">
        <f>UPPER(Table1[[#This Row],[ProductID_Clean]])</f>
        <v>P-SI-001</v>
      </c>
      <c r="E453" t="s">
        <v>72</v>
      </c>
      <c r="F453" t="s">
        <v>47</v>
      </c>
      <c r="G453" t="str">
        <f>TRIM(Table1[[#This Row],[Region_Clean]])</f>
        <v>EMEA</v>
      </c>
      <c r="H453" t="s">
        <v>24</v>
      </c>
      <c r="I453" t="s">
        <v>87</v>
      </c>
      <c r="J453" s="3">
        <v>1</v>
      </c>
      <c r="K453" s="3">
        <v>378.46</v>
      </c>
      <c r="L453">
        <v>485</v>
      </c>
      <c r="M453">
        <v>485</v>
      </c>
      <c r="N453">
        <v>106.54</v>
      </c>
      <c r="O453">
        <v>378.46</v>
      </c>
      <c r="P453" t="s">
        <v>113</v>
      </c>
      <c r="Q453" t="s">
        <v>35</v>
      </c>
      <c r="R453" t="s">
        <v>48</v>
      </c>
      <c r="S453" t="str">
        <f>TRIM(PROPER(_xlfn.XLOOKUP(Table1[[#This Row],[ProductID_Clean]],Table3[ProductID],Table3[Category],"Missing Value",0)))</f>
        <v>Sensors</v>
      </c>
      <c r="T453" t="str">
        <f>_xlfn.XLOOKUP(Table1[[#This Row],[CustomerID_Check]],Table2[CustomerID],Table2[CustomerType],"Missing Value",0)</f>
        <v>Key Account</v>
      </c>
    </row>
    <row r="454" spans="1:20">
      <c r="A454" t="s">
        <v>684</v>
      </c>
      <c r="B454" s="1">
        <v>45677</v>
      </c>
      <c r="C454" t="s">
        <v>266</v>
      </c>
      <c r="D454" t="str">
        <f>UPPER(Table1[[#This Row],[ProductID_Clean]])</f>
        <v>P-SA-002</v>
      </c>
      <c r="E454" t="s">
        <v>147</v>
      </c>
      <c r="F454" t="s">
        <v>23</v>
      </c>
      <c r="G454" t="str">
        <f>TRIM(Table1[[#This Row],[Region_Clean]])</f>
        <v>N. AMERICA</v>
      </c>
      <c r="H454" t="s">
        <v>53</v>
      </c>
      <c r="I454" t="s">
        <v>25</v>
      </c>
      <c r="J454" s="3">
        <v>1</v>
      </c>
      <c r="K454" s="3">
        <v>7833.13</v>
      </c>
      <c r="L454">
        <v>9800</v>
      </c>
      <c r="M454">
        <v>9800</v>
      </c>
      <c r="N454">
        <v>1966.87</v>
      </c>
      <c r="O454">
        <v>7833.13</v>
      </c>
      <c r="P454" t="s">
        <v>26</v>
      </c>
      <c r="Q454" t="s">
        <v>88</v>
      </c>
      <c r="R454" t="s">
        <v>44</v>
      </c>
      <c r="S454" t="str">
        <f>TRIM(PROPER(_xlfn.XLOOKUP(Table1[[#This Row],[ProductID_Clean]],Table3[ProductID],Table3[Category],"Missing Value",0)))</f>
        <v>Software</v>
      </c>
      <c r="T454" t="str">
        <f>_xlfn.XLOOKUP(Table1[[#This Row],[CustomerID_Check]],Table2[CustomerID],Table2[CustomerType],"Missing Value",0)</f>
        <v>Strategic</v>
      </c>
    </row>
    <row r="455" spans="1:20">
      <c r="A455" t="s">
        <v>685</v>
      </c>
      <c r="B455" s="1">
        <v>45820</v>
      </c>
      <c r="C455" t="s">
        <v>46</v>
      </c>
      <c r="D455" t="str">
        <f>UPPER(Table1[[#This Row],[ProductID_Clean]])</f>
        <v>P-SI-004</v>
      </c>
      <c r="E455" t="s">
        <v>22</v>
      </c>
      <c r="F455" t="s">
        <v>47</v>
      </c>
      <c r="G455" t="str">
        <f>TRIM(Table1[[#This Row],[Region_Clean]])</f>
        <v>EMEA</v>
      </c>
      <c r="H455" t="s">
        <v>24</v>
      </c>
      <c r="I455" t="s">
        <v>87</v>
      </c>
      <c r="J455" s="3">
        <v>2</v>
      </c>
      <c r="K455" s="3">
        <v>1703.13</v>
      </c>
      <c r="L455">
        <v>2450</v>
      </c>
      <c r="M455">
        <v>4900</v>
      </c>
      <c r="N455">
        <v>1493.74</v>
      </c>
      <c r="O455">
        <v>3406.26</v>
      </c>
      <c r="P455" t="s">
        <v>26</v>
      </c>
      <c r="Q455" t="s">
        <v>35</v>
      </c>
      <c r="R455" t="s">
        <v>48</v>
      </c>
      <c r="S455" t="str">
        <f>TRIM(PROPER(_xlfn.XLOOKUP(Table1[[#This Row],[ProductID_Clean]],Table3[ProductID],Table3[Category],"Missing Value",0)))</f>
        <v>Instruments</v>
      </c>
      <c r="T455" t="str">
        <f>_xlfn.XLOOKUP(Table1[[#This Row],[CustomerID_Check]],Table2[CustomerID],Table2[CustomerType],"Missing Value",0)</f>
        <v>Strategic</v>
      </c>
    </row>
    <row r="456" spans="1:20">
      <c r="A456" t="s">
        <v>686</v>
      </c>
      <c r="B456" s="1">
        <v>45793</v>
      </c>
      <c r="C456" t="s">
        <v>457</v>
      </c>
      <c r="D456" t="str">
        <f>UPPER(Table1[[#This Row],[ProductID_Clean]])</f>
        <v>P-FS-002</v>
      </c>
      <c r="E456" t="s">
        <v>81</v>
      </c>
      <c r="F456" t="s">
        <v>23</v>
      </c>
      <c r="G456" t="str">
        <f>TRIM(Table1[[#This Row],[Region_Clean]])</f>
        <v>N. AMERICA</v>
      </c>
      <c r="H456" t="s">
        <v>82</v>
      </c>
      <c r="I456" t="s">
        <v>98</v>
      </c>
      <c r="J456" s="3">
        <v>1</v>
      </c>
      <c r="K456" s="3">
        <v>2038.29</v>
      </c>
      <c r="L456">
        <v>2400</v>
      </c>
      <c r="M456">
        <v>2400</v>
      </c>
      <c r="N456">
        <v>361.71</v>
      </c>
      <c r="O456">
        <v>2038.29</v>
      </c>
      <c r="P456" t="s">
        <v>26</v>
      </c>
      <c r="Q456" t="s">
        <v>83</v>
      </c>
      <c r="R456" t="s">
        <v>28</v>
      </c>
      <c r="S456" t="str">
        <f>TRIM(PROPER(_xlfn.XLOOKUP(Table1[[#This Row],[ProductID_Clean]],Table3[ProductID],Table3[Category],"Missing Value",0)))</f>
        <v>Services</v>
      </c>
      <c r="T456" t="str">
        <f>_xlfn.XLOOKUP(Table1[[#This Row],[CustomerID_Check]],Table2[CustomerID],Table2[CustomerType],"Missing Value",0)</f>
        <v>Key Account</v>
      </c>
    </row>
    <row r="457" spans="1:20">
      <c r="A457" t="s">
        <v>687</v>
      </c>
      <c r="B457" s="1">
        <v>45707</v>
      </c>
      <c r="C457" t="s">
        <v>96</v>
      </c>
      <c r="D457" t="str">
        <f>UPPER(Table1[[#This Row],[ProductID_Clean]])</f>
        <v>P-SI-006</v>
      </c>
      <c r="E457" t="s">
        <v>43</v>
      </c>
      <c r="F457" t="s">
        <v>23</v>
      </c>
      <c r="G457" t="str">
        <f>TRIM(Table1[[#This Row],[Region_Clean]])</f>
        <v>N. AMERICA</v>
      </c>
      <c r="H457" t="s">
        <v>24</v>
      </c>
      <c r="I457" t="s">
        <v>25</v>
      </c>
      <c r="J457" s="3">
        <v>5</v>
      </c>
      <c r="K457" s="3">
        <v>190.33</v>
      </c>
      <c r="L457">
        <v>215</v>
      </c>
      <c r="M457">
        <v>1075</v>
      </c>
      <c r="N457">
        <v>123.35</v>
      </c>
      <c r="O457">
        <v>951.65</v>
      </c>
      <c r="P457" t="s">
        <v>26</v>
      </c>
      <c r="Q457" t="s">
        <v>35</v>
      </c>
      <c r="R457" t="s">
        <v>44</v>
      </c>
      <c r="S457" t="str">
        <f>TRIM(PROPER(_xlfn.XLOOKUP(Table1[[#This Row],[ProductID_Clean]],Table3[ProductID],Table3[Category],"Missing Value",0)))</f>
        <v>Sensors</v>
      </c>
      <c r="T457" t="str">
        <f>_xlfn.XLOOKUP(Table1[[#This Row],[CustomerID_Check]],Table2[CustomerID],Table2[CustomerType],"Missing Value",0)</f>
        <v>Standard</v>
      </c>
    </row>
    <row r="458" spans="1:20">
      <c r="A458" t="s">
        <v>688</v>
      </c>
      <c r="B458" s="1">
        <v>45747</v>
      </c>
      <c r="C458" t="s">
        <v>385</v>
      </c>
      <c r="D458" t="str">
        <f>UPPER(Table1[[#This Row],[ProductID_Clean]])</f>
        <v>P-SI-001</v>
      </c>
      <c r="E458" t="s">
        <v>72</v>
      </c>
      <c r="F458" t="s">
        <v>47</v>
      </c>
      <c r="G458" t="str">
        <f>TRIM(Table1[[#This Row],[Region_Clean]])</f>
        <v>EMEA</v>
      </c>
      <c r="H458" t="s">
        <v>24</v>
      </c>
      <c r="I458" t="s">
        <v>25</v>
      </c>
      <c r="J458" s="3">
        <v>3</v>
      </c>
      <c r="K458" s="3">
        <v>424.36</v>
      </c>
      <c r="L458">
        <v>485</v>
      </c>
      <c r="M458">
        <v>1455</v>
      </c>
      <c r="N458">
        <v>181.92</v>
      </c>
      <c r="O458">
        <v>1273.08</v>
      </c>
      <c r="P458" t="s">
        <v>26</v>
      </c>
      <c r="Q458" t="s">
        <v>27</v>
      </c>
      <c r="R458" t="s">
        <v>44</v>
      </c>
      <c r="S458" t="str">
        <f>TRIM(PROPER(_xlfn.XLOOKUP(Table1[[#This Row],[ProductID_Clean]],Table3[ProductID],Table3[Category],"Missing Value",0)))</f>
        <v>Sensors</v>
      </c>
      <c r="T458" t="str">
        <f>_xlfn.XLOOKUP(Table1[[#This Row],[CustomerID_Check]],Table2[CustomerID],Table2[CustomerType],"Missing Value",0)</f>
        <v>Standard</v>
      </c>
    </row>
    <row r="459" spans="1:20">
      <c r="A459" t="s">
        <v>689</v>
      </c>
      <c r="B459" s="1">
        <v>45695</v>
      </c>
      <c r="C459" t="s">
        <v>570</v>
      </c>
      <c r="D459" t="str">
        <f>UPPER(Table1[[#This Row],[ProductID_Clean]])</f>
        <v>P-SI-006</v>
      </c>
      <c r="E459" t="s">
        <v>43</v>
      </c>
      <c r="F459" t="s">
        <v>32</v>
      </c>
      <c r="G459" t="str">
        <f>TRIM(Table1[[#This Row],[Region_Clean]])</f>
        <v>LATIN AMERICA</v>
      </c>
      <c r="H459" t="s">
        <v>24</v>
      </c>
      <c r="I459" t="s">
        <v>87</v>
      </c>
      <c r="J459" s="3">
        <v>3</v>
      </c>
      <c r="K459" s="3">
        <v>180.78</v>
      </c>
      <c r="L459">
        <v>215</v>
      </c>
      <c r="M459">
        <v>645</v>
      </c>
      <c r="N459">
        <v>102.66</v>
      </c>
      <c r="O459">
        <v>542.34</v>
      </c>
      <c r="P459" t="s">
        <v>26</v>
      </c>
      <c r="Q459" t="s">
        <v>35</v>
      </c>
      <c r="R459" t="s">
        <v>48</v>
      </c>
      <c r="S459" t="str">
        <f>TRIM(PROPER(_xlfn.XLOOKUP(Table1[[#This Row],[ProductID_Clean]],Table3[ProductID],Table3[Category],"Missing Value",0)))</f>
        <v>Sensors</v>
      </c>
      <c r="T459" t="str">
        <f>_xlfn.XLOOKUP(Table1[[#This Row],[CustomerID_Check]],Table2[CustomerID],Table2[CustomerType],"Missing Value",0)</f>
        <v>Standard</v>
      </c>
    </row>
    <row r="460" spans="1:20">
      <c r="A460" t="s">
        <v>690</v>
      </c>
      <c r="B460" s="1">
        <v>45684</v>
      </c>
      <c r="C460" t="s">
        <v>496</v>
      </c>
      <c r="D460" t="str">
        <f>UPPER(Table1[[#This Row],[ProductID_Clean]])</f>
        <v>P-SA-003</v>
      </c>
      <c r="E460" t="s">
        <v>51</v>
      </c>
      <c r="F460" t="s">
        <v>47</v>
      </c>
      <c r="G460" t="str">
        <f>TRIM(Table1[[#This Row],[Region_Clean]])</f>
        <v>EMEA</v>
      </c>
      <c r="H460" t="s">
        <v>53</v>
      </c>
      <c r="I460" t="s">
        <v>34</v>
      </c>
      <c r="J460" s="3">
        <v>1</v>
      </c>
      <c r="K460" s="3">
        <v>2273.02</v>
      </c>
      <c r="L460">
        <v>2750</v>
      </c>
      <c r="M460">
        <v>2750</v>
      </c>
      <c r="N460">
        <v>476.98</v>
      </c>
      <c r="O460">
        <v>2273.02</v>
      </c>
      <c r="P460" t="s">
        <v>126</v>
      </c>
      <c r="Q460" t="s">
        <v>54</v>
      </c>
      <c r="R460" t="s">
        <v>36</v>
      </c>
      <c r="S460" t="str">
        <f>TRIM(PROPER(_xlfn.XLOOKUP(Table1[[#This Row],[ProductID_Clean]],Table3[ProductID],Table3[Category],"Missing Value",0)))</f>
        <v>Software</v>
      </c>
      <c r="T460" t="str">
        <f>_xlfn.XLOOKUP(Table1[[#This Row],[CustomerID_Check]],Table2[CustomerID],Table2[CustomerType],"Missing Value",0)</f>
        <v>Key Account</v>
      </c>
    </row>
    <row r="461" spans="1:20">
      <c r="A461" t="s">
        <v>691</v>
      </c>
      <c r="B461" s="1">
        <v>45702</v>
      </c>
      <c r="C461" t="s">
        <v>74</v>
      </c>
      <c r="D461" t="str">
        <f>UPPER(Table1[[#This Row],[ProductID_Clean]])</f>
        <v>P-SI-001</v>
      </c>
      <c r="E461" t="s">
        <v>72</v>
      </c>
      <c r="F461" t="s">
        <v>47</v>
      </c>
      <c r="G461" t="str">
        <f>TRIM(Table1[[#This Row],[Region_Clean]])</f>
        <v>EMEA</v>
      </c>
      <c r="H461" t="s">
        <v>24</v>
      </c>
      <c r="I461" t="s">
        <v>25</v>
      </c>
      <c r="J461" s="3">
        <v>8</v>
      </c>
      <c r="K461" s="3">
        <v>443.17</v>
      </c>
      <c r="L461">
        <v>485</v>
      </c>
      <c r="M461">
        <v>3880</v>
      </c>
      <c r="N461">
        <v>334.64</v>
      </c>
      <c r="O461">
        <v>3545.36</v>
      </c>
      <c r="P461" t="s">
        <v>113</v>
      </c>
      <c r="Q461" t="s">
        <v>35</v>
      </c>
      <c r="R461" t="s">
        <v>44</v>
      </c>
      <c r="S461" t="str">
        <f>TRIM(PROPER(_xlfn.XLOOKUP(Table1[[#This Row],[ProductID_Clean]],Table3[ProductID],Table3[Category],"Missing Value",0)))</f>
        <v>Sensors</v>
      </c>
      <c r="T461" t="str">
        <f>_xlfn.XLOOKUP(Table1[[#This Row],[CustomerID_Check]],Table2[CustomerID],Table2[CustomerType],"Missing Value",0)</f>
        <v>Standard</v>
      </c>
    </row>
    <row r="462" spans="1:20">
      <c r="A462" t="s">
        <v>692</v>
      </c>
      <c r="B462" s="1">
        <v>45697</v>
      </c>
      <c r="C462" t="s">
        <v>416</v>
      </c>
      <c r="D462" t="str">
        <f>UPPER(Table1[[#This Row],[ProductID_Clean]])</f>
        <v>P-SA-005</v>
      </c>
      <c r="E462" t="s">
        <v>62</v>
      </c>
      <c r="F462" t="s">
        <v>23</v>
      </c>
      <c r="G462" t="str">
        <f>TRIM(Table1[[#This Row],[Region_Clean]])</f>
        <v>N. AMERICA</v>
      </c>
      <c r="H462" t="s">
        <v>53</v>
      </c>
      <c r="I462" t="s">
        <v>34</v>
      </c>
      <c r="J462" s="3">
        <v>1</v>
      </c>
      <c r="K462" s="3">
        <v>3014.57</v>
      </c>
      <c r="L462">
        <v>3200</v>
      </c>
      <c r="M462">
        <v>3200</v>
      </c>
      <c r="N462">
        <v>185.43</v>
      </c>
      <c r="O462">
        <v>3014.57</v>
      </c>
      <c r="P462" t="s">
        <v>113</v>
      </c>
      <c r="Q462" t="s">
        <v>54</v>
      </c>
      <c r="R462" t="s">
        <v>48</v>
      </c>
      <c r="S462" t="str">
        <f>TRIM(PROPER(_xlfn.XLOOKUP(Table1[[#This Row],[ProductID_Clean]],Table3[ProductID],Table3[Category],"Missing Value",0)))</f>
        <v>Software / Integration</v>
      </c>
      <c r="T462" t="str">
        <f>_xlfn.XLOOKUP(Table1[[#This Row],[CustomerID_Check]],Table2[CustomerID],Table2[CustomerType],"Missing Value",0)</f>
        <v>Standard</v>
      </c>
    </row>
    <row r="463" spans="1:20">
      <c r="A463" t="s">
        <v>693</v>
      </c>
      <c r="B463" s="1">
        <v>45764</v>
      </c>
      <c r="C463" t="s">
        <v>535</v>
      </c>
      <c r="D463" t="str">
        <f>UPPER(Table1[[#This Row],[ProductID_Clean]])</f>
        <v>P-SI-007</v>
      </c>
      <c r="E463" t="s">
        <v>97</v>
      </c>
      <c r="F463" t="s">
        <v>23</v>
      </c>
      <c r="G463" t="str">
        <f>TRIM(Table1[[#This Row],[Region_Clean]])</f>
        <v>N. AMERICA</v>
      </c>
      <c r="H463" t="s">
        <v>24</v>
      </c>
      <c r="I463" t="s">
        <v>87</v>
      </c>
      <c r="J463" s="3">
        <v>1</v>
      </c>
      <c r="K463" s="3">
        <v>875.24</v>
      </c>
      <c r="L463">
        <v>980</v>
      </c>
      <c r="M463">
        <v>980</v>
      </c>
      <c r="N463">
        <v>104.75999999999999</v>
      </c>
      <c r="O463">
        <v>875.24</v>
      </c>
      <c r="P463" t="s">
        <v>26</v>
      </c>
      <c r="Q463" t="s">
        <v>65</v>
      </c>
      <c r="R463" t="s">
        <v>36</v>
      </c>
      <c r="S463" t="str">
        <f>TRIM(PROPER(_xlfn.XLOOKUP(Table1[[#This Row],[ProductID_Clean]],Table3[ProductID],Table3[Category],"Missing Value",0)))</f>
        <v>Sensors</v>
      </c>
      <c r="T463" t="str">
        <f>_xlfn.XLOOKUP(Table1[[#This Row],[CustomerID_Check]],Table2[CustomerID],Table2[CustomerType],"Missing Value",0)</f>
        <v>Emerging</v>
      </c>
    </row>
    <row r="464" spans="1:20">
      <c r="A464" t="s">
        <v>694</v>
      </c>
      <c r="B464" s="1">
        <v>45776</v>
      </c>
      <c r="C464" t="s">
        <v>141</v>
      </c>
      <c r="D464" t="str">
        <f>UPPER(Table1[[#This Row],[ProductID_Clean]])</f>
        <v>P-SI-001</v>
      </c>
      <c r="E464" t="s">
        <v>72</v>
      </c>
      <c r="F464" t="s">
        <v>23</v>
      </c>
      <c r="G464" t="str">
        <f>TRIM(Table1[[#This Row],[Region_Clean]])</f>
        <v>N. AMERICA</v>
      </c>
      <c r="H464" t="s">
        <v>24</v>
      </c>
      <c r="I464" t="s">
        <v>25</v>
      </c>
      <c r="J464" s="3">
        <v>1</v>
      </c>
      <c r="K464" s="3">
        <v>420.43</v>
      </c>
      <c r="L464">
        <v>485</v>
      </c>
      <c r="M464">
        <v>485</v>
      </c>
      <c r="N464">
        <v>64.569999999999993</v>
      </c>
      <c r="O464">
        <v>420.43</v>
      </c>
      <c r="P464" t="s">
        <v>26</v>
      </c>
      <c r="Q464" t="s">
        <v>35</v>
      </c>
      <c r="R464" t="s">
        <v>36</v>
      </c>
      <c r="S464" t="str">
        <f>TRIM(PROPER(_xlfn.XLOOKUP(Table1[[#This Row],[ProductID_Clean]],Table3[ProductID],Table3[Category],"Missing Value",0)))</f>
        <v>Sensors</v>
      </c>
      <c r="T464" t="str">
        <f>_xlfn.XLOOKUP(Table1[[#This Row],[CustomerID_Check]],Table2[CustomerID],Table2[CustomerType],"Missing Value",0)</f>
        <v>Key Account</v>
      </c>
    </row>
    <row r="465" spans="1:20">
      <c r="A465" t="s">
        <v>695</v>
      </c>
      <c r="B465" s="1">
        <v>45772</v>
      </c>
      <c r="C465" t="s">
        <v>242</v>
      </c>
      <c r="D465" t="str">
        <f>UPPER(Table1[[#This Row],[ProductID_Clean]])</f>
        <v>P-SI-002</v>
      </c>
      <c r="E465" t="s">
        <v>31</v>
      </c>
      <c r="F465" t="s">
        <v>47</v>
      </c>
      <c r="G465" t="str">
        <f>TRIM(Table1[[#This Row],[Region_Clean]])</f>
        <v>EMEA</v>
      </c>
      <c r="H465" t="s">
        <v>24</v>
      </c>
      <c r="I465" t="s">
        <v>25</v>
      </c>
      <c r="J465" s="3">
        <v>3</v>
      </c>
      <c r="K465" s="3">
        <v>639.74</v>
      </c>
      <c r="L465">
        <v>725</v>
      </c>
      <c r="M465">
        <v>2175</v>
      </c>
      <c r="N465">
        <v>255.78</v>
      </c>
      <c r="O465">
        <v>1919.22</v>
      </c>
      <c r="P465" t="s">
        <v>26</v>
      </c>
      <c r="Q465" t="s">
        <v>27</v>
      </c>
      <c r="R465" t="s">
        <v>44</v>
      </c>
      <c r="S465" t="str">
        <f>TRIM(PROPER(_xlfn.XLOOKUP(Table1[[#This Row],[ProductID_Clean]],Table3[ProductID],Table3[Category],"Missing Value",0)))</f>
        <v>Sensors</v>
      </c>
      <c r="T465" t="str">
        <f>_xlfn.XLOOKUP(Table1[[#This Row],[CustomerID_Check]],Table2[CustomerID],Table2[CustomerType],"Missing Value",0)</f>
        <v>Standard</v>
      </c>
    </row>
    <row r="466" spans="1:20">
      <c r="A466" t="s">
        <v>696</v>
      </c>
      <c r="B466" s="1">
        <v>45802</v>
      </c>
      <c r="C466" t="s">
        <v>178</v>
      </c>
      <c r="D466" t="str">
        <f>UPPER(Table1[[#This Row],[ProductID_Clean]])</f>
        <v>P-FS-002</v>
      </c>
      <c r="E466" t="s">
        <v>81</v>
      </c>
      <c r="F466" t="s">
        <v>23</v>
      </c>
      <c r="G466" t="str">
        <f>TRIM(Table1[[#This Row],[Region_Clean]])</f>
        <v>N. AMERICA</v>
      </c>
      <c r="H466" t="s">
        <v>82</v>
      </c>
      <c r="I466" t="s">
        <v>25</v>
      </c>
      <c r="J466" s="3">
        <v>1</v>
      </c>
      <c r="K466" s="3">
        <v>2141.94</v>
      </c>
      <c r="L466">
        <v>2400</v>
      </c>
      <c r="M466">
        <v>2400</v>
      </c>
      <c r="N466">
        <v>258.06</v>
      </c>
      <c r="O466">
        <v>2141.94</v>
      </c>
      <c r="P466" t="s">
        <v>113</v>
      </c>
      <c r="Q466" t="s">
        <v>83</v>
      </c>
      <c r="R466" t="s">
        <v>28</v>
      </c>
      <c r="S466" t="str">
        <f>TRIM(PROPER(_xlfn.XLOOKUP(Table1[[#This Row],[ProductID_Clean]],Table3[ProductID],Table3[Category],"Missing Value",0)))</f>
        <v>Services</v>
      </c>
      <c r="T466" t="str">
        <f>_xlfn.XLOOKUP(Table1[[#This Row],[CustomerID_Check]],Table2[CustomerID],Table2[CustomerType],"Missing Value",0)</f>
        <v>Key Account</v>
      </c>
    </row>
    <row r="467" spans="1:20">
      <c r="A467" t="s">
        <v>697</v>
      </c>
      <c r="B467" s="1">
        <v>45820</v>
      </c>
      <c r="C467" t="s">
        <v>266</v>
      </c>
      <c r="D467" t="str">
        <f>UPPER(Table1[[#This Row],[ProductID_Clean]])</f>
        <v>P-SA-001</v>
      </c>
      <c r="E467" t="s">
        <v>68</v>
      </c>
      <c r="F467" t="s">
        <v>23</v>
      </c>
      <c r="G467" t="str">
        <f>TRIM(Table1[[#This Row],[Region_Clean]])</f>
        <v>N. AMERICA</v>
      </c>
      <c r="H467" t="s">
        <v>53</v>
      </c>
      <c r="I467" t="s">
        <v>25</v>
      </c>
      <c r="J467" s="3">
        <v>3</v>
      </c>
      <c r="K467" s="3">
        <v>3292.09</v>
      </c>
      <c r="L467">
        <v>4200</v>
      </c>
      <c r="M467">
        <v>12600</v>
      </c>
      <c r="N467">
        <v>2723.73</v>
      </c>
      <c r="O467">
        <v>9876.27</v>
      </c>
      <c r="P467" t="s">
        <v>126</v>
      </c>
      <c r="Q467" t="s">
        <v>54</v>
      </c>
      <c r="R467" t="s">
        <v>44</v>
      </c>
      <c r="S467" t="str">
        <f>TRIM(PROPER(_xlfn.XLOOKUP(Table1[[#This Row],[ProductID_Clean]],Table3[ProductID],Table3[Category],"Missing Value",0)))</f>
        <v>Software</v>
      </c>
      <c r="T467" t="str">
        <f>_xlfn.XLOOKUP(Table1[[#This Row],[CustomerID_Check]],Table2[CustomerID],Table2[CustomerType],"Missing Value",0)</f>
        <v>Strategic</v>
      </c>
    </row>
    <row r="468" spans="1:20">
      <c r="A468" t="s">
        <v>698</v>
      </c>
      <c r="B468" s="1">
        <v>45740</v>
      </c>
      <c r="C468" t="s">
        <v>276</v>
      </c>
      <c r="D468" t="str">
        <f>UPPER(Table1[[#This Row],[ProductID_Clean]])</f>
        <v>P-SI-008</v>
      </c>
      <c r="E468" t="s">
        <v>152</v>
      </c>
      <c r="F468" t="s">
        <v>58</v>
      </c>
      <c r="G468" t="str">
        <f>TRIM(Table1[[#This Row],[Region_Clean]])</f>
        <v>APAC</v>
      </c>
      <c r="H468" t="s">
        <v>24</v>
      </c>
      <c r="I468" t="s">
        <v>25</v>
      </c>
      <c r="J468" s="3">
        <v>2</v>
      </c>
      <c r="K468" s="3">
        <v>785.82</v>
      </c>
      <c r="L468">
        <v>950</v>
      </c>
      <c r="M468">
        <v>1900</v>
      </c>
      <c r="N468">
        <v>328.36</v>
      </c>
      <c r="O468">
        <v>1571.64</v>
      </c>
      <c r="P468" t="s">
        <v>26</v>
      </c>
      <c r="Q468" t="s">
        <v>35</v>
      </c>
      <c r="R468" t="s">
        <v>59</v>
      </c>
      <c r="S468" t="str">
        <f>TRIM(PROPER(_xlfn.XLOOKUP(Table1[[#This Row],[ProductID_Clean]],Table3[ProductID],Table3[Category],"Missing Value",0)))</f>
        <v>Instruments</v>
      </c>
      <c r="T468" t="str">
        <f>_xlfn.XLOOKUP(Table1[[#This Row],[CustomerID_Check]],Table2[CustomerID],Table2[CustomerType],"Missing Value",0)</f>
        <v>Key Account</v>
      </c>
    </row>
    <row r="469" spans="1:20">
      <c r="A469" t="s">
        <v>699</v>
      </c>
      <c r="B469" s="1">
        <v>45738</v>
      </c>
      <c r="C469" t="s">
        <v>700</v>
      </c>
      <c r="D469" t="str">
        <f>UPPER(Table1[[#This Row],[ProductID_Clean]])</f>
        <v>P-SI-006</v>
      </c>
      <c r="E469" t="s">
        <v>43</v>
      </c>
      <c r="F469" t="s">
        <v>58</v>
      </c>
      <c r="G469" t="str">
        <f>TRIM(Table1[[#This Row],[Region_Clean]])</f>
        <v>APAC</v>
      </c>
      <c r="H469" t="s">
        <v>24</v>
      </c>
      <c r="I469" t="s">
        <v>25</v>
      </c>
      <c r="J469" s="3">
        <v>3</v>
      </c>
      <c r="K469" s="3">
        <v>187.84</v>
      </c>
      <c r="L469">
        <v>215</v>
      </c>
      <c r="M469">
        <v>645</v>
      </c>
      <c r="N469">
        <v>81.48</v>
      </c>
      <c r="O469">
        <v>563.52</v>
      </c>
      <c r="P469" t="s">
        <v>26</v>
      </c>
      <c r="Q469" t="s">
        <v>65</v>
      </c>
      <c r="R469" t="s">
        <v>44</v>
      </c>
      <c r="S469" t="str">
        <f>TRIM(PROPER(_xlfn.XLOOKUP(Table1[[#This Row],[ProductID_Clean]],Table3[ProductID],Table3[Category],"Missing Value",0)))</f>
        <v>Sensors</v>
      </c>
      <c r="T469" t="str">
        <f>_xlfn.XLOOKUP(Table1[[#This Row],[CustomerID_Check]],Table2[CustomerID],Table2[CustomerType],"Missing Value",0)</f>
        <v>Emerging</v>
      </c>
    </row>
    <row r="470" spans="1:20">
      <c r="A470" t="s">
        <v>701</v>
      </c>
      <c r="B470" s="1">
        <v>45770</v>
      </c>
      <c r="C470" t="s">
        <v>702</v>
      </c>
      <c r="D470" t="str">
        <f>UPPER(Table1[[#This Row],[ProductID_Clean]])</f>
        <v>P-FS-002</v>
      </c>
      <c r="E470" t="s">
        <v>81</v>
      </c>
      <c r="F470" t="s">
        <v>32</v>
      </c>
      <c r="G470" t="str">
        <f>TRIM(Table1[[#This Row],[Region_Clean]])</f>
        <v>LATIN AMERICA</v>
      </c>
      <c r="H470" t="s">
        <v>82</v>
      </c>
      <c r="I470" t="s">
        <v>40</v>
      </c>
      <c r="J470" s="3">
        <v>1</v>
      </c>
      <c r="K470" s="3">
        <v>2153.1</v>
      </c>
      <c r="L470">
        <v>2400</v>
      </c>
      <c r="M470">
        <v>2400</v>
      </c>
      <c r="N470">
        <v>246.9</v>
      </c>
      <c r="O470">
        <v>2153.1</v>
      </c>
      <c r="P470" t="s">
        <v>26</v>
      </c>
      <c r="Q470" t="s">
        <v>94</v>
      </c>
      <c r="R470" t="s">
        <v>36</v>
      </c>
      <c r="S470" t="str">
        <f>TRIM(PROPER(_xlfn.XLOOKUP(Table1[[#This Row],[ProductID_Clean]],Table3[ProductID],Table3[Category],"Missing Value",0)))</f>
        <v>Services</v>
      </c>
      <c r="T470" t="str">
        <f>_xlfn.XLOOKUP(Table1[[#This Row],[CustomerID_Check]],Table2[CustomerID],Table2[CustomerType],"Missing Value",0)</f>
        <v>Emerging</v>
      </c>
    </row>
    <row r="471" spans="1:20">
      <c r="A471" t="s">
        <v>703</v>
      </c>
      <c r="B471" s="1">
        <v>45778</v>
      </c>
      <c r="C471" t="s">
        <v>137</v>
      </c>
      <c r="D471" t="str">
        <f>UPPER(Table1[[#This Row],[ProductID_Clean]])</f>
        <v>P-SI-006</v>
      </c>
      <c r="E471" t="s">
        <v>43</v>
      </c>
      <c r="F471" t="s">
        <v>23</v>
      </c>
      <c r="G471" t="str">
        <f>TRIM(Table1[[#This Row],[Region_Clean]])</f>
        <v>N. AMERICA</v>
      </c>
      <c r="H471" t="s">
        <v>24</v>
      </c>
      <c r="I471" t="s">
        <v>34</v>
      </c>
      <c r="J471" s="3">
        <v>4</v>
      </c>
      <c r="K471" s="3">
        <v>154</v>
      </c>
      <c r="L471">
        <v>215</v>
      </c>
      <c r="M471">
        <v>860</v>
      </c>
      <c r="N471">
        <v>244</v>
      </c>
      <c r="O471">
        <v>616</v>
      </c>
      <c r="P471" t="s">
        <v>26</v>
      </c>
      <c r="Q471" t="s">
        <v>35</v>
      </c>
      <c r="R471" t="s">
        <v>28</v>
      </c>
      <c r="S471" t="str">
        <f>TRIM(PROPER(_xlfn.XLOOKUP(Table1[[#This Row],[ProductID_Clean]],Table3[ProductID],Table3[Category],"Missing Value",0)))</f>
        <v>Sensors</v>
      </c>
      <c r="T471" t="str">
        <f>_xlfn.XLOOKUP(Table1[[#This Row],[CustomerID_Check]],Table2[CustomerID],Table2[CustomerType],"Missing Value",0)</f>
        <v>Strategic</v>
      </c>
    </row>
    <row r="472" spans="1:20">
      <c r="A472" t="s">
        <v>704</v>
      </c>
      <c r="B472" s="1">
        <v>45819</v>
      </c>
      <c r="C472" t="s">
        <v>176</v>
      </c>
      <c r="D472" t="str">
        <f>UPPER(Table1[[#This Row],[ProductID_Clean]])</f>
        <v>P-FS-001</v>
      </c>
      <c r="E472" t="s">
        <v>133</v>
      </c>
      <c r="F472" t="s">
        <v>58</v>
      </c>
      <c r="G472" t="str">
        <f>TRIM(Table1[[#This Row],[Region_Clean]])</f>
        <v>APAC</v>
      </c>
      <c r="H472" t="s">
        <v>82</v>
      </c>
      <c r="I472" t="s">
        <v>25</v>
      </c>
      <c r="J472" s="3">
        <v>1</v>
      </c>
      <c r="K472" s="3">
        <v>1422.4</v>
      </c>
      <c r="L472">
        <v>1850</v>
      </c>
      <c r="M472">
        <v>1850</v>
      </c>
      <c r="N472">
        <v>427.6</v>
      </c>
      <c r="O472">
        <v>1422.4</v>
      </c>
      <c r="P472" t="s">
        <v>26</v>
      </c>
      <c r="Q472" t="s">
        <v>65</v>
      </c>
      <c r="R472" t="s">
        <v>28</v>
      </c>
      <c r="S472" t="str">
        <f>TRIM(PROPER(_xlfn.XLOOKUP(Table1[[#This Row],[ProductID_Clean]],Table3[ProductID],Table3[Category],"Missing Value",0)))</f>
        <v>Services</v>
      </c>
      <c r="T472" t="str">
        <f>_xlfn.XLOOKUP(Table1[[#This Row],[CustomerID_Check]],Table2[CustomerID],Table2[CustomerType],"Missing Value",0)</f>
        <v>Emerging</v>
      </c>
    </row>
    <row r="473" spans="1:20">
      <c r="A473" t="s">
        <v>705</v>
      </c>
      <c r="B473" s="1">
        <v>45728</v>
      </c>
      <c r="C473" t="s">
        <v>235</v>
      </c>
      <c r="D473" t="str">
        <f>UPPER(Table1[[#This Row],[ProductID_Clean]])</f>
        <v>P-SA-004</v>
      </c>
      <c r="E473" t="s">
        <v>86</v>
      </c>
      <c r="F473" t="s">
        <v>47</v>
      </c>
      <c r="G473" t="str">
        <f>TRIM(Table1[[#This Row],[Region_Clean]])</f>
        <v>EMEA</v>
      </c>
      <c r="H473" t="s">
        <v>53</v>
      </c>
      <c r="I473" t="s">
        <v>25</v>
      </c>
      <c r="J473" s="3">
        <v>1</v>
      </c>
      <c r="K473" s="3">
        <v>1499.95</v>
      </c>
      <c r="L473">
        <v>1650</v>
      </c>
      <c r="M473">
        <v>1650</v>
      </c>
      <c r="N473">
        <v>150.05000000000001</v>
      </c>
      <c r="O473">
        <v>1499.95</v>
      </c>
      <c r="P473" t="s">
        <v>26</v>
      </c>
      <c r="Q473" t="s">
        <v>88</v>
      </c>
      <c r="R473" t="s">
        <v>44</v>
      </c>
      <c r="S473" t="str">
        <f>TRIM(PROPER(_xlfn.XLOOKUP(Table1[[#This Row],[ProductID_Clean]],Table3[ProductID],Table3[Category],"Missing Value",0)))</f>
        <v>Software</v>
      </c>
      <c r="T473" t="str">
        <f>_xlfn.XLOOKUP(Table1[[#This Row],[CustomerID_Check]],Table2[CustomerID],Table2[CustomerType],"Missing Value",0)</f>
        <v>Key Account</v>
      </c>
    </row>
    <row r="474" spans="1:20">
      <c r="A474" t="s">
        <v>706</v>
      </c>
      <c r="B474" s="1">
        <v>45672</v>
      </c>
      <c r="C474" t="s">
        <v>554</v>
      </c>
      <c r="D474" t="str">
        <f>UPPER(Table1[[#This Row],[ProductID_Clean]])</f>
        <v>P-SI-008</v>
      </c>
      <c r="E474" t="s">
        <v>152</v>
      </c>
      <c r="F474" t="s">
        <v>47</v>
      </c>
      <c r="G474" t="str">
        <f>TRIM(Table1[[#This Row],[Region_Clean]])</f>
        <v>EMEA</v>
      </c>
      <c r="H474" t="s">
        <v>24</v>
      </c>
      <c r="I474" t="s">
        <v>25</v>
      </c>
      <c r="J474" s="3">
        <v>2</v>
      </c>
      <c r="K474" s="3">
        <v>825.85</v>
      </c>
      <c r="L474">
        <v>950</v>
      </c>
      <c r="M474">
        <v>1900</v>
      </c>
      <c r="N474">
        <v>248.3</v>
      </c>
      <c r="O474">
        <v>1651.7</v>
      </c>
      <c r="P474" t="s">
        <v>26</v>
      </c>
      <c r="Q474" t="s">
        <v>40</v>
      </c>
      <c r="R474" t="s">
        <v>28</v>
      </c>
      <c r="S474" t="str">
        <f>TRIM(PROPER(_xlfn.XLOOKUP(Table1[[#This Row],[ProductID_Clean]],Table3[ProductID],Table3[Category],"Missing Value",0)))</f>
        <v>Instruments</v>
      </c>
      <c r="T474" t="str">
        <f>_xlfn.XLOOKUP(Table1[[#This Row],[CustomerID_Check]],Table2[CustomerID],Table2[CustomerType],"Missing Value",0)</f>
        <v>Standard</v>
      </c>
    </row>
    <row r="475" spans="1:20">
      <c r="A475" t="s">
        <v>707</v>
      </c>
      <c r="B475" s="1">
        <v>45787</v>
      </c>
      <c r="C475" t="s">
        <v>442</v>
      </c>
      <c r="D475" t="str">
        <f>UPPER(Table1[[#This Row],[ProductID_Clean]])</f>
        <v>P-SA-001</v>
      </c>
      <c r="E475" t="s">
        <v>68</v>
      </c>
      <c r="F475" t="s">
        <v>23</v>
      </c>
      <c r="G475" t="str">
        <f>TRIM(Table1[[#This Row],[Region_Clean]])</f>
        <v>N. AMERICA</v>
      </c>
      <c r="H475" t="s">
        <v>53</v>
      </c>
      <c r="I475" t="s">
        <v>34</v>
      </c>
      <c r="J475" s="3">
        <v>1</v>
      </c>
      <c r="K475" s="3">
        <v>3902.27</v>
      </c>
      <c r="L475">
        <v>4200</v>
      </c>
      <c r="M475">
        <v>4200</v>
      </c>
      <c r="N475">
        <v>297.73</v>
      </c>
      <c r="O475">
        <v>3902.27</v>
      </c>
      <c r="P475" t="s">
        <v>26</v>
      </c>
      <c r="Q475" t="s">
        <v>54</v>
      </c>
      <c r="R475" t="s">
        <v>36</v>
      </c>
      <c r="S475" t="str">
        <f>TRIM(PROPER(_xlfn.XLOOKUP(Table1[[#This Row],[ProductID_Clean]],Table3[ProductID],Table3[Category],"Missing Value",0)))</f>
        <v>Software</v>
      </c>
      <c r="T475" t="str">
        <f>_xlfn.XLOOKUP(Table1[[#This Row],[CustomerID_Check]],Table2[CustomerID],Table2[CustomerType],"Missing Value",0)</f>
        <v>Standard</v>
      </c>
    </row>
    <row r="476" spans="1:20">
      <c r="A476" t="s">
        <v>708</v>
      </c>
      <c r="B476" s="1">
        <v>45737</v>
      </c>
      <c r="C476" t="s">
        <v>170</v>
      </c>
      <c r="D476" t="str">
        <f>UPPER(Table1[[#This Row],[ProductID_Clean]])</f>
        <v>P-SI-008</v>
      </c>
      <c r="E476" t="s">
        <v>152</v>
      </c>
      <c r="F476" t="s">
        <v>47</v>
      </c>
      <c r="G476" t="str">
        <f>TRIM(Table1[[#This Row],[Region_Clean]])</f>
        <v>EMEA</v>
      </c>
      <c r="H476" t="s">
        <v>24</v>
      </c>
      <c r="I476" t="s">
        <v>25</v>
      </c>
      <c r="J476" s="3">
        <v>4</v>
      </c>
      <c r="K476" s="3">
        <v>920.17</v>
      </c>
      <c r="L476">
        <v>950</v>
      </c>
      <c r="M476">
        <v>3800</v>
      </c>
      <c r="N476">
        <v>119.32</v>
      </c>
      <c r="O476">
        <v>3680.68</v>
      </c>
      <c r="P476" t="s">
        <v>113</v>
      </c>
      <c r="Q476" t="s">
        <v>35</v>
      </c>
      <c r="R476" t="s">
        <v>59</v>
      </c>
      <c r="S476" t="str">
        <f>TRIM(PROPER(_xlfn.XLOOKUP(Table1[[#This Row],[ProductID_Clean]],Table3[ProductID],Table3[Category],"Missing Value",0)))</f>
        <v>Instruments</v>
      </c>
      <c r="T476" t="str">
        <f>_xlfn.XLOOKUP(Table1[[#This Row],[CustomerID_Check]],Table2[CustomerID],Table2[CustomerType],"Missing Value",0)</f>
        <v>Standard</v>
      </c>
    </row>
    <row r="477" spans="1:20">
      <c r="A477" t="s">
        <v>709</v>
      </c>
      <c r="B477" s="1">
        <v>45731</v>
      </c>
      <c r="C477" t="s">
        <v>710</v>
      </c>
      <c r="D477" t="str">
        <f>UPPER(Table1[[#This Row],[ProductID_Clean]])</f>
        <v>P-SA-002</v>
      </c>
      <c r="E477" t="s">
        <v>147</v>
      </c>
      <c r="F477" t="s">
        <v>23</v>
      </c>
      <c r="G477" t="str">
        <f>TRIM(Table1[[#This Row],[Region_Clean]])</f>
        <v>N. AMERICA</v>
      </c>
      <c r="H477" t="s">
        <v>53</v>
      </c>
      <c r="I477" t="s">
        <v>25</v>
      </c>
      <c r="J477" s="3">
        <v>1</v>
      </c>
      <c r="K477" s="3">
        <v>9056.34</v>
      </c>
      <c r="L477">
        <v>9800</v>
      </c>
      <c r="M477">
        <v>9800</v>
      </c>
      <c r="N477">
        <v>743.66</v>
      </c>
      <c r="O477">
        <v>9056.34</v>
      </c>
      <c r="P477" t="s">
        <v>26</v>
      </c>
      <c r="Q477" t="s">
        <v>54</v>
      </c>
      <c r="R477" t="s">
        <v>59</v>
      </c>
      <c r="S477" t="str">
        <f>TRIM(PROPER(_xlfn.XLOOKUP(Table1[[#This Row],[ProductID_Clean]],Table3[ProductID],Table3[Category],"Missing Value",0)))</f>
        <v>Software</v>
      </c>
      <c r="T477" t="str">
        <f>_xlfn.XLOOKUP(Table1[[#This Row],[CustomerID_Check]],Table2[CustomerID],Table2[CustomerType],"Missing Value",0)</f>
        <v>Standard</v>
      </c>
    </row>
    <row r="478" spans="1:20">
      <c r="A478" t="s">
        <v>711</v>
      </c>
      <c r="B478" s="1">
        <v>45823</v>
      </c>
      <c r="C478" t="s">
        <v>168</v>
      </c>
      <c r="D478" t="str">
        <f>UPPER(Table1[[#This Row],[ProductID_Clean]])</f>
        <v>P-SI-007</v>
      </c>
      <c r="E478" t="s">
        <v>97</v>
      </c>
      <c r="F478" t="s">
        <v>47</v>
      </c>
      <c r="G478" t="str">
        <f>TRIM(Table1[[#This Row],[Region_Clean]])</f>
        <v>EMEA</v>
      </c>
      <c r="H478" t="s">
        <v>24</v>
      </c>
      <c r="I478" t="s">
        <v>25</v>
      </c>
      <c r="J478" s="3">
        <v>2</v>
      </c>
      <c r="K478" s="3">
        <v>983.26</v>
      </c>
      <c r="L478">
        <v>980</v>
      </c>
      <c r="M478">
        <v>1960</v>
      </c>
      <c r="N478">
        <v>-6.52</v>
      </c>
      <c r="O478">
        <v>1966.52</v>
      </c>
      <c r="P478" t="s">
        <v>26</v>
      </c>
      <c r="Q478" t="s">
        <v>35</v>
      </c>
      <c r="R478" t="s">
        <v>36</v>
      </c>
      <c r="S478" t="str">
        <f>TRIM(PROPER(_xlfn.XLOOKUP(Table1[[#This Row],[ProductID_Clean]],Table3[ProductID],Table3[Category],"Missing Value",0)))</f>
        <v>Sensors</v>
      </c>
      <c r="T478" t="str">
        <f>_xlfn.XLOOKUP(Table1[[#This Row],[CustomerID_Check]],Table2[CustomerID],Table2[CustomerType],"Missing Value",0)</f>
        <v>Standard</v>
      </c>
    </row>
    <row r="479" spans="1:20">
      <c r="A479" t="s">
        <v>712</v>
      </c>
      <c r="B479" s="1">
        <v>45815</v>
      </c>
      <c r="C479" t="s">
        <v>460</v>
      </c>
      <c r="D479" t="str">
        <f>UPPER(Table1[[#This Row],[ProductID_Clean]])</f>
        <v>P-FS-006</v>
      </c>
      <c r="E479" t="s">
        <v>92</v>
      </c>
      <c r="F479" t="s">
        <v>23</v>
      </c>
      <c r="G479" t="str">
        <f>TRIM(Table1[[#This Row],[Region_Clean]])</f>
        <v>N. AMERICA</v>
      </c>
      <c r="H479" t="s">
        <v>82</v>
      </c>
      <c r="I479" t="s">
        <v>87</v>
      </c>
      <c r="J479" s="3">
        <v>1</v>
      </c>
      <c r="K479" s="3">
        <v>1216.47</v>
      </c>
      <c r="L479">
        <v>1450</v>
      </c>
      <c r="M479">
        <v>1450</v>
      </c>
      <c r="N479">
        <v>233.53</v>
      </c>
      <c r="O479">
        <v>1216.47</v>
      </c>
      <c r="P479" t="s">
        <v>26</v>
      </c>
      <c r="Q479" t="s">
        <v>27</v>
      </c>
      <c r="R479" t="s">
        <v>36</v>
      </c>
      <c r="S479" t="str">
        <f>TRIM(PROPER(_xlfn.XLOOKUP(Table1[[#This Row],[ProductID_Clean]],Table3[ProductID],Table3[Category],"Missing Value",0)))</f>
        <v>Services</v>
      </c>
      <c r="T479" t="str">
        <f>_xlfn.XLOOKUP(Table1[[#This Row],[CustomerID_Check]],Table2[CustomerID],Table2[CustomerType],"Missing Value",0)</f>
        <v>Standard</v>
      </c>
    </row>
    <row r="480" spans="1:20">
      <c r="A480" t="s">
        <v>713</v>
      </c>
      <c r="B480" s="1">
        <v>45787</v>
      </c>
      <c r="C480" t="s">
        <v>56</v>
      </c>
      <c r="D480" t="str">
        <f>UPPER(Table1[[#This Row],[ProductID_Clean]])</f>
        <v>P-SA-003</v>
      </c>
      <c r="E480" t="s">
        <v>51</v>
      </c>
      <c r="F480" t="s">
        <v>58</v>
      </c>
      <c r="G480" t="str">
        <f>TRIM(Table1[[#This Row],[Region_Clean]])</f>
        <v>APAC</v>
      </c>
      <c r="H480" t="s">
        <v>53</v>
      </c>
      <c r="I480" t="s">
        <v>25</v>
      </c>
      <c r="J480" s="3">
        <v>1</v>
      </c>
      <c r="K480" s="3">
        <v>2183.35</v>
      </c>
      <c r="L480">
        <v>2750</v>
      </c>
      <c r="M480">
        <v>2750</v>
      </c>
      <c r="N480">
        <v>566.65</v>
      </c>
      <c r="O480">
        <v>2183.35</v>
      </c>
      <c r="P480" t="s">
        <v>26</v>
      </c>
      <c r="Q480" t="s">
        <v>54</v>
      </c>
      <c r="R480" t="s">
        <v>59</v>
      </c>
      <c r="S480" t="str">
        <f>TRIM(PROPER(_xlfn.XLOOKUP(Table1[[#This Row],[ProductID_Clean]],Table3[ProductID],Table3[Category],"Missing Value",0)))</f>
        <v>Software</v>
      </c>
      <c r="T480" t="str">
        <f>_xlfn.XLOOKUP(Table1[[#This Row],[CustomerID_Check]],Table2[CustomerID],Table2[CustomerType],"Missing Value",0)</f>
        <v>Key Account</v>
      </c>
    </row>
    <row r="481" spans="1:20">
      <c r="A481" t="s">
        <v>714</v>
      </c>
      <c r="B481" s="1">
        <v>45776</v>
      </c>
      <c r="C481" t="s">
        <v>576</v>
      </c>
      <c r="D481" t="str">
        <f>UPPER(Table1[[#This Row],[ProductID_Clean]])</f>
        <v>P-SI-001</v>
      </c>
      <c r="E481" t="s">
        <v>72</v>
      </c>
      <c r="F481" t="s">
        <v>58</v>
      </c>
      <c r="G481" t="str">
        <f>TRIM(Table1[[#This Row],[Region_Clean]])</f>
        <v>APAC</v>
      </c>
      <c r="H481" t="s">
        <v>24</v>
      </c>
      <c r="I481" t="s">
        <v>87</v>
      </c>
      <c r="J481" s="3">
        <v>1</v>
      </c>
      <c r="K481" s="3">
        <v>411.91</v>
      </c>
      <c r="L481">
        <v>485</v>
      </c>
      <c r="M481">
        <v>485</v>
      </c>
      <c r="N481">
        <v>73.09</v>
      </c>
      <c r="O481">
        <v>411.91</v>
      </c>
      <c r="P481" t="s">
        <v>26</v>
      </c>
      <c r="Q481" t="s">
        <v>35</v>
      </c>
      <c r="R481" t="s">
        <v>36</v>
      </c>
      <c r="S481" t="str">
        <f>TRIM(PROPER(_xlfn.XLOOKUP(Table1[[#This Row],[ProductID_Clean]],Table3[ProductID],Table3[Category],"Missing Value",0)))</f>
        <v>Sensors</v>
      </c>
      <c r="T481" t="str">
        <f>_xlfn.XLOOKUP(Table1[[#This Row],[CustomerID_Check]],Table2[CustomerID],Table2[CustomerType],"Missing Value",0)</f>
        <v>Standard</v>
      </c>
    </row>
    <row r="482" spans="1:20">
      <c r="A482" t="s">
        <v>715</v>
      </c>
      <c r="B482" s="1">
        <v>45668</v>
      </c>
      <c r="C482" t="s">
        <v>194</v>
      </c>
      <c r="D482" t="str">
        <f>UPPER(Table1[[#This Row],[ProductID_Clean]])</f>
        <v>P-SA-002</v>
      </c>
      <c r="E482" t="s">
        <v>147</v>
      </c>
      <c r="F482" t="s">
        <v>23</v>
      </c>
      <c r="G482" t="str">
        <f>TRIM(Table1[[#This Row],[Region_Clean]])</f>
        <v>N. AMERICA</v>
      </c>
      <c r="H482" t="s">
        <v>53</v>
      </c>
      <c r="I482" t="s">
        <v>25</v>
      </c>
      <c r="J482" s="3">
        <v>1</v>
      </c>
      <c r="K482" s="3">
        <v>8675.16</v>
      </c>
      <c r="L482">
        <v>9800</v>
      </c>
      <c r="M482">
        <v>9800</v>
      </c>
      <c r="N482">
        <v>1124.8399999999999</v>
      </c>
      <c r="O482">
        <v>8675.16</v>
      </c>
      <c r="P482" t="s">
        <v>26</v>
      </c>
      <c r="Q482" t="s">
        <v>88</v>
      </c>
      <c r="R482" t="s">
        <v>36</v>
      </c>
      <c r="S482" t="str">
        <f>TRIM(PROPER(_xlfn.XLOOKUP(Table1[[#This Row],[ProductID_Clean]],Table3[ProductID],Table3[Category],"Missing Value",0)))</f>
        <v>Software</v>
      </c>
      <c r="T482" t="str">
        <f>_xlfn.XLOOKUP(Table1[[#This Row],[CustomerID_Check]],Table2[CustomerID],Table2[CustomerType],"Missing Value",0)</f>
        <v>Strategic</v>
      </c>
    </row>
    <row r="483" spans="1:20">
      <c r="A483" t="s">
        <v>716</v>
      </c>
      <c r="B483" s="1">
        <v>45804</v>
      </c>
      <c r="C483" t="s">
        <v>61</v>
      </c>
      <c r="D483" t="str">
        <f>UPPER(Table1[[#This Row],[ProductID_Clean]])</f>
        <v>P-SI-001</v>
      </c>
      <c r="E483" t="s">
        <v>72</v>
      </c>
      <c r="F483" t="s">
        <v>47</v>
      </c>
      <c r="G483" t="str">
        <f>TRIM(Table1[[#This Row],[Region_Clean]])</f>
        <v>EMEA</v>
      </c>
      <c r="H483" t="s">
        <v>24</v>
      </c>
      <c r="I483" t="s">
        <v>25</v>
      </c>
      <c r="J483" s="3">
        <v>2</v>
      </c>
      <c r="K483" s="3">
        <v>432.84</v>
      </c>
      <c r="L483">
        <v>485</v>
      </c>
      <c r="M483">
        <v>970</v>
      </c>
      <c r="N483">
        <v>104.32</v>
      </c>
      <c r="O483">
        <v>865.68</v>
      </c>
      <c r="P483" t="s">
        <v>26</v>
      </c>
      <c r="Q483" t="s">
        <v>65</v>
      </c>
      <c r="R483" t="s">
        <v>48</v>
      </c>
      <c r="S483" t="str">
        <f>TRIM(PROPER(_xlfn.XLOOKUP(Table1[[#This Row],[ProductID_Clean]],Table3[ProductID],Table3[Category],"Missing Value",0)))</f>
        <v>Sensors</v>
      </c>
      <c r="T483" t="str">
        <f>_xlfn.XLOOKUP(Table1[[#This Row],[CustomerID_Check]],Table2[CustomerID],Table2[CustomerType],"Missing Value",0)</f>
        <v>Strategic</v>
      </c>
    </row>
    <row r="484" spans="1:20">
      <c r="A484" t="s">
        <v>717</v>
      </c>
      <c r="B484" s="1">
        <v>45812</v>
      </c>
      <c r="C484" t="s">
        <v>89</v>
      </c>
      <c r="D484" t="str">
        <f>UPPER(Table1[[#This Row],[ProductID_Clean]])</f>
        <v>P-SA-002</v>
      </c>
      <c r="E484" t="s">
        <v>147</v>
      </c>
      <c r="F484" t="s">
        <v>58</v>
      </c>
      <c r="G484" t="str">
        <f>TRIM(Table1[[#This Row],[Region_Clean]])</f>
        <v>APAC</v>
      </c>
      <c r="H484" t="s">
        <v>53</v>
      </c>
      <c r="I484" t="s">
        <v>87</v>
      </c>
      <c r="J484" s="3">
        <v>1</v>
      </c>
      <c r="K484" s="3">
        <v>7944.5</v>
      </c>
      <c r="L484">
        <v>9800</v>
      </c>
      <c r="M484">
        <v>9800</v>
      </c>
      <c r="N484">
        <v>1855.5</v>
      </c>
      <c r="O484">
        <v>7944.5</v>
      </c>
      <c r="P484" t="s">
        <v>26</v>
      </c>
      <c r="Q484" t="s">
        <v>189</v>
      </c>
      <c r="R484" t="s">
        <v>44</v>
      </c>
      <c r="S484" t="str">
        <f>TRIM(PROPER(_xlfn.XLOOKUP(Table1[[#This Row],[ProductID_Clean]],Table3[ProductID],Table3[Category],"Missing Value",0)))</f>
        <v>Software</v>
      </c>
      <c r="T484" t="str">
        <f>_xlfn.XLOOKUP(Table1[[#This Row],[CustomerID_Check]],Table2[CustomerID],Table2[CustomerType],"Missing Value",0)</f>
        <v>Strategic</v>
      </c>
    </row>
    <row r="485" spans="1:20">
      <c r="A485" t="s">
        <v>718</v>
      </c>
      <c r="B485" s="1">
        <v>45786</v>
      </c>
      <c r="C485" t="s">
        <v>299</v>
      </c>
      <c r="D485" t="str">
        <f>UPPER(Table1[[#This Row],[ProductID_Clean]])</f>
        <v>P-SA-005</v>
      </c>
      <c r="E485" t="s">
        <v>62</v>
      </c>
      <c r="F485" t="s">
        <v>47</v>
      </c>
      <c r="G485" t="str">
        <f>TRIM(Table1[[#This Row],[Region_Clean]])</f>
        <v>EMEA</v>
      </c>
      <c r="H485" t="s">
        <v>53</v>
      </c>
      <c r="I485" t="s">
        <v>87</v>
      </c>
      <c r="J485" s="3">
        <v>1</v>
      </c>
      <c r="K485" s="3">
        <v>2824.54</v>
      </c>
      <c r="L485">
        <v>3200</v>
      </c>
      <c r="M485">
        <v>3200</v>
      </c>
      <c r="N485">
        <v>375.46</v>
      </c>
      <c r="O485">
        <v>2824.54</v>
      </c>
      <c r="P485" t="s">
        <v>26</v>
      </c>
      <c r="Q485" t="s">
        <v>54</v>
      </c>
      <c r="R485" t="s">
        <v>36</v>
      </c>
      <c r="S485" t="str">
        <f>TRIM(PROPER(_xlfn.XLOOKUP(Table1[[#This Row],[ProductID_Clean]],Table3[ProductID],Table3[Category],"Missing Value",0)))</f>
        <v>Software / Integration</v>
      </c>
      <c r="T485" t="str">
        <f>_xlfn.XLOOKUP(Table1[[#This Row],[CustomerID_Check]],Table2[CustomerID],Table2[CustomerType],"Missing Value",0)</f>
        <v>Standard</v>
      </c>
    </row>
    <row r="486" spans="1:20">
      <c r="A486" t="s">
        <v>719</v>
      </c>
      <c r="B486" s="1">
        <v>45673</v>
      </c>
      <c r="C486" t="s">
        <v>720</v>
      </c>
      <c r="D486" t="str">
        <f>UPPER(Table1[[#This Row],[ProductID_Clean]])</f>
        <v>P-FS-003</v>
      </c>
      <c r="E486" t="s">
        <v>216</v>
      </c>
      <c r="F486" t="s">
        <v>58</v>
      </c>
      <c r="G486" t="str">
        <f>TRIM(Table1[[#This Row],[Region_Clean]])</f>
        <v>APAC</v>
      </c>
      <c r="H486" t="s">
        <v>82</v>
      </c>
      <c r="I486" t="s">
        <v>184</v>
      </c>
      <c r="J486" s="3">
        <v>1</v>
      </c>
      <c r="K486" s="3">
        <v>3124.31</v>
      </c>
      <c r="L486">
        <v>4100</v>
      </c>
      <c r="M486">
        <v>4100</v>
      </c>
      <c r="N486">
        <v>975.69</v>
      </c>
      <c r="O486">
        <v>3124.31</v>
      </c>
      <c r="P486" t="s">
        <v>113</v>
      </c>
      <c r="Q486" t="s">
        <v>94</v>
      </c>
      <c r="R486" t="s">
        <v>44</v>
      </c>
      <c r="S486" t="str">
        <f>TRIM(PROPER(_xlfn.XLOOKUP(Table1[[#This Row],[ProductID_Clean]],Table3[ProductID],Table3[Category],"Missing Value",0)))</f>
        <v>Services</v>
      </c>
      <c r="T486" t="str">
        <f>_xlfn.XLOOKUP(Table1[[#This Row],[CustomerID_Check]],Table2[CustomerID],Table2[CustomerType],"Missing Value",0)</f>
        <v>Standard</v>
      </c>
    </row>
    <row r="487" spans="1:20">
      <c r="A487" t="s">
        <v>721</v>
      </c>
      <c r="B487" s="1">
        <v>45684</v>
      </c>
      <c r="C487" t="s">
        <v>463</v>
      </c>
      <c r="D487" t="str">
        <f>UPPER(Table1[[#This Row],[ProductID_Clean]])</f>
        <v>P-SA-001</v>
      </c>
      <c r="E487" t="s">
        <v>68</v>
      </c>
      <c r="F487" t="s">
        <v>47</v>
      </c>
      <c r="G487" t="str">
        <f>TRIM(Table1[[#This Row],[Region_Clean]])</f>
        <v>EMEA</v>
      </c>
      <c r="H487" t="s">
        <v>53</v>
      </c>
      <c r="I487" t="s">
        <v>25</v>
      </c>
      <c r="J487" s="3">
        <v>1</v>
      </c>
      <c r="K487" s="3">
        <v>3967.24</v>
      </c>
      <c r="L487">
        <v>4200</v>
      </c>
      <c r="M487">
        <v>4200</v>
      </c>
      <c r="N487">
        <v>232.76</v>
      </c>
      <c r="O487">
        <v>3967.24</v>
      </c>
      <c r="P487" t="s">
        <v>26</v>
      </c>
      <c r="Q487" t="s">
        <v>54</v>
      </c>
      <c r="R487" t="s">
        <v>48</v>
      </c>
      <c r="S487" t="str">
        <f>TRIM(PROPER(_xlfn.XLOOKUP(Table1[[#This Row],[ProductID_Clean]],Table3[ProductID],Table3[Category],"Missing Value",0)))</f>
        <v>Software</v>
      </c>
      <c r="T487" t="str">
        <f>_xlfn.XLOOKUP(Table1[[#This Row],[CustomerID_Check]],Table2[CustomerID],Table2[CustomerType],"Missing Value",0)</f>
        <v>Key Account</v>
      </c>
    </row>
    <row r="488" spans="1:20">
      <c r="A488" t="s">
        <v>722</v>
      </c>
      <c r="B488" s="1">
        <v>45679</v>
      </c>
      <c r="C488" t="s">
        <v>431</v>
      </c>
      <c r="D488" t="str">
        <f>UPPER(Table1[[#This Row],[ProductID_Clean]])</f>
        <v>P-SI-005</v>
      </c>
      <c r="E488" t="s">
        <v>57</v>
      </c>
      <c r="F488" t="s">
        <v>23</v>
      </c>
      <c r="G488" t="str">
        <f>TRIM(Table1[[#This Row],[Region_Clean]])</f>
        <v>N. AMERICA</v>
      </c>
      <c r="H488" t="s">
        <v>24</v>
      </c>
      <c r="I488" t="s">
        <v>25</v>
      </c>
      <c r="J488" s="3">
        <v>2</v>
      </c>
      <c r="K488" s="3">
        <v>1040.74</v>
      </c>
      <c r="L488">
        <v>1120</v>
      </c>
      <c r="M488">
        <v>2240</v>
      </c>
      <c r="N488">
        <v>158.52000000000001</v>
      </c>
      <c r="O488">
        <v>2081.48</v>
      </c>
      <c r="P488" t="s">
        <v>26</v>
      </c>
      <c r="Q488" t="s">
        <v>65</v>
      </c>
      <c r="R488" t="s">
        <v>44</v>
      </c>
      <c r="S488" t="str">
        <f>TRIM(PROPER(_xlfn.XLOOKUP(Table1[[#This Row],[ProductID_Clean]],Table3[ProductID],Table3[Category],"Missing Value",0)))</f>
        <v>Sensors</v>
      </c>
      <c r="T488" t="str">
        <f>_xlfn.XLOOKUP(Table1[[#This Row],[CustomerID_Check]],Table2[CustomerID],Table2[CustomerType],"Missing Value",0)</f>
        <v>Standard</v>
      </c>
    </row>
    <row r="489" spans="1:20">
      <c r="A489" t="s">
        <v>723</v>
      </c>
      <c r="B489" s="1">
        <v>45823</v>
      </c>
      <c r="C489" t="s">
        <v>165</v>
      </c>
      <c r="D489" t="str">
        <f>UPPER(Table1[[#This Row],[ProductID_Clean]])</f>
        <v>P-SA-004</v>
      </c>
      <c r="E489" t="s">
        <v>86</v>
      </c>
      <c r="F489" t="s">
        <v>47</v>
      </c>
      <c r="G489" t="str">
        <f>TRIM(Table1[[#This Row],[Region_Clean]])</f>
        <v>EMEA</v>
      </c>
      <c r="H489" t="s">
        <v>53</v>
      </c>
      <c r="I489" t="s">
        <v>25</v>
      </c>
      <c r="J489" s="3">
        <v>2</v>
      </c>
      <c r="K489" s="3">
        <v>1449.11</v>
      </c>
      <c r="L489">
        <v>1650</v>
      </c>
      <c r="M489">
        <v>3300</v>
      </c>
      <c r="N489">
        <v>401.78</v>
      </c>
      <c r="O489">
        <v>2898.22</v>
      </c>
      <c r="P489" t="s">
        <v>26</v>
      </c>
      <c r="Q489" t="s">
        <v>40</v>
      </c>
      <c r="R489" t="s">
        <v>28</v>
      </c>
      <c r="S489" t="str">
        <f>TRIM(PROPER(_xlfn.XLOOKUP(Table1[[#This Row],[ProductID_Clean]],Table3[ProductID],Table3[Category],"Missing Value",0)))</f>
        <v>Software</v>
      </c>
      <c r="T489" t="str">
        <f>_xlfn.XLOOKUP(Table1[[#This Row],[CustomerID_Check]],Table2[CustomerID],Table2[CustomerType],"Missing Value",0)</f>
        <v>Key Account</v>
      </c>
    </row>
    <row r="490" spans="1:20">
      <c r="A490" t="s">
        <v>724</v>
      </c>
      <c r="B490" s="1">
        <v>45668</v>
      </c>
      <c r="C490" t="s">
        <v>225</v>
      </c>
      <c r="D490" t="str">
        <f>UPPER(Table1[[#This Row],[ProductID_Clean]])</f>
        <v>P-SI-006</v>
      </c>
      <c r="E490" t="s">
        <v>43</v>
      </c>
      <c r="F490" t="s">
        <v>23</v>
      </c>
      <c r="G490" t="str">
        <f>TRIM(Table1[[#This Row],[Region_Clean]])</f>
        <v>N. AMERICA</v>
      </c>
      <c r="H490" t="s">
        <v>24</v>
      </c>
      <c r="I490" t="s">
        <v>87</v>
      </c>
      <c r="J490" s="3">
        <v>3</v>
      </c>
      <c r="K490" s="3">
        <v>177.06</v>
      </c>
      <c r="L490">
        <v>215</v>
      </c>
      <c r="M490">
        <v>645</v>
      </c>
      <c r="N490">
        <v>113.82</v>
      </c>
      <c r="O490">
        <v>531.17999999999995</v>
      </c>
      <c r="P490" t="s">
        <v>26</v>
      </c>
      <c r="Q490" t="s">
        <v>35</v>
      </c>
      <c r="R490" t="s">
        <v>36</v>
      </c>
      <c r="S490" t="str">
        <f>TRIM(PROPER(_xlfn.XLOOKUP(Table1[[#This Row],[ProductID_Clean]],Table3[ProductID],Table3[Category],"Missing Value",0)))</f>
        <v>Sensors</v>
      </c>
      <c r="T490" t="str">
        <f>_xlfn.XLOOKUP(Table1[[#This Row],[CustomerID_Check]],Table2[CustomerID],Table2[CustomerType],"Missing Value",0)</f>
        <v>Key Account</v>
      </c>
    </row>
    <row r="491" spans="1:20">
      <c r="A491" t="s">
        <v>725</v>
      </c>
      <c r="B491" s="1">
        <v>45770</v>
      </c>
      <c r="C491" t="s">
        <v>726</v>
      </c>
      <c r="D491" t="str">
        <f>UPPER(Table1[[#This Row],[ProductID_Clean]])</f>
        <v>P-SA-004</v>
      </c>
      <c r="E491" t="s">
        <v>86</v>
      </c>
      <c r="F491" t="s">
        <v>23</v>
      </c>
      <c r="G491" t="str">
        <f>TRIM(Table1[[#This Row],[Region_Clean]])</f>
        <v>N. AMERICA</v>
      </c>
      <c r="H491" t="s">
        <v>53</v>
      </c>
      <c r="I491" t="s">
        <v>25</v>
      </c>
      <c r="J491" s="3">
        <v>1</v>
      </c>
      <c r="K491" s="3">
        <v>1573.67</v>
      </c>
      <c r="L491">
        <v>1650</v>
      </c>
      <c r="M491">
        <v>1650</v>
      </c>
      <c r="N491">
        <v>76.33</v>
      </c>
      <c r="O491">
        <v>1573.67</v>
      </c>
      <c r="P491" t="s">
        <v>26</v>
      </c>
      <c r="Q491" t="s">
        <v>54</v>
      </c>
      <c r="R491" t="s">
        <v>59</v>
      </c>
      <c r="S491" t="str">
        <f>TRIM(PROPER(_xlfn.XLOOKUP(Table1[[#This Row],[ProductID_Clean]],Table3[ProductID],Table3[Category],"Missing Value",0)))</f>
        <v>Software</v>
      </c>
      <c r="T491" t="str">
        <f>_xlfn.XLOOKUP(Table1[[#This Row],[CustomerID_Check]],Table2[CustomerID],Table2[CustomerType],"Missing Value",0)</f>
        <v>Key Account</v>
      </c>
    </row>
    <row r="492" spans="1:20">
      <c r="A492" t="s">
        <v>727</v>
      </c>
      <c r="B492" s="1">
        <v>45792</v>
      </c>
      <c r="C492" t="s">
        <v>165</v>
      </c>
      <c r="D492" t="str">
        <f>UPPER(Table1[[#This Row],[ProductID_Clean]])</f>
        <v>P-SA-001</v>
      </c>
      <c r="E492" t="s">
        <v>68</v>
      </c>
      <c r="F492" t="s">
        <v>47</v>
      </c>
      <c r="G492" t="str">
        <f>TRIM(Table1[[#This Row],[Region_Clean]])</f>
        <v>EMEA</v>
      </c>
      <c r="H492" t="s">
        <v>53</v>
      </c>
      <c r="I492" t="s">
        <v>184</v>
      </c>
      <c r="J492" s="3">
        <v>2</v>
      </c>
      <c r="K492" s="3">
        <v>3357.16</v>
      </c>
      <c r="L492">
        <v>4200</v>
      </c>
      <c r="M492">
        <v>8400</v>
      </c>
      <c r="N492">
        <v>1685.68</v>
      </c>
      <c r="O492">
        <v>6714.32</v>
      </c>
      <c r="P492" t="s">
        <v>26</v>
      </c>
      <c r="Q492" t="s">
        <v>54</v>
      </c>
      <c r="R492" t="s">
        <v>28</v>
      </c>
      <c r="S492" t="str">
        <f>TRIM(PROPER(_xlfn.XLOOKUP(Table1[[#This Row],[ProductID_Clean]],Table3[ProductID],Table3[Category],"Missing Value",0)))</f>
        <v>Software</v>
      </c>
      <c r="T492" t="str">
        <f>_xlfn.XLOOKUP(Table1[[#This Row],[CustomerID_Check]],Table2[CustomerID],Table2[CustomerType],"Missing Value",0)</f>
        <v>Key Account</v>
      </c>
    </row>
    <row r="493" spans="1:20">
      <c r="A493" t="s">
        <v>728</v>
      </c>
      <c r="B493" s="1">
        <v>45814</v>
      </c>
      <c r="C493" t="s">
        <v>535</v>
      </c>
      <c r="D493" t="str">
        <f>UPPER(Table1[[#This Row],[ProductID_Clean]])</f>
        <v>P-SI-004</v>
      </c>
      <c r="E493" t="s">
        <v>22</v>
      </c>
      <c r="F493" t="s">
        <v>52</v>
      </c>
      <c r="G493" t="str">
        <f>TRIM(Table1[[#This Row],[Region_Clean]])</f>
        <v>N. AMERICA</v>
      </c>
      <c r="H493" t="s">
        <v>24</v>
      </c>
      <c r="I493" t="s">
        <v>87</v>
      </c>
      <c r="J493" s="3">
        <v>2</v>
      </c>
      <c r="K493" s="3">
        <v>2016.3</v>
      </c>
      <c r="L493">
        <v>2450</v>
      </c>
      <c r="M493">
        <v>4900</v>
      </c>
      <c r="N493">
        <v>867.4</v>
      </c>
      <c r="O493">
        <v>4032.6</v>
      </c>
      <c r="P493" t="s">
        <v>26</v>
      </c>
      <c r="Q493" t="s">
        <v>40</v>
      </c>
      <c r="R493" t="s">
        <v>36</v>
      </c>
      <c r="S493" t="str">
        <f>TRIM(PROPER(_xlfn.XLOOKUP(Table1[[#This Row],[ProductID_Clean]],Table3[ProductID],Table3[Category],"Missing Value",0)))</f>
        <v>Instruments</v>
      </c>
      <c r="T493" t="str">
        <f>_xlfn.XLOOKUP(Table1[[#This Row],[CustomerID_Check]],Table2[CustomerID],Table2[CustomerType],"Missing Value",0)</f>
        <v>Emerging</v>
      </c>
    </row>
    <row r="494" spans="1:20">
      <c r="A494" t="s">
        <v>729</v>
      </c>
      <c r="B494" s="1">
        <v>45751</v>
      </c>
      <c r="C494" t="s">
        <v>730</v>
      </c>
      <c r="D494" t="str">
        <f>UPPER(Table1[[#This Row],[ProductID_Clean]])</f>
        <v>P-SA-001</v>
      </c>
      <c r="E494" t="s">
        <v>68</v>
      </c>
      <c r="F494" t="s">
        <v>23</v>
      </c>
      <c r="G494" t="str">
        <f>TRIM(Table1[[#This Row],[Region_Clean]])</f>
        <v>N. AMERICA</v>
      </c>
      <c r="H494" t="s">
        <v>53</v>
      </c>
      <c r="I494" t="s">
        <v>25</v>
      </c>
      <c r="J494" s="3">
        <v>1</v>
      </c>
      <c r="K494" s="3">
        <v>3830.64</v>
      </c>
      <c r="L494">
        <v>4200</v>
      </c>
      <c r="M494">
        <v>4200</v>
      </c>
      <c r="N494">
        <v>369.36</v>
      </c>
      <c r="O494">
        <v>3830.64</v>
      </c>
      <c r="P494" t="s">
        <v>26</v>
      </c>
      <c r="Q494" t="s">
        <v>88</v>
      </c>
      <c r="R494" t="s">
        <v>36</v>
      </c>
      <c r="S494" t="str">
        <f>TRIM(PROPER(_xlfn.XLOOKUP(Table1[[#This Row],[ProductID_Clean]],Table3[ProductID],Table3[Category],"Missing Value",0)))</f>
        <v>Software</v>
      </c>
      <c r="T494" t="str">
        <f>_xlfn.XLOOKUP(Table1[[#This Row],[CustomerID_Check]],Table2[CustomerID],Table2[CustomerType],"Missing Value",0)</f>
        <v>Emerging</v>
      </c>
    </row>
    <row r="495" spans="1:20">
      <c r="A495" t="s">
        <v>731</v>
      </c>
      <c r="B495" s="1">
        <v>45762</v>
      </c>
      <c r="C495" t="s">
        <v>200</v>
      </c>
      <c r="D495" t="str">
        <f>UPPER(Table1[[#This Row],[ProductID_Clean]])</f>
        <v>P-SA-001</v>
      </c>
      <c r="E495" t="s">
        <v>68</v>
      </c>
      <c r="F495" t="s">
        <v>47</v>
      </c>
      <c r="G495" t="str">
        <f>TRIM(Table1[[#This Row],[Region_Clean]])</f>
        <v>EMEA</v>
      </c>
      <c r="H495" t="s">
        <v>53</v>
      </c>
      <c r="I495" t="s">
        <v>25</v>
      </c>
      <c r="J495" s="3">
        <v>5</v>
      </c>
      <c r="K495" s="3">
        <v>3540.66</v>
      </c>
      <c r="L495">
        <v>4200</v>
      </c>
      <c r="M495">
        <v>21000</v>
      </c>
      <c r="N495">
        <v>3296.7</v>
      </c>
      <c r="O495">
        <v>17703.3</v>
      </c>
      <c r="P495" t="s">
        <v>26</v>
      </c>
      <c r="Q495" t="s">
        <v>40</v>
      </c>
      <c r="R495" t="s">
        <v>36</v>
      </c>
      <c r="S495" t="str">
        <f>TRIM(PROPER(_xlfn.XLOOKUP(Table1[[#This Row],[ProductID_Clean]],Table3[ProductID],Table3[Category],"Missing Value",0)))</f>
        <v>Software</v>
      </c>
      <c r="T495" t="str">
        <f>_xlfn.XLOOKUP(Table1[[#This Row],[CustomerID_Check]],Table2[CustomerID],Table2[CustomerType],"Missing Value",0)</f>
        <v>Key Account</v>
      </c>
    </row>
    <row r="496" spans="1:20">
      <c r="A496" t="s">
        <v>732</v>
      </c>
      <c r="B496" s="1">
        <v>45831</v>
      </c>
      <c r="C496" t="s">
        <v>570</v>
      </c>
      <c r="D496" t="str">
        <f>UPPER(Table1[[#This Row],[ProductID_Clean]])</f>
        <v>P-SI-006</v>
      </c>
      <c r="E496" t="s">
        <v>43</v>
      </c>
      <c r="F496" t="s">
        <v>32</v>
      </c>
      <c r="G496" t="str">
        <f>TRIM(Table1[[#This Row],[Region_Clean]])</f>
        <v>LATIN AMERICA</v>
      </c>
      <c r="H496" t="s">
        <v>24</v>
      </c>
      <c r="I496" t="s">
        <v>25</v>
      </c>
      <c r="J496" s="3">
        <v>1</v>
      </c>
      <c r="K496" s="3">
        <v>173.96</v>
      </c>
      <c r="L496">
        <v>215</v>
      </c>
      <c r="M496">
        <v>215</v>
      </c>
      <c r="N496">
        <v>41.04</v>
      </c>
      <c r="O496">
        <v>173.96</v>
      </c>
      <c r="P496" t="s">
        <v>26</v>
      </c>
      <c r="Q496" t="s">
        <v>35</v>
      </c>
      <c r="R496" t="s">
        <v>48</v>
      </c>
      <c r="S496" t="str">
        <f>TRIM(PROPER(_xlfn.XLOOKUP(Table1[[#This Row],[ProductID_Clean]],Table3[ProductID],Table3[Category],"Missing Value",0)))</f>
        <v>Sensors</v>
      </c>
      <c r="T496" t="str">
        <f>_xlfn.XLOOKUP(Table1[[#This Row],[CustomerID_Check]],Table2[CustomerID],Table2[CustomerType],"Missing Value",0)</f>
        <v>Standard</v>
      </c>
    </row>
    <row r="497" spans="1:20">
      <c r="A497" t="s">
        <v>733</v>
      </c>
      <c r="B497" s="1">
        <v>45671</v>
      </c>
      <c r="C497" t="s">
        <v>279</v>
      </c>
      <c r="D497" t="str">
        <f>UPPER(Table1[[#This Row],[ProductID_Clean]])</f>
        <v>P-SI-005</v>
      </c>
      <c r="E497" t="s">
        <v>57</v>
      </c>
      <c r="F497" t="s">
        <v>47</v>
      </c>
      <c r="G497" t="str">
        <f>TRIM(Table1[[#This Row],[Region_Clean]])</f>
        <v>EMEA</v>
      </c>
      <c r="H497" t="s">
        <v>24</v>
      </c>
      <c r="I497" t="s">
        <v>87</v>
      </c>
      <c r="J497" s="3">
        <v>3</v>
      </c>
      <c r="K497" s="3">
        <v>924.18</v>
      </c>
      <c r="L497">
        <v>1120</v>
      </c>
      <c r="M497">
        <v>3360</v>
      </c>
      <c r="N497">
        <v>587.46</v>
      </c>
      <c r="O497">
        <v>2772.54</v>
      </c>
      <c r="P497" t="s">
        <v>26</v>
      </c>
      <c r="Q497" t="s">
        <v>35</v>
      </c>
      <c r="R497" t="s">
        <v>36</v>
      </c>
      <c r="S497" t="str">
        <f>TRIM(PROPER(_xlfn.XLOOKUP(Table1[[#This Row],[ProductID_Clean]],Table3[ProductID],Table3[Category],"Missing Value",0)))</f>
        <v>Sensors</v>
      </c>
      <c r="T497" t="str">
        <f>_xlfn.XLOOKUP(Table1[[#This Row],[CustomerID_Check]],Table2[CustomerID],Table2[CustomerType],"Missing Value",0)</f>
        <v>Key Account</v>
      </c>
    </row>
    <row r="498" spans="1:20">
      <c r="A498" t="s">
        <v>734</v>
      </c>
      <c r="B498" s="1">
        <v>45823</v>
      </c>
      <c r="C498" t="s">
        <v>200</v>
      </c>
      <c r="D498" t="str">
        <f>UPPER(Table1[[#This Row],[ProductID_Clean]])</f>
        <v>P-SA-001</v>
      </c>
      <c r="E498" t="s">
        <v>68</v>
      </c>
      <c r="F498" t="s">
        <v>47</v>
      </c>
      <c r="G498" t="str">
        <f>TRIM(Table1[[#This Row],[Region_Clean]])</f>
        <v>EMEA</v>
      </c>
      <c r="H498" t="s">
        <v>53</v>
      </c>
      <c r="I498" t="s">
        <v>34</v>
      </c>
      <c r="J498" s="3">
        <v>1</v>
      </c>
      <c r="K498" s="3">
        <v>3460.83</v>
      </c>
      <c r="L498">
        <v>4200</v>
      </c>
      <c r="M498">
        <v>4200</v>
      </c>
      <c r="N498">
        <v>739.17</v>
      </c>
      <c r="O498">
        <v>3460.83</v>
      </c>
      <c r="P498" t="s">
        <v>26</v>
      </c>
      <c r="Q498" t="s">
        <v>54</v>
      </c>
      <c r="R498" t="s">
        <v>36</v>
      </c>
      <c r="S498" t="str">
        <f>TRIM(PROPER(_xlfn.XLOOKUP(Table1[[#This Row],[ProductID_Clean]],Table3[ProductID],Table3[Category],"Missing Value",0)))</f>
        <v>Software</v>
      </c>
      <c r="T498" t="str">
        <f>_xlfn.XLOOKUP(Table1[[#This Row],[CustomerID_Check]],Table2[CustomerID],Table2[CustomerType],"Missing Value",0)</f>
        <v>Key Account</v>
      </c>
    </row>
    <row r="499" spans="1:20">
      <c r="A499" t="s">
        <v>735</v>
      </c>
      <c r="B499" s="1">
        <v>45674</v>
      </c>
      <c r="C499" t="s">
        <v>172</v>
      </c>
      <c r="D499" t="str">
        <f>UPPER(Table1[[#This Row],[ProductID_Clean]])</f>
        <v>P-SA-005</v>
      </c>
      <c r="E499" t="s">
        <v>62</v>
      </c>
      <c r="F499" t="s">
        <v>23</v>
      </c>
      <c r="G499" t="str">
        <f>TRIM(Table1[[#This Row],[Region_Clean]])</f>
        <v>N. AMERICA</v>
      </c>
      <c r="H499" t="s">
        <v>53</v>
      </c>
      <c r="I499" t="s">
        <v>87</v>
      </c>
      <c r="J499" s="3">
        <v>1</v>
      </c>
      <c r="K499" s="3">
        <v>2522.5300000000002</v>
      </c>
      <c r="L499">
        <v>3200</v>
      </c>
      <c r="M499">
        <v>3200</v>
      </c>
      <c r="N499">
        <v>677.47</v>
      </c>
      <c r="O499">
        <v>2522.5300000000002</v>
      </c>
      <c r="P499" t="s">
        <v>26</v>
      </c>
      <c r="Q499" t="s">
        <v>189</v>
      </c>
      <c r="R499" t="s">
        <v>36</v>
      </c>
      <c r="S499" t="str">
        <f>TRIM(PROPER(_xlfn.XLOOKUP(Table1[[#This Row],[ProductID_Clean]],Table3[ProductID],Table3[Category],"Missing Value",0)))</f>
        <v>Software / Integration</v>
      </c>
      <c r="T499" t="str">
        <f>_xlfn.XLOOKUP(Table1[[#This Row],[CustomerID_Check]],Table2[CustomerID],Table2[CustomerType],"Missing Value",0)</f>
        <v>Key Account</v>
      </c>
    </row>
    <row r="500" spans="1:20">
      <c r="A500" t="s">
        <v>736</v>
      </c>
      <c r="B500" s="1">
        <v>45682</v>
      </c>
      <c r="C500" t="s">
        <v>197</v>
      </c>
      <c r="D500" t="str">
        <f>UPPER(Table1[[#This Row],[ProductID_Clean]])</f>
        <v>P-FS-002</v>
      </c>
      <c r="E500" t="s">
        <v>81</v>
      </c>
      <c r="F500" t="s">
        <v>58</v>
      </c>
      <c r="G500" t="str">
        <f>TRIM(Table1[[#This Row],[Region_Clean]])</f>
        <v>APAC</v>
      </c>
      <c r="H500" t="s">
        <v>82</v>
      </c>
      <c r="I500" t="s">
        <v>25</v>
      </c>
      <c r="J500" s="3">
        <v>1</v>
      </c>
      <c r="K500" s="3">
        <v>1778.71</v>
      </c>
      <c r="L500">
        <v>2400</v>
      </c>
      <c r="M500">
        <v>2400</v>
      </c>
      <c r="N500">
        <v>621.29</v>
      </c>
      <c r="O500">
        <v>1778.71</v>
      </c>
      <c r="P500" t="s">
        <v>26</v>
      </c>
      <c r="Q500" t="s">
        <v>94</v>
      </c>
      <c r="R500" t="s">
        <v>28</v>
      </c>
      <c r="S500" t="str">
        <f>TRIM(PROPER(_xlfn.XLOOKUP(Table1[[#This Row],[ProductID_Clean]],Table3[ProductID],Table3[Category],"Missing Value",0)))</f>
        <v>Services</v>
      </c>
      <c r="T500" t="str">
        <f>_xlfn.XLOOKUP(Table1[[#This Row],[CustomerID_Check]],Table2[CustomerID],Table2[CustomerType],"Missing Value",0)</f>
        <v>Strategic</v>
      </c>
    </row>
    <row r="501" spans="1:20">
      <c r="A501" t="s">
        <v>737</v>
      </c>
      <c r="B501" s="1">
        <v>45831</v>
      </c>
      <c r="C501" t="s">
        <v>143</v>
      </c>
      <c r="D501" t="str">
        <f>UPPER(Table1[[#This Row],[ProductID_Clean]])</f>
        <v>P-SA-003</v>
      </c>
      <c r="E501" t="s">
        <v>51</v>
      </c>
      <c r="F501" t="s">
        <v>23</v>
      </c>
      <c r="G501" t="str">
        <f>TRIM(Table1[[#This Row],[Region_Clean]])</f>
        <v>N. AMERICA</v>
      </c>
      <c r="H501" t="s">
        <v>53</v>
      </c>
      <c r="I501" t="s">
        <v>25</v>
      </c>
      <c r="J501" s="3">
        <v>1</v>
      </c>
      <c r="K501" s="3">
        <v>2427.12</v>
      </c>
      <c r="L501">
        <v>2750</v>
      </c>
      <c r="M501">
        <v>2750</v>
      </c>
      <c r="N501">
        <v>322.88</v>
      </c>
      <c r="O501">
        <v>2427.12</v>
      </c>
      <c r="P501" t="s">
        <v>26</v>
      </c>
      <c r="Q501" t="s">
        <v>54</v>
      </c>
      <c r="R501" t="s">
        <v>28</v>
      </c>
      <c r="S501" t="str">
        <f>TRIM(PROPER(_xlfn.XLOOKUP(Table1[[#This Row],[ProductID_Clean]],Table3[ProductID],Table3[Category],"Missing Value",0)))</f>
        <v>Software</v>
      </c>
      <c r="T501" t="str">
        <f>_xlfn.XLOOKUP(Table1[[#This Row],[CustomerID_Check]],Table2[CustomerID],Table2[CustomerType],"Missing Value",0)</f>
        <v>Strategic</v>
      </c>
    </row>
    <row r="502" spans="1:20">
      <c r="A502" t="s">
        <v>738</v>
      </c>
      <c r="B502" s="1">
        <v>45730</v>
      </c>
      <c r="C502" t="s">
        <v>297</v>
      </c>
      <c r="D502" t="str">
        <f>UPPER(Table1[[#This Row],[ProductID_Clean]])</f>
        <v>P-SI-001</v>
      </c>
      <c r="E502" t="s">
        <v>72</v>
      </c>
      <c r="F502" t="s">
        <v>23</v>
      </c>
      <c r="G502" t="str">
        <f>TRIM(Table1[[#This Row],[Region_Clean]])</f>
        <v>N. AMERICA</v>
      </c>
      <c r="H502" t="s">
        <v>24</v>
      </c>
      <c r="I502" t="s">
        <v>87</v>
      </c>
      <c r="J502" s="3">
        <v>1</v>
      </c>
      <c r="K502" s="3">
        <v>395.24</v>
      </c>
      <c r="L502">
        <v>485</v>
      </c>
      <c r="M502">
        <v>485</v>
      </c>
      <c r="N502">
        <v>89.76</v>
      </c>
      <c r="O502">
        <v>395.24</v>
      </c>
      <c r="P502" t="s">
        <v>26</v>
      </c>
      <c r="Q502" t="s">
        <v>35</v>
      </c>
      <c r="R502" t="s">
        <v>36</v>
      </c>
      <c r="S502" t="str">
        <f>TRIM(PROPER(_xlfn.XLOOKUP(Table1[[#This Row],[ProductID_Clean]],Table3[ProductID],Table3[Category],"Missing Value",0)))</f>
        <v>Sensors</v>
      </c>
      <c r="T502" t="str">
        <f>_xlfn.XLOOKUP(Table1[[#This Row],[CustomerID_Check]],Table2[CustomerID],Table2[CustomerType],"Missing Value",0)</f>
        <v>Key Account</v>
      </c>
    </row>
    <row r="503" spans="1:20">
      <c r="A503" t="s">
        <v>739</v>
      </c>
      <c r="B503" s="1">
        <v>45826</v>
      </c>
      <c r="C503" t="s">
        <v>80</v>
      </c>
      <c r="D503" t="str">
        <f>UPPER(Table1[[#This Row],[ProductID_Clean]])</f>
        <v>P-SA-003</v>
      </c>
      <c r="E503" t="s">
        <v>51</v>
      </c>
      <c r="F503" t="s">
        <v>52</v>
      </c>
      <c r="G503" t="str">
        <f>TRIM(Table1[[#This Row],[Region_Clean]])</f>
        <v>N. AMERICA</v>
      </c>
      <c r="H503" t="s">
        <v>53</v>
      </c>
      <c r="I503" t="s">
        <v>184</v>
      </c>
      <c r="J503" s="3">
        <v>1</v>
      </c>
      <c r="K503" s="3">
        <v>2014.94</v>
      </c>
      <c r="L503">
        <v>2750</v>
      </c>
      <c r="M503">
        <v>2750</v>
      </c>
      <c r="N503">
        <v>735.06</v>
      </c>
      <c r="O503">
        <v>2014.94</v>
      </c>
      <c r="P503" t="s">
        <v>26</v>
      </c>
      <c r="Q503" t="s">
        <v>54</v>
      </c>
      <c r="R503" t="s">
        <v>48</v>
      </c>
      <c r="S503" t="str">
        <f>TRIM(PROPER(_xlfn.XLOOKUP(Table1[[#This Row],[ProductID_Clean]],Table3[ProductID],Table3[Category],"Missing Value",0)))</f>
        <v>Software</v>
      </c>
      <c r="T503" t="str">
        <f>_xlfn.XLOOKUP(Table1[[#This Row],[CustomerID_Check]],Table2[CustomerID],Table2[CustomerType],"Missing Value",0)</f>
        <v>Strategic</v>
      </c>
    </row>
    <row r="504" spans="1:20">
      <c r="A504" t="s">
        <v>740</v>
      </c>
      <c r="B504" s="1">
        <v>45678</v>
      </c>
      <c r="C504" t="s">
        <v>239</v>
      </c>
      <c r="D504" t="str">
        <f>UPPER(Table1[[#This Row],[ProductID_Clean]])</f>
        <v>P-SA-004</v>
      </c>
      <c r="E504" t="s">
        <v>86</v>
      </c>
      <c r="F504" t="s">
        <v>23</v>
      </c>
      <c r="G504" t="str">
        <f>TRIM(Table1[[#This Row],[Region_Clean]])</f>
        <v>N. AMERICA</v>
      </c>
      <c r="H504" t="s">
        <v>53</v>
      </c>
      <c r="I504" t="s">
        <v>98</v>
      </c>
      <c r="J504" s="3">
        <v>1</v>
      </c>
      <c r="K504" s="3">
        <v>1338.36</v>
      </c>
      <c r="L504">
        <v>1650</v>
      </c>
      <c r="M504">
        <v>1650</v>
      </c>
      <c r="N504">
        <v>311.64</v>
      </c>
      <c r="O504">
        <v>1338.36</v>
      </c>
      <c r="P504" t="s">
        <v>26</v>
      </c>
      <c r="Q504" t="s">
        <v>88</v>
      </c>
      <c r="R504" t="s">
        <v>44</v>
      </c>
      <c r="S504" t="str">
        <f>TRIM(PROPER(_xlfn.XLOOKUP(Table1[[#This Row],[ProductID_Clean]],Table3[ProductID],Table3[Category],"Missing Value",0)))</f>
        <v>Software</v>
      </c>
      <c r="T504" t="str">
        <f>_xlfn.XLOOKUP(Table1[[#This Row],[CustomerID_Check]],Table2[CustomerID],Table2[CustomerType],"Missing Value",0)</f>
        <v>Strategic</v>
      </c>
    </row>
    <row r="505" spans="1:20">
      <c r="A505" t="s">
        <v>741</v>
      </c>
      <c r="B505" s="1">
        <v>45827</v>
      </c>
      <c r="C505" t="s">
        <v>220</v>
      </c>
      <c r="D505" t="str">
        <f>UPPER(Table1[[#This Row],[ProductID_Clean]])</f>
        <v>P-SI-005</v>
      </c>
      <c r="E505" t="s">
        <v>57</v>
      </c>
      <c r="F505" t="s">
        <v>23</v>
      </c>
      <c r="G505" t="str">
        <f>TRIM(Table1[[#This Row],[Region_Clean]])</f>
        <v>N. AMERICA</v>
      </c>
      <c r="H505" t="s">
        <v>24</v>
      </c>
      <c r="I505" t="s">
        <v>87</v>
      </c>
      <c r="J505" s="3">
        <v>12</v>
      </c>
      <c r="K505" s="3">
        <v>1056.8499999999999</v>
      </c>
      <c r="L505">
        <v>1120</v>
      </c>
      <c r="M505">
        <v>13440</v>
      </c>
      <c r="N505">
        <v>757.8</v>
      </c>
      <c r="O505">
        <v>12682.2</v>
      </c>
      <c r="P505" t="s">
        <v>26</v>
      </c>
      <c r="Q505" t="s">
        <v>35</v>
      </c>
      <c r="R505" t="s">
        <v>59</v>
      </c>
      <c r="S505" t="str">
        <f>TRIM(PROPER(_xlfn.XLOOKUP(Table1[[#This Row],[ProductID_Clean]],Table3[ProductID],Table3[Category],"Missing Value",0)))</f>
        <v>Sensors</v>
      </c>
      <c r="T505" t="str">
        <f>_xlfn.XLOOKUP(Table1[[#This Row],[CustomerID_Check]],Table2[CustomerID],Table2[CustomerType],"Missing Value",0)</f>
        <v>Emerging</v>
      </c>
    </row>
    <row r="506" spans="1:20">
      <c r="A506" t="s">
        <v>742</v>
      </c>
      <c r="B506" s="1">
        <v>45747</v>
      </c>
      <c r="C506" t="s">
        <v>108</v>
      </c>
      <c r="D506" t="str">
        <f>UPPER(Table1[[#This Row],[ProductID_Clean]])</f>
        <v>P-FS-003</v>
      </c>
      <c r="E506" t="s">
        <v>216</v>
      </c>
      <c r="F506" t="s">
        <v>32</v>
      </c>
      <c r="G506" t="str">
        <f>TRIM(Table1[[#This Row],[Region_Clean]])</f>
        <v>LATIN AMERICA</v>
      </c>
      <c r="H506" t="s">
        <v>82</v>
      </c>
      <c r="I506" t="s">
        <v>87</v>
      </c>
      <c r="J506" s="3">
        <v>1</v>
      </c>
      <c r="K506" s="3">
        <v>3349.68</v>
      </c>
      <c r="L506">
        <v>4100</v>
      </c>
      <c r="M506">
        <v>4100</v>
      </c>
      <c r="N506">
        <v>750.32</v>
      </c>
      <c r="O506">
        <v>3349.68</v>
      </c>
      <c r="P506" t="s">
        <v>26</v>
      </c>
      <c r="Q506" t="s">
        <v>40</v>
      </c>
      <c r="R506" t="s">
        <v>36</v>
      </c>
      <c r="S506" t="str">
        <f>TRIM(PROPER(_xlfn.XLOOKUP(Table1[[#This Row],[ProductID_Clean]],Table3[ProductID],Table3[Category],"Missing Value",0)))</f>
        <v>Services</v>
      </c>
      <c r="T506" t="str">
        <f>_xlfn.XLOOKUP(Table1[[#This Row],[CustomerID_Check]],Table2[CustomerID],Table2[CustomerType],"Missing Value",0)</f>
        <v>Standard</v>
      </c>
    </row>
    <row r="507" spans="1:20">
      <c r="A507" t="s">
        <v>743</v>
      </c>
      <c r="B507" s="1">
        <v>45836</v>
      </c>
      <c r="C507" t="s">
        <v>252</v>
      </c>
      <c r="D507" t="str">
        <f>UPPER(Table1[[#This Row],[ProductID_Clean]])</f>
        <v>P-SA-002</v>
      </c>
      <c r="E507" t="s">
        <v>147</v>
      </c>
      <c r="F507" t="s">
        <v>23</v>
      </c>
      <c r="G507" t="str">
        <f>TRIM(Table1[[#This Row],[Region_Clean]])</f>
        <v>N. AMERICA</v>
      </c>
      <c r="H507" t="s">
        <v>53</v>
      </c>
      <c r="I507" t="s">
        <v>25</v>
      </c>
      <c r="J507" s="3">
        <v>1</v>
      </c>
      <c r="K507" s="3">
        <v>7963.77</v>
      </c>
      <c r="L507">
        <v>9800</v>
      </c>
      <c r="M507">
        <v>9800</v>
      </c>
      <c r="N507">
        <v>1836.23</v>
      </c>
      <c r="O507">
        <v>7963.77</v>
      </c>
      <c r="P507" t="s">
        <v>26</v>
      </c>
      <c r="Q507" t="s">
        <v>54</v>
      </c>
      <c r="R507" t="s">
        <v>44</v>
      </c>
      <c r="S507" t="str">
        <f>TRIM(PROPER(_xlfn.XLOOKUP(Table1[[#This Row],[ProductID_Clean]],Table3[ProductID],Table3[Category],"Missing Value",0)))</f>
        <v>Software</v>
      </c>
      <c r="T507" t="str">
        <f>_xlfn.XLOOKUP(Table1[[#This Row],[CustomerID_Check]],Table2[CustomerID],Table2[CustomerType],"Missing Value",0)</f>
        <v>Strategic</v>
      </c>
    </row>
    <row r="508" spans="1:20">
      <c r="A508" t="s">
        <v>744</v>
      </c>
      <c r="B508" s="1">
        <v>45810</v>
      </c>
      <c r="C508" t="s">
        <v>745</v>
      </c>
      <c r="D508" t="str">
        <f>UPPER(Table1[[#This Row],[ProductID_Clean]])</f>
        <v>P-SI-004</v>
      </c>
      <c r="E508" t="s">
        <v>22</v>
      </c>
      <c r="F508" t="s">
        <v>58</v>
      </c>
      <c r="G508" t="str">
        <f>TRIM(Table1[[#This Row],[Region_Clean]])</f>
        <v>APAC</v>
      </c>
      <c r="H508" t="s">
        <v>24</v>
      </c>
      <c r="I508" t="s">
        <v>25</v>
      </c>
      <c r="J508" s="3">
        <v>2</v>
      </c>
      <c r="K508" s="3">
        <v>2011.1</v>
      </c>
      <c r="L508">
        <v>2450</v>
      </c>
      <c r="M508">
        <v>4900</v>
      </c>
      <c r="N508">
        <v>877.8</v>
      </c>
      <c r="O508">
        <v>4022.2</v>
      </c>
      <c r="P508" t="s">
        <v>26</v>
      </c>
      <c r="Q508" t="s">
        <v>65</v>
      </c>
      <c r="R508" t="s">
        <v>28</v>
      </c>
      <c r="S508" t="str">
        <f>TRIM(PROPER(_xlfn.XLOOKUP(Table1[[#This Row],[ProductID_Clean]],Table3[ProductID],Table3[Category],"Missing Value",0)))</f>
        <v>Instruments</v>
      </c>
      <c r="T508" t="str">
        <f>_xlfn.XLOOKUP(Table1[[#This Row],[CustomerID_Check]],Table2[CustomerID],Table2[CustomerType],"Missing Value",0)</f>
        <v>Emerging</v>
      </c>
    </row>
    <row r="509" spans="1:20">
      <c r="A509" t="s">
        <v>746</v>
      </c>
      <c r="B509" s="1">
        <v>45679</v>
      </c>
      <c r="C509" t="s">
        <v>272</v>
      </c>
      <c r="D509" t="str">
        <f>UPPER(Table1[[#This Row],[ProductID_Clean]])</f>
        <v>P-FS-002</v>
      </c>
      <c r="E509" t="s">
        <v>81</v>
      </c>
      <c r="F509" t="s">
        <v>47</v>
      </c>
      <c r="G509" t="str">
        <f>TRIM(Table1[[#This Row],[Region_Clean]])</f>
        <v>EMEA</v>
      </c>
      <c r="H509" t="s">
        <v>82</v>
      </c>
      <c r="I509" t="s">
        <v>25</v>
      </c>
      <c r="J509" s="3">
        <v>1</v>
      </c>
      <c r="K509" s="3">
        <v>2084.11</v>
      </c>
      <c r="L509">
        <v>2400</v>
      </c>
      <c r="M509">
        <v>2400</v>
      </c>
      <c r="N509">
        <v>315.89</v>
      </c>
      <c r="O509">
        <v>2084.11</v>
      </c>
      <c r="P509" t="s">
        <v>26</v>
      </c>
      <c r="Q509" t="s">
        <v>94</v>
      </c>
      <c r="R509" t="s">
        <v>36</v>
      </c>
      <c r="S509" t="str">
        <f>TRIM(PROPER(_xlfn.XLOOKUP(Table1[[#This Row],[ProductID_Clean]],Table3[ProductID],Table3[Category],"Missing Value",0)))</f>
        <v>Services</v>
      </c>
      <c r="T509" t="str">
        <f>_xlfn.XLOOKUP(Table1[[#This Row],[CustomerID_Check]],Table2[CustomerID],Table2[CustomerType],"Missing Value",0)</f>
        <v>Key Account</v>
      </c>
    </row>
    <row r="510" spans="1:20">
      <c r="A510" t="s">
        <v>747</v>
      </c>
      <c r="B510" s="1">
        <v>45663</v>
      </c>
      <c r="C510" t="s">
        <v>239</v>
      </c>
      <c r="D510" t="str">
        <f>UPPER(Table1[[#This Row],[ProductID_Clean]])</f>
        <v>P-SI-006</v>
      </c>
      <c r="E510" t="s">
        <v>43</v>
      </c>
      <c r="F510" t="s">
        <v>23</v>
      </c>
      <c r="G510" t="str">
        <f>TRIM(Table1[[#This Row],[Region_Clean]])</f>
        <v>N. AMERICA</v>
      </c>
      <c r="H510" t="s">
        <v>24</v>
      </c>
      <c r="I510" t="s">
        <v>87</v>
      </c>
      <c r="J510" s="3">
        <v>1</v>
      </c>
      <c r="K510" s="3">
        <v>10.75</v>
      </c>
      <c r="L510">
        <v>215</v>
      </c>
      <c r="M510">
        <v>215</v>
      </c>
      <c r="N510">
        <v>204.25</v>
      </c>
      <c r="O510">
        <v>10.75</v>
      </c>
      <c r="P510" t="s">
        <v>26</v>
      </c>
      <c r="Q510" t="s">
        <v>27</v>
      </c>
      <c r="R510" t="s">
        <v>44</v>
      </c>
      <c r="S510" t="str">
        <f>TRIM(PROPER(_xlfn.XLOOKUP(Table1[[#This Row],[ProductID_Clean]],Table3[ProductID],Table3[Category],"Missing Value",0)))</f>
        <v>Sensors</v>
      </c>
      <c r="T510" t="str">
        <f>_xlfn.XLOOKUP(Table1[[#This Row],[CustomerID_Check]],Table2[CustomerID],Table2[CustomerType],"Missing Value",0)</f>
        <v>Strategic</v>
      </c>
    </row>
    <row r="511" spans="1:20">
      <c r="A511" t="s">
        <v>748</v>
      </c>
      <c r="B511" s="1">
        <v>45690</v>
      </c>
      <c r="C511" t="s">
        <v>272</v>
      </c>
      <c r="D511" t="str">
        <f>UPPER(Table1[[#This Row],[ProductID_Clean]])</f>
        <v>P-SI-007</v>
      </c>
      <c r="E511" t="s">
        <v>97</v>
      </c>
      <c r="F511" t="s">
        <v>47</v>
      </c>
      <c r="G511" t="str">
        <f>TRIM(Table1[[#This Row],[Region_Clean]])</f>
        <v>EMEA</v>
      </c>
      <c r="H511" t="s">
        <v>24</v>
      </c>
      <c r="I511" t="s">
        <v>87</v>
      </c>
      <c r="J511" s="3">
        <v>4</v>
      </c>
      <c r="K511" s="3">
        <v>782.15</v>
      </c>
      <c r="L511">
        <v>980</v>
      </c>
      <c r="M511">
        <v>3920</v>
      </c>
      <c r="N511">
        <v>791.4</v>
      </c>
      <c r="O511">
        <v>3128.6</v>
      </c>
      <c r="P511" t="s">
        <v>113</v>
      </c>
      <c r="Q511" t="s">
        <v>35</v>
      </c>
      <c r="R511" t="s">
        <v>36</v>
      </c>
      <c r="S511" t="str">
        <f>TRIM(PROPER(_xlfn.XLOOKUP(Table1[[#This Row],[ProductID_Clean]],Table3[ProductID],Table3[Category],"Missing Value",0)))</f>
        <v>Sensors</v>
      </c>
      <c r="T511" t="str">
        <f>_xlfn.XLOOKUP(Table1[[#This Row],[CustomerID_Check]],Table2[CustomerID],Table2[CustomerType],"Missing Value",0)</f>
        <v>Key Account</v>
      </c>
    </row>
    <row r="512" spans="1:20">
      <c r="A512" t="s">
        <v>749</v>
      </c>
      <c r="B512" s="1">
        <v>45837</v>
      </c>
      <c r="C512" t="s">
        <v>702</v>
      </c>
      <c r="D512" t="str">
        <f>UPPER(Table1[[#This Row],[ProductID_Clean]])</f>
        <v>P-FS-001</v>
      </c>
      <c r="E512" t="s">
        <v>133</v>
      </c>
      <c r="F512" t="s">
        <v>32</v>
      </c>
      <c r="G512" t="str">
        <f>TRIM(Table1[[#This Row],[Region_Clean]])</f>
        <v>LATIN AMERICA</v>
      </c>
      <c r="H512" t="s">
        <v>82</v>
      </c>
      <c r="I512" t="s">
        <v>87</v>
      </c>
      <c r="J512" s="3">
        <v>2</v>
      </c>
      <c r="K512" s="3">
        <v>1326.89</v>
      </c>
      <c r="L512">
        <v>1850</v>
      </c>
      <c r="M512">
        <v>3700</v>
      </c>
      <c r="N512">
        <v>1046.22</v>
      </c>
      <c r="O512">
        <v>2653.78</v>
      </c>
      <c r="P512" t="s">
        <v>26</v>
      </c>
      <c r="Q512" t="s">
        <v>35</v>
      </c>
      <c r="R512" t="s">
        <v>36</v>
      </c>
      <c r="S512" t="str">
        <f>TRIM(PROPER(_xlfn.XLOOKUP(Table1[[#This Row],[ProductID_Clean]],Table3[ProductID],Table3[Category],"Missing Value",0)))</f>
        <v>Services</v>
      </c>
      <c r="T512" t="str">
        <f>_xlfn.XLOOKUP(Table1[[#This Row],[CustomerID_Check]],Table2[CustomerID],Table2[CustomerType],"Missing Value",0)</f>
        <v>Emerging</v>
      </c>
    </row>
    <row r="513" spans="1:20">
      <c r="A513" t="s">
        <v>750</v>
      </c>
      <c r="B513" s="1">
        <v>45833</v>
      </c>
      <c r="C513" t="s">
        <v>165</v>
      </c>
      <c r="D513" t="str">
        <f>UPPER(Table1[[#This Row],[ProductID_Clean]])</f>
        <v>P-SA-004</v>
      </c>
      <c r="E513" t="s">
        <v>86</v>
      </c>
      <c r="F513" t="s">
        <v>47</v>
      </c>
      <c r="G513" t="str">
        <f>TRIM(Table1[[#This Row],[Region_Clean]])</f>
        <v>EMEA</v>
      </c>
      <c r="H513" t="s">
        <v>53</v>
      </c>
      <c r="I513" t="s">
        <v>87</v>
      </c>
      <c r="J513" s="3">
        <v>3</v>
      </c>
      <c r="K513" s="3">
        <v>1368.74</v>
      </c>
      <c r="L513">
        <v>1650</v>
      </c>
      <c r="M513">
        <v>4950</v>
      </c>
      <c r="N513">
        <v>843.78</v>
      </c>
      <c r="O513">
        <v>4106.22</v>
      </c>
      <c r="P513" t="s">
        <v>26</v>
      </c>
      <c r="Q513" t="s">
        <v>54</v>
      </c>
      <c r="R513" t="s">
        <v>28</v>
      </c>
      <c r="S513" t="str">
        <f>TRIM(PROPER(_xlfn.XLOOKUP(Table1[[#This Row],[ProductID_Clean]],Table3[ProductID],Table3[Category],"Missing Value",0)))</f>
        <v>Software</v>
      </c>
      <c r="T513" t="str">
        <f>_xlfn.XLOOKUP(Table1[[#This Row],[CustomerID_Check]],Table2[CustomerID],Table2[CustomerType],"Missing Value",0)</f>
        <v>Key Account</v>
      </c>
    </row>
    <row r="514" spans="1:20">
      <c r="A514" t="s">
        <v>751</v>
      </c>
      <c r="B514" s="1">
        <v>45681</v>
      </c>
      <c r="C514" t="s">
        <v>50</v>
      </c>
      <c r="D514" t="str">
        <f>UPPER(Table1[[#This Row],[ProductID_Clean]])</f>
        <v>P-FS-004</v>
      </c>
      <c r="E514" t="s">
        <v>432</v>
      </c>
      <c r="F514" t="s">
        <v>23</v>
      </c>
      <c r="G514" t="str">
        <f>TRIM(Table1[[#This Row],[Region_Clean]])</f>
        <v>N. AMERICA</v>
      </c>
      <c r="H514" t="s">
        <v>82</v>
      </c>
      <c r="I514" t="s">
        <v>87</v>
      </c>
      <c r="J514" s="3">
        <v>1</v>
      </c>
      <c r="K514" s="3">
        <v>2711.67</v>
      </c>
      <c r="L514">
        <v>3200</v>
      </c>
      <c r="M514">
        <v>3200</v>
      </c>
      <c r="N514">
        <v>488.33</v>
      </c>
      <c r="O514">
        <v>2711.67</v>
      </c>
      <c r="P514" t="s">
        <v>113</v>
      </c>
      <c r="Q514" t="s">
        <v>35</v>
      </c>
      <c r="R514" t="s">
        <v>36</v>
      </c>
      <c r="S514" t="str">
        <f>TRIM(PROPER(_xlfn.XLOOKUP(Table1[[#This Row],[ProductID_Clean]],Table3[ProductID],Table3[Category],"Missing Value",0)))</f>
        <v>Services</v>
      </c>
      <c r="T514" t="str">
        <f>_xlfn.XLOOKUP(Table1[[#This Row],[CustomerID_Check]],Table2[CustomerID],Table2[CustomerType],"Missing Value",0)</f>
        <v>Standard</v>
      </c>
    </row>
    <row r="515" spans="1:20">
      <c r="A515" t="s">
        <v>752</v>
      </c>
      <c r="B515" s="1">
        <v>45788</v>
      </c>
      <c r="C515" t="s">
        <v>527</v>
      </c>
      <c r="D515" t="str">
        <f>UPPER(Table1[[#This Row],[ProductID_Clean]])</f>
        <v>P-SI-003</v>
      </c>
      <c r="E515" t="s">
        <v>39</v>
      </c>
      <c r="F515" t="s">
        <v>23</v>
      </c>
      <c r="G515" t="str">
        <f>TRIM(Table1[[#This Row],[Region_Clean]])</f>
        <v>N. AMERICA</v>
      </c>
      <c r="H515" t="s">
        <v>24</v>
      </c>
      <c r="I515" t="s">
        <v>87</v>
      </c>
      <c r="J515" s="3">
        <v>4</v>
      </c>
      <c r="K515" s="3">
        <v>1597.62</v>
      </c>
      <c r="L515">
        <v>1890</v>
      </c>
      <c r="M515">
        <v>7560</v>
      </c>
      <c r="N515">
        <v>1169.52</v>
      </c>
      <c r="O515">
        <v>6390.48</v>
      </c>
      <c r="P515" t="s">
        <v>26</v>
      </c>
      <c r="Q515" t="s">
        <v>40</v>
      </c>
      <c r="R515" t="s">
        <v>44</v>
      </c>
      <c r="S515" t="str">
        <f>TRIM(PROPER(_xlfn.XLOOKUP(Table1[[#This Row],[ProductID_Clean]],Table3[ProductID],Table3[Category],"Missing Value",0)))</f>
        <v>Instruments</v>
      </c>
      <c r="T515" t="str">
        <f>_xlfn.XLOOKUP(Table1[[#This Row],[CustomerID_Check]],Table2[CustomerID],Table2[CustomerType],"Missing Value",0)</f>
        <v>Standard</v>
      </c>
    </row>
    <row r="516" spans="1:20">
      <c r="A516" t="s">
        <v>753</v>
      </c>
      <c r="B516" s="1">
        <v>45662</v>
      </c>
      <c r="C516" t="s">
        <v>754</v>
      </c>
      <c r="D516" t="str">
        <f>UPPER(Table1[[#This Row],[ProductID_Clean]])</f>
        <v>P-FS-006</v>
      </c>
      <c r="E516" t="s">
        <v>92</v>
      </c>
      <c r="F516" t="s">
        <v>23</v>
      </c>
      <c r="G516" t="str">
        <f>TRIM(Table1[[#This Row],[Region_Clean]])</f>
        <v>N. AMERICA</v>
      </c>
      <c r="H516" t="s">
        <v>82</v>
      </c>
      <c r="I516" t="s">
        <v>87</v>
      </c>
      <c r="J516" s="3">
        <v>1</v>
      </c>
      <c r="K516" s="3">
        <v>1269.52</v>
      </c>
      <c r="L516">
        <v>1450</v>
      </c>
      <c r="M516">
        <v>1450</v>
      </c>
      <c r="N516">
        <v>180.48</v>
      </c>
      <c r="O516">
        <v>1269.52</v>
      </c>
      <c r="P516" t="s">
        <v>26</v>
      </c>
      <c r="Q516" t="s">
        <v>35</v>
      </c>
      <c r="R516" t="s">
        <v>59</v>
      </c>
      <c r="S516" t="str">
        <f>TRIM(PROPER(_xlfn.XLOOKUP(Table1[[#This Row],[ProductID_Clean]],Table3[ProductID],Table3[Category],"Missing Value",0)))</f>
        <v>Services</v>
      </c>
      <c r="T516" t="str">
        <f>_xlfn.XLOOKUP(Table1[[#This Row],[CustomerID_Check]],Table2[CustomerID],Table2[CustomerType],"Missing Value",0)</f>
        <v>Standard</v>
      </c>
    </row>
    <row r="517" spans="1:20">
      <c r="A517" t="s">
        <v>755</v>
      </c>
      <c r="B517" s="1">
        <v>45737</v>
      </c>
      <c r="C517" t="s">
        <v>535</v>
      </c>
      <c r="D517" t="str">
        <f>UPPER(Table1[[#This Row],[ProductID_Clean]])</f>
        <v>P-FS-006</v>
      </c>
      <c r="E517" t="s">
        <v>92</v>
      </c>
      <c r="F517" t="s">
        <v>23</v>
      </c>
      <c r="G517" t="str">
        <f>TRIM(Table1[[#This Row],[Region_Clean]])</f>
        <v>N. AMERICA</v>
      </c>
      <c r="H517" t="s">
        <v>82</v>
      </c>
      <c r="I517" t="s">
        <v>25</v>
      </c>
      <c r="J517" s="3">
        <v>2</v>
      </c>
      <c r="K517" s="3">
        <v>1408.12</v>
      </c>
      <c r="L517">
        <v>1450</v>
      </c>
      <c r="M517">
        <v>2900</v>
      </c>
      <c r="N517">
        <v>83.76</v>
      </c>
      <c r="O517">
        <v>2816.24</v>
      </c>
      <c r="P517" t="s">
        <v>26</v>
      </c>
      <c r="Q517" t="s">
        <v>35</v>
      </c>
      <c r="R517" t="s">
        <v>36</v>
      </c>
      <c r="S517" t="str">
        <f>TRIM(PROPER(_xlfn.XLOOKUP(Table1[[#This Row],[ProductID_Clean]],Table3[ProductID],Table3[Category],"Missing Value",0)))</f>
        <v>Services</v>
      </c>
      <c r="T517" t="str">
        <f>_xlfn.XLOOKUP(Table1[[#This Row],[CustomerID_Check]],Table2[CustomerID],Table2[CustomerType],"Missing Value",0)</f>
        <v>Emerging</v>
      </c>
    </row>
    <row r="518" spans="1:20">
      <c r="A518" t="s">
        <v>756</v>
      </c>
      <c r="B518" s="1">
        <v>45712</v>
      </c>
      <c r="C518" t="s">
        <v>46</v>
      </c>
      <c r="D518" t="str">
        <f>UPPER(Table1[[#This Row],[ProductID_Clean]])</f>
        <v>P-SI-001</v>
      </c>
      <c r="E518" t="s">
        <v>72</v>
      </c>
      <c r="F518" t="s">
        <v>47</v>
      </c>
      <c r="G518" t="str">
        <f>TRIM(Table1[[#This Row],[Region_Clean]])</f>
        <v>EMEA</v>
      </c>
      <c r="H518" t="s">
        <v>24</v>
      </c>
      <c r="I518" t="s">
        <v>87</v>
      </c>
      <c r="J518" s="3">
        <v>2</v>
      </c>
      <c r="K518" s="3">
        <v>336.63</v>
      </c>
      <c r="L518">
        <v>485</v>
      </c>
      <c r="M518">
        <v>970</v>
      </c>
      <c r="N518">
        <v>296.74</v>
      </c>
      <c r="O518">
        <v>673.26</v>
      </c>
      <c r="P518" t="s">
        <v>26</v>
      </c>
      <c r="Q518" t="s">
        <v>65</v>
      </c>
      <c r="R518" t="s">
        <v>48</v>
      </c>
      <c r="S518" t="str">
        <f>TRIM(PROPER(_xlfn.XLOOKUP(Table1[[#This Row],[ProductID_Clean]],Table3[ProductID],Table3[Category],"Missing Value",0)))</f>
        <v>Sensors</v>
      </c>
      <c r="T518" t="str">
        <f>_xlfn.XLOOKUP(Table1[[#This Row],[CustomerID_Check]],Table2[CustomerID],Table2[CustomerType],"Missing Value",0)</f>
        <v>Strategic</v>
      </c>
    </row>
    <row r="519" spans="1:20">
      <c r="A519" t="s">
        <v>757</v>
      </c>
      <c r="B519" s="1">
        <v>45782</v>
      </c>
      <c r="C519" t="s">
        <v>316</v>
      </c>
      <c r="D519" t="str">
        <f>UPPER(Table1[[#This Row],[ProductID_Clean]])</f>
        <v>P-SI-001</v>
      </c>
      <c r="E519" t="s">
        <v>72</v>
      </c>
      <c r="F519" t="s">
        <v>32</v>
      </c>
      <c r="G519" t="str">
        <f>TRIM(Table1[[#This Row],[Region_Clean]])</f>
        <v>LATIN AMERICA</v>
      </c>
      <c r="H519" t="s">
        <v>24</v>
      </c>
      <c r="I519" t="s">
        <v>184</v>
      </c>
      <c r="J519" s="3">
        <v>1</v>
      </c>
      <c r="K519" s="3">
        <v>380.12</v>
      </c>
      <c r="L519">
        <v>485</v>
      </c>
      <c r="M519">
        <v>485</v>
      </c>
      <c r="N519">
        <v>104.88</v>
      </c>
      <c r="O519">
        <v>380.12</v>
      </c>
      <c r="P519" t="s">
        <v>26</v>
      </c>
      <c r="Q519" t="s">
        <v>35</v>
      </c>
      <c r="R519" t="s">
        <v>48</v>
      </c>
      <c r="S519" t="str">
        <f>TRIM(PROPER(_xlfn.XLOOKUP(Table1[[#This Row],[ProductID_Clean]],Table3[ProductID],Table3[Category],"Missing Value",0)))</f>
        <v>Sensors</v>
      </c>
      <c r="T519" t="str">
        <f>_xlfn.XLOOKUP(Table1[[#This Row],[CustomerID_Check]],Table2[CustomerID],Table2[CustomerType],"Missing Value",0)</f>
        <v>Key Account</v>
      </c>
    </row>
    <row r="520" spans="1:20">
      <c r="A520" t="s">
        <v>758</v>
      </c>
      <c r="B520" s="1">
        <v>45715</v>
      </c>
      <c r="C520" t="s">
        <v>759</v>
      </c>
      <c r="D520" t="str">
        <f>UPPER(Table1[[#This Row],[ProductID_Clean]])</f>
        <v>P-SI-002</v>
      </c>
      <c r="E520" t="s">
        <v>31</v>
      </c>
      <c r="F520" t="s">
        <v>32</v>
      </c>
      <c r="G520" t="str">
        <f>TRIM(Table1[[#This Row],[Region_Clean]])</f>
        <v>LATIN AMERICA</v>
      </c>
      <c r="H520" t="s">
        <v>24</v>
      </c>
      <c r="I520" t="s">
        <v>25</v>
      </c>
      <c r="J520" s="3">
        <v>2</v>
      </c>
      <c r="K520" s="3">
        <v>620.42999999999995</v>
      </c>
      <c r="L520">
        <v>725</v>
      </c>
      <c r="M520">
        <v>1450</v>
      </c>
      <c r="N520">
        <v>209.14</v>
      </c>
      <c r="O520">
        <v>1240.8599999999999</v>
      </c>
      <c r="P520" t="s">
        <v>26</v>
      </c>
      <c r="Q520" t="s">
        <v>40</v>
      </c>
      <c r="R520" t="s">
        <v>44</v>
      </c>
      <c r="S520" t="str">
        <f>TRIM(PROPER(_xlfn.XLOOKUP(Table1[[#This Row],[ProductID_Clean]],Table3[ProductID],Table3[Category],"Missing Value",0)))</f>
        <v>Sensors</v>
      </c>
      <c r="T520" t="str">
        <f>_xlfn.XLOOKUP(Table1[[#This Row],[CustomerID_Check]],Table2[CustomerID],Table2[CustomerType],"Missing Value",0)</f>
        <v>Standard</v>
      </c>
    </row>
    <row r="521" spans="1:20">
      <c r="A521" t="s">
        <v>760</v>
      </c>
      <c r="B521" s="1">
        <v>45677</v>
      </c>
      <c r="C521" t="s">
        <v>104</v>
      </c>
      <c r="D521" t="str">
        <f>UPPER(Table1[[#This Row],[ProductID_Clean]])</f>
        <v>P-SI-006</v>
      </c>
      <c r="E521" t="s">
        <v>43</v>
      </c>
      <c r="F521" t="s">
        <v>58</v>
      </c>
      <c r="G521" t="str">
        <f>TRIM(Table1[[#This Row],[Region_Clean]])</f>
        <v>APAC</v>
      </c>
      <c r="H521" t="s">
        <v>24</v>
      </c>
      <c r="I521" t="s">
        <v>34</v>
      </c>
      <c r="J521" s="3">
        <v>5</v>
      </c>
      <c r="K521" s="3">
        <v>167.46</v>
      </c>
      <c r="L521">
        <v>215</v>
      </c>
      <c r="M521">
        <v>1075</v>
      </c>
      <c r="N521">
        <v>237.7</v>
      </c>
      <c r="O521">
        <v>837.3</v>
      </c>
      <c r="P521" t="s">
        <v>26</v>
      </c>
      <c r="Q521" t="s">
        <v>35</v>
      </c>
      <c r="R521" t="s">
        <v>36</v>
      </c>
      <c r="S521" t="str">
        <f>TRIM(PROPER(_xlfn.XLOOKUP(Table1[[#This Row],[ProductID_Clean]],Table3[ProductID],Table3[Category],"Missing Value",0)))</f>
        <v>Sensors</v>
      </c>
      <c r="T521" t="str">
        <f>_xlfn.XLOOKUP(Table1[[#This Row],[CustomerID_Check]],Table2[CustomerID],Table2[CustomerType],"Missing Value",0)</f>
        <v>Standard</v>
      </c>
    </row>
    <row r="522" spans="1:20">
      <c r="A522" t="s">
        <v>761</v>
      </c>
      <c r="B522" s="1">
        <v>45710</v>
      </c>
      <c r="C522" t="s">
        <v>61</v>
      </c>
      <c r="D522" t="str">
        <f>UPPER(Table1[[#This Row],[ProductID_Clean]])</f>
        <v>P-SI-006</v>
      </c>
      <c r="E522" t="s">
        <v>43</v>
      </c>
      <c r="F522" t="s">
        <v>47</v>
      </c>
      <c r="G522" t="str">
        <f>TRIM(Table1[[#This Row],[Region_Clean]])</f>
        <v>EMEA</v>
      </c>
      <c r="H522" t="s">
        <v>24</v>
      </c>
      <c r="I522" t="s">
        <v>25</v>
      </c>
      <c r="J522" s="3">
        <v>1</v>
      </c>
      <c r="K522" s="3">
        <v>168.47</v>
      </c>
      <c r="L522">
        <v>215</v>
      </c>
      <c r="M522">
        <v>215</v>
      </c>
      <c r="N522">
        <v>46.53</v>
      </c>
      <c r="O522">
        <v>168.47</v>
      </c>
      <c r="P522" t="s">
        <v>26</v>
      </c>
      <c r="Q522" t="s">
        <v>27</v>
      </c>
      <c r="R522" t="s">
        <v>48</v>
      </c>
      <c r="S522" t="str">
        <f>TRIM(PROPER(_xlfn.XLOOKUP(Table1[[#This Row],[ProductID_Clean]],Table3[ProductID],Table3[Category],"Missing Value",0)))</f>
        <v>Sensors</v>
      </c>
      <c r="T522" t="str">
        <f>_xlfn.XLOOKUP(Table1[[#This Row],[CustomerID_Check]],Table2[CustomerID],Table2[CustomerType],"Missing Value",0)</f>
        <v>Strategic</v>
      </c>
    </row>
    <row r="523" spans="1:20">
      <c r="A523" t="s">
        <v>762</v>
      </c>
      <c r="B523" s="1">
        <v>45792</v>
      </c>
      <c r="C523" t="s">
        <v>112</v>
      </c>
      <c r="D523" t="str">
        <f>UPPER(Table1[[#This Row],[ProductID_Clean]])</f>
        <v>P-FS-001</v>
      </c>
      <c r="E523" t="s">
        <v>133</v>
      </c>
      <c r="F523" t="s">
        <v>58</v>
      </c>
      <c r="G523" t="str">
        <f>TRIM(Table1[[#This Row],[Region_Clean]])</f>
        <v>APAC</v>
      </c>
      <c r="H523" t="s">
        <v>82</v>
      </c>
      <c r="I523" t="s">
        <v>25</v>
      </c>
      <c r="J523" s="3">
        <v>1</v>
      </c>
      <c r="K523" s="3">
        <v>1525.69</v>
      </c>
      <c r="L523">
        <v>1850</v>
      </c>
      <c r="M523">
        <v>1850</v>
      </c>
      <c r="N523">
        <v>324.31</v>
      </c>
      <c r="O523">
        <v>1525.69</v>
      </c>
      <c r="P523" t="s">
        <v>26</v>
      </c>
      <c r="Q523" t="s">
        <v>35</v>
      </c>
      <c r="R523" t="s">
        <v>36</v>
      </c>
      <c r="S523" t="str">
        <f>TRIM(PROPER(_xlfn.XLOOKUP(Table1[[#This Row],[ProductID_Clean]],Table3[ProductID],Table3[Category],"Missing Value",0)))</f>
        <v>Services</v>
      </c>
      <c r="T523" t="str">
        <f>_xlfn.XLOOKUP(Table1[[#This Row],[CustomerID_Check]],Table2[CustomerID],Table2[CustomerType],"Missing Value",0)</f>
        <v>Key Account</v>
      </c>
    </row>
    <row r="524" spans="1:20">
      <c r="A524" t="s">
        <v>763</v>
      </c>
      <c r="B524" s="1">
        <v>45827</v>
      </c>
      <c r="C524" t="s">
        <v>764</v>
      </c>
      <c r="D524" t="str">
        <f>UPPER(Table1[[#This Row],[ProductID_Clean]])</f>
        <v>P-SI-006</v>
      </c>
      <c r="E524" t="s">
        <v>43</v>
      </c>
      <c r="F524" t="s">
        <v>32</v>
      </c>
      <c r="G524" t="str">
        <f>TRIM(Table1[[#This Row],[Region_Clean]])</f>
        <v>LATIN AMERICA</v>
      </c>
      <c r="H524" t="s">
        <v>24</v>
      </c>
      <c r="I524" t="s">
        <v>87</v>
      </c>
      <c r="J524" s="3">
        <v>4</v>
      </c>
      <c r="K524" s="3">
        <v>161.15</v>
      </c>
      <c r="L524">
        <v>215</v>
      </c>
      <c r="M524">
        <v>860</v>
      </c>
      <c r="N524">
        <v>215.4</v>
      </c>
      <c r="O524">
        <v>644.6</v>
      </c>
      <c r="P524" t="s">
        <v>26</v>
      </c>
      <c r="Q524" t="s">
        <v>35</v>
      </c>
      <c r="R524" t="s">
        <v>36</v>
      </c>
      <c r="S524" t="str">
        <f>TRIM(PROPER(_xlfn.XLOOKUP(Table1[[#This Row],[ProductID_Clean]],Table3[ProductID],Table3[Category],"Missing Value",0)))</f>
        <v>Sensors</v>
      </c>
      <c r="T524" t="str">
        <f>_xlfn.XLOOKUP(Table1[[#This Row],[CustomerID_Check]],Table2[CustomerID],Table2[CustomerType],"Missing Value",0)</f>
        <v>Emerging</v>
      </c>
    </row>
    <row r="525" spans="1:20">
      <c r="A525" t="s">
        <v>765</v>
      </c>
      <c r="B525" s="1">
        <v>45831</v>
      </c>
      <c r="C525" t="s">
        <v>130</v>
      </c>
      <c r="D525" t="str">
        <f>UPPER(Table1[[#This Row],[ProductID_Clean]])</f>
        <v>P-SA-001</v>
      </c>
      <c r="E525" t="s">
        <v>68</v>
      </c>
      <c r="F525" t="s">
        <v>58</v>
      </c>
      <c r="G525" t="str">
        <f>TRIM(Table1[[#This Row],[Region_Clean]])</f>
        <v>APAC</v>
      </c>
      <c r="H525" t="s">
        <v>53</v>
      </c>
      <c r="I525" t="s">
        <v>25</v>
      </c>
      <c r="J525" s="3">
        <v>1</v>
      </c>
      <c r="K525" s="3">
        <v>3568.5</v>
      </c>
      <c r="L525">
        <v>4200</v>
      </c>
      <c r="M525">
        <v>4200</v>
      </c>
      <c r="N525">
        <v>631.5</v>
      </c>
      <c r="O525">
        <v>3568.5</v>
      </c>
      <c r="P525" t="s">
        <v>26</v>
      </c>
      <c r="Q525" t="s">
        <v>54</v>
      </c>
      <c r="R525" t="s">
        <v>48</v>
      </c>
      <c r="S525" t="str">
        <f>TRIM(PROPER(_xlfn.XLOOKUP(Table1[[#This Row],[ProductID_Clean]],Table3[ProductID],Table3[Category],"Missing Value",0)))</f>
        <v>Software</v>
      </c>
      <c r="T525" t="str">
        <f>_xlfn.XLOOKUP(Table1[[#This Row],[CustomerID_Check]],Table2[CustomerID],Table2[CustomerType],"Missing Value",0)</f>
        <v>Standard</v>
      </c>
    </row>
    <row r="526" spans="1:20">
      <c r="A526" t="s">
        <v>766</v>
      </c>
      <c r="B526" s="1">
        <v>45810</v>
      </c>
      <c r="C526" t="s">
        <v>135</v>
      </c>
      <c r="D526" t="str">
        <f>UPPER(Table1[[#This Row],[ProductID_Clean]])</f>
        <v>P-SI-007</v>
      </c>
      <c r="E526" t="s">
        <v>97</v>
      </c>
      <c r="F526" t="s">
        <v>58</v>
      </c>
      <c r="G526" t="str">
        <f>TRIM(Table1[[#This Row],[Region_Clean]])</f>
        <v>APAC</v>
      </c>
      <c r="H526" t="s">
        <v>24</v>
      </c>
      <c r="I526" t="s">
        <v>87</v>
      </c>
      <c r="J526" s="3">
        <v>3</v>
      </c>
      <c r="K526" s="3">
        <v>639.20000000000005</v>
      </c>
      <c r="L526">
        <v>980</v>
      </c>
      <c r="M526">
        <v>2940</v>
      </c>
      <c r="N526">
        <v>1022.4</v>
      </c>
      <c r="O526">
        <v>1917.6</v>
      </c>
      <c r="P526" t="s">
        <v>26</v>
      </c>
      <c r="Q526" t="s">
        <v>35</v>
      </c>
      <c r="R526" t="s">
        <v>28</v>
      </c>
      <c r="S526" t="str">
        <f>TRIM(PROPER(_xlfn.XLOOKUP(Table1[[#This Row],[ProductID_Clean]],Table3[ProductID],Table3[Category],"Missing Value",0)))</f>
        <v>Sensors</v>
      </c>
      <c r="T526" t="str">
        <f>_xlfn.XLOOKUP(Table1[[#This Row],[CustomerID_Check]],Table2[CustomerID],Table2[CustomerType],"Missing Value",0)</f>
        <v>Strategic</v>
      </c>
    </row>
    <row r="527" spans="1:20">
      <c r="A527" t="s">
        <v>767</v>
      </c>
      <c r="B527" s="1">
        <v>45697</v>
      </c>
      <c r="C527" t="s">
        <v>479</v>
      </c>
      <c r="D527" t="str">
        <f>UPPER(Table1[[#This Row],[ProductID_Clean]])</f>
        <v>P-SI-003</v>
      </c>
      <c r="E527" t="s">
        <v>39</v>
      </c>
      <c r="F527" t="s">
        <v>32</v>
      </c>
      <c r="G527" t="str">
        <f>TRIM(Table1[[#This Row],[Region_Clean]])</f>
        <v>LATIN AMERICA</v>
      </c>
      <c r="H527" t="s">
        <v>24</v>
      </c>
      <c r="I527" t="s">
        <v>34</v>
      </c>
      <c r="J527" s="3">
        <v>10</v>
      </c>
      <c r="K527" s="3">
        <v>1644.52</v>
      </c>
      <c r="L527">
        <v>1890</v>
      </c>
      <c r="M527">
        <v>18900</v>
      </c>
      <c r="N527">
        <v>2454.8000000000002</v>
      </c>
      <c r="O527">
        <v>16445.2</v>
      </c>
      <c r="P527" t="s">
        <v>26</v>
      </c>
      <c r="Q527" t="s">
        <v>35</v>
      </c>
      <c r="R527" t="s">
        <v>36</v>
      </c>
      <c r="S527" t="str">
        <f>TRIM(PROPER(_xlfn.XLOOKUP(Table1[[#This Row],[ProductID_Clean]],Table3[ProductID],Table3[Category],"Missing Value",0)))</f>
        <v>Instruments</v>
      </c>
      <c r="T527" t="str">
        <f>_xlfn.XLOOKUP(Table1[[#This Row],[CustomerID_Check]],Table2[CustomerID],Table2[CustomerType],"Missing Value",0)</f>
        <v>Emerging</v>
      </c>
    </row>
    <row r="528" spans="1:20">
      <c r="A528" t="s">
        <v>768</v>
      </c>
      <c r="B528" s="1">
        <v>45704</v>
      </c>
      <c r="C528" t="s">
        <v>197</v>
      </c>
      <c r="D528" t="str">
        <f>UPPER(Table1[[#This Row],[ProductID_Clean]])</f>
        <v>P-SA-001</v>
      </c>
      <c r="E528" t="s">
        <v>68</v>
      </c>
      <c r="F528" t="s">
        <v>58</v>
      </c>
      <c r="G528" t="str">
        <f>TRIM(Table1[[#This Row],[Region_Clean]])</f>
        <v>APAC</v>
      </c>
      <c r="H528" t="s">
        <v>53</v>
      </c>
      <c r="I528" t="s">
        <v>25</v>
      </c>
      <c r="J528" s="3">
        <v>1</v>
      </c>
      <c r="K528" s="3">
        <v>3268.78</v>
      </c>
      <c r="L528">
        <v>4200</v>
      </c>
      <c r="M528">
        <v>4200</v>
      </c>
      <c r="N528">
        <v>931.22</v>
      </c>
      <c r="O528">
        <v>3268.78</v>
      </c>
      <c r="P528" t="s">
        <v>26</v>
      </c>
      <c r="Q528" t="s">
        <v>88</v>
      </c>
      <c r="R528" t="s">
        <v>28</v>
      </c>
      <c r="S528" t="str">
        <f>TRIM(PROPER(_xlfn.XLOOKUP(Table1[[#This Row],[ProductID_Clean]],Table3[ProductID],Table3[Category],"Missing Value",0)))</f>
        <v>Software</v>
      </c>
      <c r="T528" t="str">
        <f>_xlfn.XLOOKUP(Table1[[#This Row],[CustomerID_Check]],Table2[CustomerID],Table2[CustomerType],"Missing Value",0)</f>
        <v>Strategic</v>
      </c>
    </row>
    <row r="529" spans="1:20">
      <c r="A529" t="s">
        <v>769</v>
      </c>
      <c r="B529" s="1">
        <v>45817</v>
      </c>
      <c r="C529" t="s">
        <v>125</v>
      </c>
      <c r="D529" t="str">
        <f>UPPER(Table1[[#This Row],[ProductID_Clean]])</f>
        <v>P-SI-007</v>
      </c>
      <c r="E529" t="s">
        <v>97</v>
      </c>
      <c r="F529" t="s">
        <v>198</v>
      </c>
      <c r="G529" t="str">
        <f>TRIM(Table1[[#This Row],[Region_Clean]])</f>
        <v>APAC</v>
      </c>
      <c r="H529" t="s">
        <v>24</v>
      </c>
      <c r="I529" t="s">
        <v>87</v>
      </c>
      <c r="J529" s="3">
        <v>1</v>
      </c>
      <c r="K529" s="3">
        <v>633.83000000000004</v>
      </c>
      <c r="L529">
        <v>980</v>
      </c>
      <c r="M529">
        <v>980</v>
      </c>
      <c r="N529">
        <v>346.17</v>
      </c>
      <c r="O529">
        <v>633.83000000000004</v>
      </c>
      <c r="P529" t="s">
        <v>26</v>
      </c>
      <c r="Q529" t="s">
        <v>65</v>
      </c>
      <c r="R529" t="s">
        <v>36</v>
      </c>
      <c r="S529" t="str">
        <f>TRIM(PROPER(_xlfn.XLOOKUP(Table1[[#This Row],[ProductID_Clean]],Table3[ProductID],Table3[Category],"Missing Value",0)))</f>
        <v>Sensors</v>
      </c>
      <c r="T529" t="str">
        <f>_xlfn.XLOOKUP(Table1[[#This Row],[CustomerID_Check]],Table2[CustomerID],Table2[CustomerType],"Missing Value",0)</f>
        <v>Strategic</v>
      </c>
    </row>
    <row r="530" spans="1:20">
      <c r="A530" t="s">
        <v>770</v>
      </c>
      <c r="B530" s="1">
        <v>45770</v>
      </c>
      <c r="C530" t="s">
        <v>225</v>
      </c>
      <c r="D530" t="str">
        <f>UPPER(Table1[[#This Row],[ProductID_Clean]])</f>
        <v>P-SI-003</v>
      </c>
      <c r="E530" t="s">
        <v>39</v>
      </c>
      <c r="F530" t="s">
        <v>23</v>
      </c>
      <c r="G530" t="str">
        <f>TRIM(Table1[[#This Row],[Region_Clean]])</f>
        <v>N. AMERICA</v>
      </c>
      <c r="H530" t="s">
        <v>24</v>
      </c>
      <c r="I530" t="s">
        <v>87</v>
      </c>
      <c r="J530" s="3">
        <v>4</v>
      </c>
      <c r="K530" s="3">
        <v>1496</v>
      </c>
      <c r="L530">
        <v>1890</v>
      </c>
      <c r="M530">
        <v>7560</v>
      </c>
      <c r="N530">
        <v>1576</v>
      </c>
      <c r="O530">
        <v>5984</v>
      </c>
      <c r="P530" t="s">
        <v>26</v>
      </c>
      <c r="Q530" t="s">
        <v>35</v>
      </c>
      <c r="R530" t="s">
        <v>36</v>
      </c>
      <c r="S530" t="str">
        <f>TRIM(PROPER(_xlfn.XLOOKUP(Table1[[#This Row],[ProductID_Clean]],Table3[ProductID],Table3[Category],"Missing Value",0)))</f>
        <v>Instruments</v>
      </c>
      <c r="T530" t="str">
        <f>_xlfn.XLOOKUP(Table1[[#This Row],[CustomerID_Check]],Table2[CustomerID],Table2[CustomerType],"Missing Value",0)</f>
        <v>Key Account</v>
      </c>
    </row>
    <row r="531" spans="1:20">
      <c r="A531" t="s">
        <v>771</v>
      </c>
      <c r="B531" s="1">
        <v>45763</v>
      </c>
      <c r="C531" t="s">
        <v>61</v>
      </c>
      <c r="D531" t="str">
        <f>UPPER(Table1[[#This Row],[ProductID_Clean]])</f>
        <v>P-FS-006</v>
      </c>
      <c r="E531" t="s">
        <v>92</v>
      </c>
      <c r="F531" t="s">
        <v>47</v>
      </c>
      <c r="G531" t="str">
        <f>TRIM(Table1[[#This Row],[Region_Clean]])</f>
        <v>EMEA</v>
      </c>
      <c r="H531" t="s">
        <v>82</v>
      </c>
      <c r="I531" t="s">
        <v>87</v>
      </c>
      <c r="J531" s="3">
        <v>1</v>
      </c>
      <c r="K531" s="3">
        <v>1079.8599999999999</v>
      </c>
      <c r="L531">
        <v>1450</v>
      </c>
      <c r="M531">
        <v>1450</v>
      </c>
      <c r="N531">
        <v>370.14</v>
      </c>
      <c r="O531">
        <v>1079.8599999999999</v>
      </c>
      <c r="P531" t="s">
        <v>26</v>
      </c>
      <c r="Q531" t="s">
        <v>35</v>
      </c>
      <c r="R531" t="s">
        <v>48</v>
      </c>
      <c r="S531" t="str">
        <f>TRIM(PROPER(_xlfn.XLOOKUP(Table1[[#This Row],[ProductID_Clean]],Table3[ProductID],Table3[Category],"Missing Value",0)))</f>
        <v>Services</v>
      </c>
      <c r="T531" t="str">
        <f>_xlfn.XLOOKUP(Table1[[#This Row],[CustomerID_Check]],Table2[CustomerID],Table2[CustomerType],"Missing Value",0)</f>
        <v>Strategic</v>
      </c>
    </row>
    <row r="532" spans="1:20">
      <c r="A532" t="s">
        <v>772</v>
      </c>
      <c r="B532" s="1">
        <v>45831</v>
      </c>
      <c r="C532" t="s">
        <v>773</v>
      </c>
      <c r="D532" t="str">
        <f>UPPER(Table1[[#This Row],[ProductID_Clean]])</f>
        <v>P-SI-001</v>
      </c>
      <c r="E532" t="s">
        <v>72</v>
      </c>
      <c r="F532" t="s">
        <v>23</v>
      </c>
      <c r="G532" t="str">
        <f>TRIM(Table1[[#This Row],[Region_Clean]])</f>
        <v>N. AMERICA</v>
      </c>
      <c r="H532" t="s">
        <v>24</v>
      </c>
      <c r="I532" t="s">
        <v>25</v>
      </c>
      <c r="J532" s="3">
        <v>8</v>
      </c>
      <c r="K532" s="3">
        <v>444.64</v>
      </c>
      <c r="L532">
        <v>485</v>
      </c>
      <c r="M532">
        <v>3880</v>
      </c>
      <c r="N532">
        <v>322.88</v>
      </c>
      <c r="O532">
        <v>3557.12</v>
      </c>
      <c r="P532" t="s">
        <v>26</v>
      </c>
      <c r="Q532" t="s">
        <v>35</v>
      </c>
      <c r="R532" t="s">
        <v>36</v>
      </c>
      <c r="S532" t="str">
        <f>TRIM(PROPER(_xlfn.XLOOKUP(Table1[[#This Row],[ProductID_Clean]],Table3[ProductID],Table3[Category],"Missing Value",0)))</f>
        <v>Sensors</v>
      </c>
      <c r="T532" t="str">
        <f>_xlfn.XLOOKUP(Table1[[#This Row],[CustomerID_Check]],Table2[CustomerID],Table2[CustomerType],"Missing Value",0)</f>
        <v>Standard</v>
      </c>
    </row>
    <row r="533" spans="1:20">
      <c r="A533" t="s">
        <v>774</v>
      </c>
      <c r="B533" s="1">
        <v>45718</v>
      </c>
      <c r="C533" t="s">
        <v>110</v>
      </c>
      <c r="D533" t="str">
        <f>UPPER(Table1[[#This Row],[ProductID_Clean]])</f>
        <v>P-SI-002</v>
      </c>
      <c r="E533" t="s">
        <v>31</v>
      </c>
      <c r="F533" t="s">
        <v>23</v>
      </c>
      <c r="G533" t="str">
        <f>TRIM(Table1[[#This Row],[Region_Clean]])</f>
        <v>N. AMERICA</v>
      </c>
      <c r="H533" t="s">
        <v>24</v>
      </c>
      <c r="I533" t="s">
        <v>87</v>
      </c>
      <c r="J533" s="3">
        <v>1</v>
      </c>
      <c r="K533" s="3">
        <v>643.79</v>
      </c>
      <c r="L533">
        <v>725</v>
      </c>
      <c r="M533">
        <v>725</v>
      </c>
      <c r="N533">
        <v>81.209999999999994</v>
      </c>
      <c r="O533">
        <v>643.79</v>
      </c>
      <c r="P533" t="s">
        <v>26</v>
      </c>
      <c r="Q533" t="s">
        <v>35</v>
      </c>
      <c r="R533" t="s">
        <v>59</v>
      </c>
      <c r="S533" t="str">
        <f>TRIM(PROPER(_xlfn.XLOOKUP(Table1[[#This Row],[ProductID_Clean]],Table3[ProductID],Table3[Category],"Missing Value",0)))</f>
        <v>Sensors</v>
      </c>
      <c r="T533" t="str">
        <f>_xlfn.XLOOKUP(Table1[[#This Row],[CustomerID_Check]],Table2[CustomerID],Table2[CustomerType],"Missing Value",0)</f>
        <v>Standard</v>
      </c>
    </row>
    <row r="534" spans="1:20">
      <c r="A534" t="s">
        <v>775</v>
      </c>
      <c r="B534" s="1">
        <v>45772</v>
      </c>
      <c r="C534" t="s">
        <v>496</v>
      </c>
      <c r="D534" t="str">
        <f>UPPER(Table1[[#This Row],[ProductID_Clean]])</f>
        <v>P-SI-001</v>
      </c>
      <c r="E534" t="s">
        <v>72</v>
      </c>
      <c r="F534" t="s">
        <v>47</v>
      </c>
      <c r="G534" t="str">
        <f>TRIM(Table1[[#This Row],[Region_Clean]])</f>
        <v>EMEA</v>
      </c>
      <c r="H534" t="s">
        <v>24</v>
      </c>
      <c r="I534" t="s">
        <v>87</v>
      </c>
      <c r="J534" s="3">
        <v>10</v>
      </c>
      <c r="K534" s="3">
        <v>394.4</v>
      </c>
      <c r="L534">
        <v>485</v>
      </c>
      <c r="M534">
        <v>4850</v>
      </c>
      <c r="N534">
        <v>906</v>
      </c>
      <c r="O534">
        <v>3944</v>
      </c>
      <c r="P534" t="s">
        <v>26</v>
      </c>
      <c r="Q534" t="s">
        <v>65</v>
      </c>
      <c r="R534" t="s">
        <v>36</v>
      </c>
      <c r="S534" t="str">
        <f>TRIM(PROPER(_xlfn.XLOOKUP(Table1[[#This Row],[ProductID_Clean]],Table3[ProductID],Table3[Category],"Missing Value",0)))</f>
        <v>Sensors</v>
      </c>
      <c r="T534" t="str">
        <f>_xlfn.XLOOKUP(Table1[[#This Row],[CustomerID_Check]],Table2[CustomerID],Table2[CustomerType],"Missing Value",0)</f>
        <v>Key Account</v>
      </c>
    </row>
    <row r="535" spans="1:20">
      <c r="A535" t="s">
        <v>776</v>
      </c>
      <c r="B535" s="1">
        <v>45794</v>
      </c>
      <c r="C535" t="s">
        <v>387</v>
      </c>
      <c r="D535" t="str">
        <f>UPPER(Table1[[#This Row],[ProductID_Clean]])</f>
        <v>P-SI-001</v>
      </c>
      <c r="E535" t="s">
        <v>72</v>
      </c>
      <c r="F535" t="s">
        <v>23</v>
      </c>
      <c r="G535" t="str">
        <f>TRIM(Table1[[#This Row],[Region_Clean]])</f>
        <v>N. AMERICA</v>
      </c>
      <c r="H535" t="s">
        <v>24</v>
      </c>
      <c r="I535" t="s">
        <v>87</v>
      </c>
      <c r="J535" s="3">
        <v>1</v>
      </c>
      <c r="K535" s="3">
        <v>385.77</v>
      </c>
      <c r="L535">
        <v>485</v>
      </c>
      <c r="M535">
        <v>485</v>
      </c>
      <c r="N535">
        <v>99.23</v>
      </c>
      <c r="O535">
        <v>385.77</v>
      </c>
      <c r="P535" t="s">
        <v>26</v>
      </c>
      <c r="Q535" t="s">
        <v>65</v>
      </c>
      <c r="R535" t="s">
        <v>44</v>
      </c>
      <c r="S535" t="str">
        <f>TRIM(PROPER(_xlfn.XLOOKUP(Table1[[#This Row],[ProductID_Clean]],Table3[ProductID],Table3[Category],"Missing Value",0)))</f>
        <v>Sensors</v>
      </c>
      <c r="T535" t="str">
        <f>_xlfn.XLOOKUP(Table1[[#This Row],[CustomerID_Check]],Table2[CustomerID],Table2[CustomerType],"Missing Value",0)</f>
        <v>Standard</v>
      </c>
    </row>
    <row r="536" spans="1:20">
      <c r="A536" t="s">
        <v>777</v>
      </c>
      <c r="B536" s="1">
        <v>45737</v>
      </c>
      <c r="C536" t="s">
        <v>276</v>
      </c>
      <c r="D536" t="str">
        <f>UPPER(Table1[[#This Row],[ProductID_Clean]])</f>
        <v>P-SI-001</v>
      </c>
      <c r="E536" t="s">
        <v>72</v>
      </c>
      <c r="F536" t="s">
        <v>58</v>
      </c>
      <c r="G536" t="str">
        <f>TRIM(Table1[[#This Row],[Region_Clean]])</f>
        <v>APAC</v>
      </c>
      <c r="H536" t="s">
        <v>24</v>
      </c>
      <c r="I536" t="s">
        <v>87</v>
      </c>
      <c r="J536" s="3">
        <v>3</v>
      </c>
      <c r="K536" s="3">
        <v>353.86</v>
      </c>
      <c r="L536">
        <v>485</v>
      </c>
      <c r="M536">
        <v>1455</v>
      </c>
      <c r="N536">
        <v>393.42</v>
      </c>
      <c r="O536">
        <v>1061.58</v>
      </c>
      <c r="P536" t="s">
        <v>26</v>
      </c>
      <c r="Q536" t="s">
        <v>35</v>
      </c>
      <c r="R536" t="s">
        <v>59</v>
      </c>
      <c r="S536" t="str">
        <f>TRIM(PROPER(_xlfn.XLOOKUP(Table1[[#This Row],[ProductID_Clean]],Table3[ProductID],Table3[Category],"Missing Value",0)))</f>
        <v>Sensors</v>
      </c>
      <c r="T536" t="str">
        <f>_xlfn.XLOOKUP(Table1[[#This Row],[CustomerID_Check]],Table2[CustomerID],Table2[CustomerType],"Missing Value",0)</f>
        <v>Key Account</v>
      </c>
    </row>
    <row r="537" spans="1:20">
      <c r="A537" t="s">
        <v>778</v>
      </c>
      <c r="B537" s="1">
        <v>45707</v>
      </c>
      <c r="C537" t="s">
        <v>323</v>
      </c>
      <c r="D537" t="str">
        <f>UPPER(Table1[[#This Row],[ProductID_Clean]])</f>
        <v>P-SA-002</v>
      </c>
      <c r="E537" t="s">
        <v>147</v>
      </c>
      <c r="F537" t="s">
        <v>23</v>
      </c>
      <c r="G537" t="str">
        <f>TRIM(Table1[[#This Row],[Region_Clean]])</f>
        <v>N. AMERICA</v>
      </c>
      <c r="H537" t="s">
        <v>53</v>
      </c>
      <c r="I537" t="s">
        <v>25</v>
      </c>
      <c r="J537" s="3">
        <v>1</v>
      </c>
      <c r="K537" s="3">
        <v>8440.1</v>
      </c>
      <c r="L537">
        <v>9800</v>
      </c>
      <c r="M537">
        <v>9800</v>
      </c>
      <c r="N537">
        <v>1359.9</v>
      </c>
      <c r="O537">
        <v>8440.1</v>
      </c>
      <c r="P537" t="s">
        <v>26</v>
      </c>
      <c r="Q537" t="s">
        <v>189</v>
      </c>
      <c r="R537" t="s">
        <v>59</v>
      </c>
      <c r="S537" t="str">
        <f>TRIM(PROPER(_xlfn.XLOOKUP(Table1[[#This Row],[ProductID_Clean]],Table3[ProductID],Table3[Category],"Missing Value",0)))</f>
        <v>Software</v>
      </c>
      <c r="T537" t="str">
        <f>_xlfn.XLOOKUP(Table1[[#This Row],[CustomerID_Check]],Table2[CustomerID],Table2[CustomerType],"Missing Value",0)</f>
        <v>Key Account</v>
      </c>
    </row>
    <row r="538" spans="1:20">
      <c r="A538" t="s">
        <v>779</v>
      </c>
      <c r="B538" s="1">
        <v>45831</v>
      </c>
      <c r="C538" t="s">
        <v>780</v>
      </c>
      <c r="D538" t="str">
        <f>UPPER(Table1[[#This Row],[ProductID_Clean]])</f>
        <v>P-SA-001</v>
      </c>
      <c r="E538" t="s">
        <v>68</v>
      </c>
      <c r="F538" t="s">
        <v>32</v>
      </c>
      <c r="G538" t="str">
        <f>TRIM(Table1[[#This Row],[Region_Clean]])</f>
        <v>LATIN AMERICA</v>
      </c>
      <c r="H538" t="s">
        <v>53</v>
      </c>
      <c r="I538" t="s">
        <v>25</v>
      </c>
      <c r="J538" s="3">
        <v>1</v>
      </c>
      <c r="K538" s="3">
        <v>3793.43</v>
      </c>
      <c r="L538">
        <v>4200</v>
      </c>
      <c r="M538">
        <v>4200</v>
      </c>
      <c r="N538">
        <v>406.57</v>
      </c>
      <c r="O538">
        <v>3793.43</v>
      </c>
      <c r="P538" t="s">
        <v>26</v>
      </c>
      <c r="Q538" t="s">
        <v>54</v>
      </c>
      <c r="R538" t="s">
        <v>59</v>
      </c>
      <c r="S538" t="str">
        <f>TRIM(PROPER(_xlfn.XLOOKUP(Table1[[#This Row],[ProductID_Clean]],Table3[ProductID],Table3[Category],"Missing Value",0)))</f>
        <v>Software</v>
      </c>
      <c r="T538" t="str">
        <f>_xlfn.XLOOKUP(Table1[[#This Row],[CustomerID_Check]],Table2[CustomerID],Table2[CustomerType],"Missing Value",0)</f>
        <v>Standard</v>
      </c>
    </row>
    <row r="539" spans="1:20" hidden="1">
      <c r="A539" t="s">
        <v>781</v>
      </c>
      <c r="B539" s="1">
        <v>45770</v>
      </c>
      <c r="C539" t="s">
        <v>754</v>
      </c>
      <c r="D539" t="str">
        <f>UPPER(Table1[[#This Row],[ProductID_Clean]])</f>
        <v>INVALID ID</v>
      </c>
      <c r="E539" t="s">
        <v>76</v>
      </c>
      <c r="F539" t="s">
        <v>23</v>
      </c>
      <c r="G539" t="str">
        <f>TRIM(Table1[[#This Row],[Region_Clean]])</f>
        <v>N. AMERICA</v>
      </c>
      <c r="H539" t="s">
        <v>82</v>
      </c>
      <c r="I539" t="s">
        <v>87</v>
      </c>
      <c r="J539" s="3">
        <v>1</v>
      </c>
      <c r="K539" s="3">
        <v>1313.74</v>
      </c>
      <c r="L539">
        <v>1450</v>
      </c>
      <c r="M539">
        <v>1450</v>
      </c>
      <c r="N539">
        <v>136.26</v>
      </c>
      <c r="O539">
        <v>1313.74</v>
      </c>
      <c r="P539" t="s">
        <v>26</v>
      </c>
      <c r="Q539" t="s">
        <v>35</v>
      </c>
      <c r="R539" t="s">
        <v>59</v>
      </c>
      <c r="S539" t="str">
        <f>TRIM(PROPER(_xlfn.XLOOKUP(Table1[[#This Row],[ProductID_Clean]],Table3[ProductID],Table3[Category],"Missing Value",0)))</f>
        <v>Missing Value</v>
      </c>
      <c r="T539" t="str">
        <f>_xlfn.XLOOKUP(Table1[[#This Row],[CustomerID_Check]],Table2[CustomerID],Table2[CustomerType],"Missing Value",0)</f>
        <v>Standard</v>
      </c>
    </row>
    <row r="540" spans="1:20">
      <c r="A540" t="s">
        <v>782</v>
      </c>
      <c r="B540" s="1">
        <v>45709</v>
      </c>
      <c r="C540" t="s">
        <v>431</v>
      </c>
      <c r="D540" t="str">
        <f>UPPER(Table1[[#This Row],[ProductID_Clean]])</f>
        <v>P-SA-005</v>
      </c>
      <c r="E540" t="s">
        <v>62</v>
      </c>
      <c r="F540" t="s">
        <v>23</v>
      </c>
      <c r="G540" t="str">
        <f>TRIM(Table1[[#This Row],[Region_Clean]])</f>
        <v>N. AMERICA</v>
      </c>
      <c r="H540" t="s">
        <v>53</v>
      </c>
      <c r="I540" t="s">
        <v>34</v>
      </c>
      <c r="J540" s="3">
        <v>3</v>
      </c>
      <c r="K540" s="3">
        <v>2746.29</v>
      </c>
      <c r="L540">
        <v>3200</v>
      </c>
      <c r="M540">
        <v>9600</v>
      </c>
      <c r="N540">
        <v>1361.13</v>
      </c>
      <c r="O540">
        <v>8238.8700000000008</v>
      </c>
      <c r="P540" t="s">
        <v>26</v>
      </c>
      <c r="Q540" t="s">
        <v>40</v>
      </c>
      <c r="R540" t="s">
        <v>44</v>
      </c>
      <c r="S540" t="str">
        <f>TRIM(PROPER(_xlfn.XLOOKUP(Table1[[#This Row],[ProductID_Clean]],Table3[ProductID],Table3[Category],"Missing Value",0)))</f>
        <v>Software / Integration</v>
      </c>
      <c r="T540" t="str">
        <f>_xlfn.XLOOKUP(Table1[[#This Row],[CustomerID_Check]],Table2[CustomerID],Table2[CustomerType],"Missing Value",0)</f>
        <v>Standard</v>
      </c>
    </row>
    <row r="541" spans="1:20">
      <c r="A541" t="s">
        <v>783</v>
      </c>
      <c r="B541" s="1">
        <v>45693</v>
      </c>
      <c r="C541" t="s">
        <v>314</v>
      </c>
      <c r="D541" t="str">
        <f>UPPER(Table1[[#This Row],[ProductID_Clean]])</f>
        <v>P-SI-007</v>
      </c>
      <c r="E541" t="s">
        <v>97</v>
      </c>
      <c r="F541" t="s">
        <v>23</v>
      </c>
      <c r="G541" t="str">
        <f>TRIM(Table1[[#This Row],[Region_Clean]])</f>
        <v>N. AMERICA</v>
      </c>
      <c r="H541" t="s">
        <v>24</v>
      </c>
      <c r="I541" t="s">
        <v>25</v>
      </c>
      <c r="J541" s="3">
        <v>8</v>
      </c>
      <c r="K541" s="3">
        <v>843.81</v>
      </c>
      <c r="L541">
        <v>980</v>
      </c>
      <c r="M541">
        <v>7840</v>
      </c>
      <c r="N541">
        <v>1089.52</v>
      </c>
      <c r="O541">
        <v>6750.48</v>
      </c>
      <c r="P541" t="s">
        <v>26</v>
      </c>
      <c r="Q541" t="s">
        <v>35</v>
      </c>
      <c r="R541" t="s">
        <v>44</v>
      </c>
      <c r="S541" t="str">
        <f>TRIM(PROPER(_xlfn.XLOOKUP(Table1[[#This Row],[ProductID_Clean]],Table3[ProductID],Table3[Category],"Missing Value",0)))</f>
        <v>Sensors</v>
      </c>
      <c r="T541" t="str">
        <f>_xlfn.XLOOKUP(Table1[[#This Row],[CustomerID_Check]],Table2[CustomerID],Table2[CustomerType],"Missing Value",0)</f>
        <v>Key Account</v>
      </c>
    </row>
    <row r="542" spans="1:20">
      <c r="A542" t="s">
        <v>784</v>
      </c>
      <c r="B542" s="1">
        <v>45671</v>
      </c>
      <c r="C542" t="s">
        <v>61</v>
      </c>
      <c r="D542" t="str">
        <f>UPPER(Table1[[#This Row],[ProductID_Clean]])</f>
        <v>P-SA-004</v>
      </c>
      <c r="E542" t="s">
        <v>86</v>
      </c>
      <c r="F542" t="s">
        <v>47</v>
      </c>
      <c r="G542" t="str">
        <f>TRIM(Table1[[#This Row],[Region_Clean]])</f>
        <v>EMEA</v>
      </c>
      <c r="H542" t="s">
        <v>53</v>
      </c>
      <c r="I542" t="s">
        <v>40</v>
      </c>
      <c r="J542" s="3">
        <v>1</v>
      </c>
      <c r="K542" s="3">
        <v>1425.78</v>
      </c>
      <c r="L542">
        <v>1650</v>
      </c>
      <c r="M542">
        <v>1650</v>
      </c>
      <c r="N542">
        <v>224.22</v>
      </c>
      <c r="O542">
        <v>1425.78</v>
      </c>
      <c r="P542" t="s">
        <v>26</v>
      </c>
      <c r="Q542" t="s">
        <v>88</v>
      </c>
      <c r="R542" t="s">
        <v>48</v>
      </c>
      <c r="S542" t="str">
        <f>TRIM(PROPER(_xlfn.XLOOKUP(Table1[[#This Row],[ProductID_Clean]],Table3[ProductID],Table3[Category],"Missing Value",0)))</f>
        <v>Software</v>
      </c>
      <c r="T542" t="str">
        <f>_xlfn.XLOOKUP(Table1[[#This Row],[CustomerID_Check]],Table2[CustomerID],Table2[CustomerType],"Missing Value",0)</f>
        <v>Strategic</v>
      </c>
    </row>
    <row r="543" spans="1:20">
      <c r="A543" t="s">
        <v>785</v>
      </c>
      <c r="B543" s="1">
        <v>45781</v>
      </c>
      <c r="C543" t="s">
        <v>591</v>
      </c>
      <c r="D543" t="str">
        <f>UPPER(Table1[[#This Row],[ProductID_Clean]])</f>
        <v>P-SI-006</v>
      </c>
      <c r="E543" t="s">
        <v>43</v>
      </c>
      <c r="F543" t="s">
        <v>47</v>
      </c>
      <c r="G543" t="str">
        <f>TRIM(Table1[[#This Row],[Region_Clean]])</f>
        <v>EMEA</v>
      </c>
      <c r="H543" t="s">
        <v>24</v>
      </c>
      <c r="I543" t="s">
        <v>25</v>
      </c>
      <c r="J543" s="3">
        <v>2</v>
      </c>
      <c r="K543" s="3">
        <v>191.4</v>
      </c>
      <c r="L543">
        <v>215</v>
      </c>
      <c r="M543">
        <v>430</v>
      </c>
      <c r="N543">
        <v>47.2</v>
      </c>
      <c r="O543">
        <v>382.8</v>
      </c>
      <c r="P543" t="s">
        <v>26</v>
      </c>
      <c r="Q543" t="s">
        <v>35</v>
      </c>
      <c r="R543" t="s">
        <v>44</v>
      </c>
      <c r="S543" t="str">
        <f>TRIM(PROPER(_xlfn.XLOOKUP(Table1[[#This Row],[ProductID_Clean]],Table3[ProductID],Table3[Category],"Missing Value",0)))</f>
        <v>Sensors</v>
      </c>
      <c r="T543" t="str">
        <f>_xlfn.XLOOKUP(Table1[[#This Row],[CustomerID_Check]],Table2[CustomerID],Table2[CustomerType],"Missing Value",0)</f>
        <v>Standard</v>
      </c>
    </row>
    <row r="544" spans="1:20">
      <c r="A544" t="s">
        <v>786</v>
      </c>
      <c r="B544" s="1">
        <v>45799</v>
      </c>
      <c r="C544" t="s">
        <v>190</v>
      </c>
      <c r="D544" t="str">
        <f>UPPER(Table1[[#This Row],[ProductID_Clean]])</f>
        <v>P-SI-006</v>
      </c>
      <c r="E544" t="s">
        <v>43</v>
      </c>
      <c r="F544" t="s">
        <v>47</v>
      </c>
      <c r="G544" t="str">
        <f>TRIM(Table1[[#This Row],[Region_Clean]])</f>
        <v>EMEA</v>
      </c>
      <c r="H544" t="s">
        <v>24</v>
      </c>
      <c r="I544" t="s">
        <v>25</v>
      </c>
      <c r="J544" s="3">
        <v>2</v>
      </c>
      <c r="K544" s="3">
        <v>170.56</v>
      </c>
      <c r="L544">
        <v>215</v>
      </c>
      <c r="M544">
        <v>430</v>
      </c>
      <c r="N544">
        <v>88.88</v>
      </c>
      <c r="O544">
        <v>341.12</v>
      </c>
      <c r="P544" t="s">
        <v>26</v>
      </c>
      <c r="Q544" t="s">
        <v>27</v>
      </c>
      <c r="R544" t="s">
        <v>36</v>
      </c>
      <c r="S544" t="str">
        <f>TRIM(PROPER(_xlfn.XLOOKUP(Table1[[#This Row],[ProductID_Clean]],Table3[ProductID],Table3[Category],"Missing Value",0)))</f>
        <v>Sensors</v>
      </c>
      <c r="T544" t="str">
        <f>_xlfn.XLOOKUP(Table1[[#This Row],[CustomerID_Check]],Table2[CustomerID],Table2[CustomerType],"Missing Value",0)</f>
        <v>Strategic</v>
      </c>
    </row>
    <row r="545" spans="1:20">
      <c r="A545" t="s">
        <v>787</v>
      </c>
      <c r="B545" s="1">
        <v>45790</v>
      </c>
      <c r="C545" t="s">
        <v>125</v>
      </c>
      <c r="D545" t="str">
        <f>UPPER(Table1[[#This Row],[ProductID_Clean]])</f>
        <v>P-SA-004</v>
      </c>
      <c r="E545" t="s">
        <v>86</v>
      </c>
      <c r="F545" t="s">
        <v>58</v>
      </c>
      <c r="G545" t="str">
        <f>TRIM(Table1[[#This Row],[Region_Clean]])</f>
        <v>APAC</v>
      </c>
      <c r="H545" t="s">
        <v>53</v>
      </c>
      <c r="I545" t="s">
        <v>98</v>
      </c>
      <c r="J545" s="3">
        <v>1</v>
      </c>
      <c r="K545" s="3">
        <v>1258.3699999999999</v>
      </c>
      <c r="L545">
        <v>1650</v>
      </c>
      <c r="M545">
        <v>1650</v>
      </c>
      <c r="N545">
        <v>391.63</v>
      </c>
      <c r="O545">
        <v>1258.3699999999999</v>
      </c>
      <c r="P545" t="s">
        <v>26</v>
      </c>
      <c r="Q545" t="s">
        <v>88</v>
      </c>
      <c r="R545" t="s">
        <v>36</v>
      </c>
      <c r="S545" t="str">
        <f>TRIM(PROPER(_xlfn.XLOOKUP(Table1[[#This Row],[ProductID_Clean]],Table3[ProductID],Table3[Category],"Missing Value",0)))</f>
        <v>Software</v>
      </c>
      <c r="T545" t="str">
        <f>_xlfn.XLOOKUP(Table1[[#This Row],[CustomerID_Check]],Table2[CustomerID],Table2[CustomerType],"Missing Value",0)</f>
        <v>Strategic</v>
      </c>
    </row>
    <row r="546" spans="1:20">
      <c r="A546" t="s">
        <v>788</v>
      </c>
      <c r="B546" s="1">
        <v>45730</v>
      </c>
      <c r="C546" t="s">
        <v>780</v>
      </c>
      <c r="D546" t="str">
        <f>UPPER(Table1[[#This Row],[ProductID_Clean]])</f>
        <v>P-SI-005</v>
      </c>
      <c r="E546" t="s">
        <v>57</v>
      </c>
      <c r="F546" t="s">
        <v>32</v>
      </c>
      <c r="G546" t="str">
        <f>TRIM(Table1[[#This Row],[Region_Clean]])</f>
        <v>LATIN AMERICA</v>
      </c>
      <c r="H546" t="s">
        <v>24</v>
      </c>
      <c r="I546" t="s">
        <v>34</v>
      </c>
      <c r="J546" s="3">
        <v>5</v>
      </c>
      <c r="K546" s="3">
        <v>1027.22</v>
      </c>
      <c r="L546">
        <v>1120</v>
      </c>
      <c r="M546">
        <v>5600</v>
      </c>
      <c r="N546">
        <v>463.9</v>
      </c>
      <c r="O546">
        <v>5136.1000000000004</v>
      </c>
      <c r="P546" t="s">
        <v>26</v>
      </c>
      <c r="Q546" t="s">
        <v>35</v>
      </c>
      <c r="R546" t="s">
        <v>59</v>
      </c>
      <c r="S546" t="str">
        <f>TRIM(PROPER(_xlfn.XLOOKUP(Table1[[#This Row],[ProductID_Clean]],Table3[ProductID],Table3[Category],"Missing Value",0)))</f>
        <v>Sensors</v>
      </c>
      <c r="T546" t="str">
        <f>_xlfn.XLOOKUP(Table1[[#This Row],[CustomerID_Check]],Table2[CustomerID],Table2[CustomerType],"Missing Value",0)</f>
        <v>Standard</v>
      </c>
    </row>
    <row r="547" spans="1:20">
      <c r="A547" t="s">
        <v>789</v>
      </c>
      <c r="B547" s="1">
        <v>45699</v>
      </c>
      <c r="C547" t="s">
        <v>71</v>
      </c>
      <c r="D547" t="str">
        <f>UPPER(Table1[[#This Row],[ProductID_Clean]])</f>
        <v>P-FS-006</v>
      </c>
      <c r="E547" t="s">
        <v>92</v>
      </c>
      <c r="F547" t="s">
        <v>23</v>
      </c>
      <c r="G547" t="str">
        <f>TRIM(Table1[[#This Row],[Region_Clean]])</f>
        <v>N. AMERICA</v>
      </c>
      <c r="H547" t="s">
        <v>82</v>
      </c>
      <c r="I547" t="s">
        <v>25</v>
      </c>
      <c r="J547" s="3">
        <v>1</v>
      </c>
      <c r="K547" s="3">
        <v>1232.17</v>
      </c>
      <c r="L547">
        <v>1450</v>
      </c>
      <c r="M547">
        <v>1450</v>
      </c>
      <c r="N547">
        <v>217.83</v>
      </c>
      <c r="O547">
        <v>1232.17</v>
      </c>
      <c r="P547" t="s">
        <v>26</v>
      </c>
      <c r="Q547" t="s">
        <v>27</v>
      </c>
      <c r="R547" t="s">
        <v>48</v>
      </c>
      <c r="S547" t="str">
        <f>TRIM(PROPER(_xlfn.XLOOKUP(Table1[[#This Row],[ProductID_Clean]],Table3[ProductID],Table3[Category],"Missing Value",0)))</f>
        <v>Services</v>
      </c>
      <c r="T547" t="str">
        <f>_xlfn.XLOOKUP(Table1[[#This Row],[CustomerID_Check]],Table2[CustomerID],Table2[CustomerType],"Missing Value",0)</f>
        <v>Key Account</v>
      </c>
    </row>
    <row r="548" spans="1:20">
      <c r="A548" t="s">
        <v>790</v>
      </c>
      <c r="B548" s="1">
        <v>45773</v>
      </c>
      <c r="C548" t="s">
        <v>370</v>
      </c>
      <c r="D548" t="str">
        <f>UPPER(Table1[[#This Row],[ProductID_Clean]])</f>
        <v>P-SI-004</v>
      </c>
      <c r="E548" t="s">
        <v>22</v>
      </c>
      <c r="F548" t="s">
        <v>58</v>
      </c>
      <c r="G548" t="str">
        <f>TRIM(Table1[[#This Row],[Region_Clean]])</f>
        <v>APAC</v>
      </c>
      <c r="H548" t="s">
        <v>24</v>
      </c>
      <c r="I548" t="s">
        <v>25</v>
      </c>
      <c r="J548" s="3">
        <v>4</v>
      </c>
      <c r="K548" s="3">
        <v>2437.98</v>
      </c>
      <c r="L548">
        <v>2450</v>
      </c>
      <c r="M548">
        <v>9800</v>
      </c>
      <c r="N548">
        <v>48.08</v>
      </c>
      <c r="O548">
        <v>9751.92</v>
      </c>
      <c r="P548" t="s">
        <v>26</v>
      </c>
      <c r="Q548" t="s">
        <v>27</v>
      </c>
      <c r="R548" t="s">
        <v>59</v>
      </c>
      <c r="S548" t="str">
        <f>TRIM(PROPER(_xlfn.XLOOKUP(Table1[[#This Row],[ProductID_Clean]],Table3[ProductID],Table3[Category],"Missing Value",0)))</f>
        <v>Instruments</v>
      </c>
      <c r="T548" t="str">
        <f>_xlfn.XLOOKUP(Table1[[#This Row],[CustomerID_Check]],Table2[CustomerID],Table2[CustomerType],"Missing Value",0)</f>
        <v>Standard</v>
      </c>
    </row>
    <row r="549" spans="1:20">
      <c r="A549" t="s">
        <v>791</v>
      </c>
      <c r="B549" s="1">
        <v>45769</v>
      </c>
      <c r="C549" t="s">
        <v>792</v>
      </c>
      <c r="D549" t="str">
        <f>UPPER(Table1[[#This Row],[ProductID_Clean]])</f>
        <v>P-SI-004</v>
      </c>
      <c r="E549" t="s">
        <v>22</v>
      </c>
      <c r="F549" t="s">
        <v>47</v>
      </c>
      <c r="G549" t="str">
        <f>TRIM(Table1[[#This Row],[Region_Clean]])</f>
        <v>EMEA</v>
      </c>
      <c r="H549" t="s">
        <v>24</v>
      </c>
      <c r="I549" t="s">
        <v>25</v>
      </c>
      <c r="J549" s="3">
        <v>1</v>
      </c>
      <c r="K549" s="3">
        <v>2418.75</v>
      </c>
      <c r="L549">
        <v>2450</v>
      </c>
      <c r="M549">
        <v>2450</v>
      </c>
      <c r="N549">
        <v>31.25</v>
      </c>
      <c r="O549">
        <v>2418.75</v>
      </c>
      <c r="P549" t="s">
        <v>26</v>
      </c>
      <c r="Q549" t="s">
        <v>35</v>
      </c>
      <c r="R549" t="s">
        <v>36</v>
      </c>
      <c r="S549" t="str">
        <f>TRIM(PROPER(_xlfn.XLOOKUP(Table1[[#This Row],[ProductID_Clean]],Table3[ProductID],Table3[Category],"Missing Value",0)))</f>
        <v>Instruments</v>
      </c>
      <c r="T549" t="str">
        <f>_xlfn.XLOOKUP(Table1[[#This Row],[CustomerID_Check]],Table2[CustomerID],Table2[CustomerType],"Missing Value",0)</f>
        <v>Standard</v>
      </c>
    </row>
    <row r="550" spans="1:20">
      <c r="A550" t="s">
        <v>793</v>
      </c>
      <c r="B550" s="1">
        <v>45714</v>
      </c>
      <c r="C550" t="s">
        <v>91</v>
      </c>
      <c r="D550" t="str">
        <f>UPPER(Table1[[#This Row],[ProductID_Clean]])</f>
        <v>P-SI-001</v>
      </c>
      <c r="E550" t="s">
        <v>72</v>
      </c>
      <c r="F550" t="s">
        <v>23</v>
      </c>
      <c r="G550" t="str">
        <f>TRIM(Table1[[#This Row],[Region_Clean]])</f>
        <v>N. AMERICA</v>
      </c>
      <c r="H550" t="s">
        <v>24</v>
      </c>
      <c r="I550" t="s">
        <v>87</v>
      </c>
      <c r="J550" s="3">
        <v>2</v>
      </c>
      <c r="K550" s="3">
        <v>363.53</v>
      </c>
      <c r="L550">
        <v>485</v>
      </c>
      <c r="M550">
        <v>970</v>
      </c>
      <c r="N550">
        <v>242.94</v>
      </c>
      <c r="O550">
        <v>727.06</v>
      </c>
      <c r="P550" t="s">
        <v>26</v>
      </c>
      <c r="Q550" t="s">
        <v>35</v>
      </c>
      <c r="R550" t="s">
        <v>48</v>
      </c>
      <c r="S550" t="str">
        <f>TRIM(PROPER(_xlfn.XLOOKUP(Table1[[#This Row],[ProductID_Clean]],Table3[ProductID],Table3[Category],"Missing Value",0)))</f>
        <v>Sensors</v>
      </c>
      <c r="T550" t="str">
        <f>_xlfn.XLOOKUP(Table1[[#This Row],[CustomerID_Check]],Table2[CustomerID],Table2[CustomerType],"Missing Value",0)</f>
        <v>Key Account</v>
      </c>
    </row>
    <row r="551" spans="1:20">
      <c r="A551" t="s">
        <v>794</v>
      </c>
      <c r="B551" s="1">
        <v>45664</v>
      </c>
      <c r="C551" t="s">
        <v>259</v>
      </c>
      <c r="D551" t="str">
        <f>UPPER(Table1[[#This Row],[ProductID_Clean]])</f>
        <v>P-SA-004</v>
      </c>
      <c r="E551" t="s">
        <v>86</v>
      </c>
      <c r="F551" t="s">
        <v>23</v>
      </c>
      <c r="G551" t="str">
        <f>TRIM(Table1[[#This Row],[Region_Clean]])</f>
        <v>N. AMERICA</v>
      </c>
      <c r="H551" t="s">
        <v>53</v>
      </c>
      <c r="I551" t="s">
        <v>25</v>
      </c>
      <c r="J551" s="3">
        <v>1</v>
      </c>
      <c r="K551" s="3">
        <v>1590.3</v>
      </c>
      <c r="L551">
        <v>1650</v>
      </c>
      <c r="M551">
        <v>1650</v>
      </c>
      <c r="N551">
        <v>59.7</v>
      </c>
      <c r="O551">
        <v>1590.3</v>
      </c>
      <c r="P551" t="s">
        <v>26</v>
      </c>
      <c r="Q551" t="s">
        <v>88</v>
      </c>
      <c r="R551" t="s">
        <v>48</v>
      </c>
      <c r="S551" t="str">
        <f>TRIM(PROPER(_xlfn.XLOOKUP(Table1[[#This Row],[ProductID_Clean]],Table3[ProductID],Table3[Category],"Missing Value",0)))</f>
        <v>Software</v>
      </c>
      <c r="T551" t="str">
        <f>_xlfn.XLOOKUP(Table1[[#This Row],[CustomerID_Check]],Table2[CustomerID],Table2[CustomerType],"Missing Value",0)</f>
        <v>Standard</v>
      </c>
    </row>
    <row r="552" spans="1:20">
      <c r="A552" t="s">
        <v>795</v>
      </c>
      <c r="B552" s="1">
        <v>45671</v>
      </c>
      <c r="C552" t="s">
        <v>118</v>
      </c>
      <c r="D552" t="str">
        <f>UPPER(Table1[[#This Row],[ProductID_Clean]])</f>
        <v>P-SI-001</v>
      </c>
      <c r="E552" t="s">
        <v>72</v>
      </c>
      <c r="F552" t="s">
        <v>23</v>
      </c>
      <c r="G552" t="str">
        <f>TRIM(Table1[[#This Row],[Region_Clean]])</f>
        <v>N. AMERICA</v>
      </c>
      <c r="H552" t="s">
        <v>24</v>
      </c>
      <c r="I552" t="s">
        <v>25</v>
      </c>
      <c r="J552" s="3">
        <v>1</v>
      </c>
      <c r="K552" s="3">
        <v>456.06</v>
      </c>
      <c r="L552">
        <v>485</v>
      </c>
      <c r="M552">
        <v>485</v>
      </c>
      <c r="N552">
        <v>28.94</v>
      </c>
      <c r="O552">
        <v>456.06</v>
      </c>
      <c r="P552" t="s">
        <v>26</v>
      </c>
      <c r="Q552" t="s">
        <v>27</v>
      </c>
      <c r="R552" t="s">
        <v>59</v>
      </c>
      <c r="S552" t="str">
        <f>TRIM(PROPER(_xlfn.XLOOKUP(Table1[[#This Row],[ProductID_Clean]],Table3[ProductID],Table3[Category],"Missing Value",0)))</f>
        <v>Sensors</v>
      </c>
      <c r="T552" t="str">
        <f>_xlfn.XLOOKUP(Table1[[#This Row],[CustomerID_Check]],Table2[CustomerID],Table2[CustomerType],"Missing Value",0)</f>
        <v>Key Account</v>
      </c>
    </row>
    <row r="553" spans="1:20">
      <c r="A553" t="s">
        <v>796</v>
      </c>
      <c r="B553" s="1">
        <v>45786</v>
      </c>
      <c r="C553" t="s">
        <v>297</v>
      </c>
      <c r="D553" t="str">
        <f>UPPER(Table1[[#This Row],[ProductID_Clean]])</f>
        <v>P-SI-002</v>
      </c>
      <c r="E553" t="s">
        <v>31</v>
      </c>
      <c r="F553" t="s">
        <v>23</v>
      </c>
      <c r="G553" t="str">
        <f>TRIM(Table1[[#This Row],[Region_Clean]])</f>
        <v>N. AMERICA</v>
      </c>
      <c r="H553" t="s">
        <v>24</v>
      </c>
      <c r="I553" t="s">
        <v>40</v>
      </c>
      <c r="J553" s="3">
        <v>2</v>
      </c>
      <c r="K553" s="3">
        <v>664.12</v>
      </c>
      <c r="L553">
        <v>725</v>
      </c>
      <c r="M553">
        <v>1450</v>
      </c>
      <c r="N553">
        <v>121.76</v>
      </c>
      <c r="O553">
        <v>1328.24</v>
      </c>
      <c r="P553" t="s">
        <v>26</v>
      </c>
      <c r="Q553" t="s">
        <v>35</v>
      </c>
      <c r="R553" t="s">
        <v>36</v>
      </c>
      <c r="S553" t="str">
        <f>TRIM(PROPER(_xlfn.XLOOKUP(Table1[[#This Row],[ProductID_Clean]],Table3[ProductID],Table3[Category],"Missing Value",0)))</f>
        <v>Sensors</v>
      </c>
      <c r="T553" t="str">
        <f>_xlfn.XLOOKUP(Table1[[#This Row],[CustomerID_Check]],Table2[CustomerID],Table2[CustomerType],"Missing Value",0)</f>
        <v>Key Account</v>
      </c>
    </row>
    <row r="554" spans="1:20">
      <c r="A554" t="s">
        <v>797</v>
      </c>
      <c r="B554" s="1">
        <v>45718</v>
      </c>
      <c r="C554" t="s">
        <v>141</v>
      </c>
      <c r="D554" t="str">
        <f>UPPER(Table1[[#This Row],[ProductID_Clean]])</f>
        <v>P-SI-001</v>
      </c>
      <c r="E554" t="s">
        <v>72</v>
      </c>
      <c r="F554" t="s">
        <v>23</v>
      </c>
      <c r="G554" t="str">
        <f>TRIM(Table1[[#This Row],[Region_Clean]])</f>
        <v>N. AMERICA</v>
      </c>
      <c r="H554" t="s">
        <v>24</v>
      </c>
      <c r="I554" t="s">
        <v>87</v>
      </c>
      <c r="J554" s="3">
        <v>1</v>
      </c>
      <c r="K554" s="3">
        <v>437.9</v>
      </c>
      <c r="L554">
        <v>485</v>
      </c>
      <c r="M554">
        <v>485</v>
      </c>
      <c r="N554">
        <v>47.1</v>
      </c>
      <c r="O554">
        <v>437.9</v>
      </c>
      <c r="P554" t="s">
        <v>26</v>
      </c>
      <c r="Q554" t="s">
        <v>35</v>
      </c>
      <c r="R554" t="s">
        <v>36</v>
      </c>
      <c r="S554" t="str">
        <f>TRIM(PROPER(_xlfn.XLOOKUP(Table1[[#This Row],[ProductID_Clean]],Table3[ProductID],Table3[Category],"Missing Value",0)))</f>
        <v>Sensors</v>
      </c>
      <c r="T554" t="str">
        <f>_xlfn.XLOOKUP(Table1[[#This Row],[CustomerID_Check]],Table2[CustomerID],Table2[CustomerType],"Missing Value",0)</f>
        <v>Key Account</v>
      </c>
    </row>
    <row r="555" spans="1:20">
      <c r="A555" t="s">
        <v>798</v>
      </c>
      <c r="B555" s="1">
        <v>45678</v>
      </c>
      <c r="C555" t="s">
        <v>463</v>
      </c>
      <c r="D555" t="str">
        <f>UPPER(Table1[[#This Row],[ProductID_Clean]])</f>
        <v>P-SI-002</v>
      </c>
      <c r="E555" t="s">
        <v>31</v>
      </c>
      <c r="F555" t="s">
        <v>47</v>
      </c>
      <c r="G555" t="str">
        <f>TRIM(Table1[[#This Row],[Region_Clean]])</f>
        <v>EMEA</v>
      </c>
      <c r="H555" t="s">
        <v>24</v>
      </c>
      <c r="I555" t="s">
        <v>87</v>
      </c>
      <c r="J555" s="3">
        <v>1</v>
      </c>
      <c r="K555" s="3">
        <v>609.23</v>
      </c>
      <c r="L555">
        <v>725</v>
      </c>
      <c r="M555">
        <v>725</v>
      </c>
      <c r="N555">
        <v>115.77</v>
      </c>
      <c r="O555">
        <v>609.23</v>
      </c>
      <c r="P555" t="s">
        <v>26</v>
      </c>
      <c r="Q555" t="s">
        <v>40</v>
      </c>
      <c r="R555" t="s">
        <v>48</v>
      </c>
      <c r="S555" t="str">
        <f>TRIM(PROPER(_xlfn.XLOOKUP(Table1[[#This Row],[ProductID_Clean]],Table3[ProductID],Table3[Category],"Missing Value",0)))</f>
        <v>Sensors</v>
      </c>
      <c r="T555" t="str">
        <f>_xlfn.XLOOKUP(Table1[[#This Row],[CustomerID_Check]],Table2[CustomerID],Table2[CustomerType],"Missing Value",0)</f>
        <v>Key Account</v>
      </c>
    </row>
    <row r="556" spans="1:20">
      <c r="A556" t="s">
        <v>799</v>
      </c>
      <c r="B556" s="1">
        <v>45715</v>
      </c>
      <c r="C556" t="s">
        <v>67</v>
      </c>
      <c r="D556" t="str">
        <f>UPPER(Table1[[#This Row],[ProductID_Clean]])</f>
        <v>P-SA-004</v>
      </c>
      <c r="E556" t="s">
        <v>86</v>
      </c>
      <c r="F556" t="s">
        <v>23</v>
      </c>
      <c r="G556" t="str">
        <f>TRIM(Table1[[#This Row],[Region_Clean]])</f>
        <v>N. AMERICA</v>
      </c>
      <c r="H556" t="s">
        <v>53</v>
      </c>
      <c r="I556" t="s">
        <v>25</v>
      </c>
      <c r="J556" s="3">
        <v>1</v>
      </c>
      <c r="K556" s="3">
        <v>1498.41</v>
      </c>
      <c r="L556">
        <v>1650</v>
      </c>
      <c r="M556">
        <v>1650</v>
      </c>
      <c r="N556">
        <v>151.59</v>
      </c>
      <c r="O556">
        <v>1498.41</v>
      </c>
      <c r="P556" t="s">
        <v>26</v>
      </c>
      <c r="Q556" t="s">
        <v>189</v>
      </c>
      <c r="R556" t="s">
        <v>59</v>
      </c>
      <c r="S556" t="str">
        <f>TRIM(PROPER(_xlfn.XLOOKUP(Table1[[#This Row],[ProductID_Clean]],Table3[ProductID],Table3[Category],"Missing Value",0)))</f>
        <v>Software</v>
      </c>
      <c r="T556" t="str">
        <f>_xlfn.XLOOKUP(Table1[[#This Row],[CustomerID_Check]],Table2[CustomerID],Table2[CustomerType],"Missing Value",0)</f>
        <v>Strategic</v>
      </c>
    </row>
    <row r="557" spans="1:20">
      <c r="A557" t="s">
        <v>800</v>
      </c>
      <c r="B557" s="1">
        <v>45695</v>
      </c>
      <c r="C557" t="s">
        <v>64</v>
      </c>
      <c r="D557" t="str">
        <f>UPPER(Table1[[#This Row],[ProductID_Clean]])</f>
        <v>P-SA-001</v>
      </c>
      <c r="E557" t="s">
        <v>68</v>
      </c>
      <c r="F557" t="s">
        <v>47</v>
      </c>
      <c r="G557" t="str">
        <f>TRIM(Table1[[#This Row],[Region_Clean]])</f>
        <v>EMEA</v>
      </c>
      <c r="H557" t="s">
        <v>53</v>
      </c>
      <c r="I557" t="s">
        <v>25</v>
      </c>
      <c r="J557" s="3">
        <v>1</v>
      </c>
      <c r="K557" s="3">
        <v>3568.51</v>
      </c>
      <c r="L557">
        <v>4200</v>
      </c>
      <c r="M557">
        <v>4200</v>
      </c>
      <c r="N557">
        <v>631.49</v>
      </c>
      <c r="O557">
        <v>3568.51</v>
      </c>
      <c r="P557" t="s">
        <v>26</v>
      </c>
      <c r="Q557" t="s">
        <v>54</v>
      </c>
      <c r="R557" t="s">
        <v>36</v>
      </c>
      <c r="S557" t="str">
        <f>TRIM(PROPER(_xlfn.XLOOKUP(Table1[[#This Row],[ProductID_Clean]],Table3[ProductID],Table3[Category],"Missing Value",0)))</f>
        <v>Software</v>
      </c>
      <c r="T557" t="str">
        <f>_xlfn.XLOOKUP(Table1[[#This Row],[CustomerID_Check]],Table2[CustomerID],Table2[CustomerType],"Missing Value",0)</f>
        <v>Key Account</v>
      </c>
    </row>
    <row r="558" spans="1:20">
      <c r="A558" t="s">
        <v>801</v>
      </c>
      <c r="B558" s="1">
        <v>45667</v>
      </c>
      <c r="C558" t="s">
        <v>108</v>
      </c>
      <c r="D558" t="str">
        <f>UPPER(Table1[[#This Row],[ProductID_Clean]])</f>
        <v>P-SI-002</v>
      </c>
      <c r="E558" t="s">
        <v>31</v>
      </c>
      <c r="F558" t="s">
        <v>32</v>
      </c>
      <c r="G558" t="str">
        <f>TRIM(Table1[[#This Row],[Region_Clean]])</f>
        <v>LATIN AMERICA</v>
      </c>
      <c r="H558" t="s">
        <v>24</v>
      </c>
      <c r="I558" t="s">
        <v>87</v>
      </c>
      <c r="J558" s="3">
        <v>2</v>
      </c>
      <c r="K558" s="3">
        <v>603.24</v>
      </c>
      <c r="L558">
        <v>725</v>
      </c>
      <c r="M558">
        <v>1450</v>
      </c>
      <c r="N558">
        <v>243.52</v>
      </c>
      <c r="O558">
        <v>1206.48</v>
      </c>
      <c r="P558" t="s">
        <v>26</v>
      </c>
      <c r="Q558" t="s">
        <v>35</v>
      </c>
      <c r="R558" t="s">
        <v>36</v>
      </c>
      <c r="S558" t="str">
        <f>TRIM(PROPER(_xlfn.XLOOKUP(Table1[[#This Row],[ProductID_Clean]],Table3[ProductID],Table3[Category],"Missing Value",0)))</f>
        <v>Sensors</v>
      </c>
      <c r="T558" t="str">
        <f>_xlfn.XLOOKUP(Table1[[#This Row],[CustomerID_Check]],Table2[CustomerID],Table2[CustomerType],"Missing Value",0)</f>
        <v>Standard</v>
      </c>
    </row>
    <row r="559" spans="1:20">
      <c r="A559" t="s">
        <v>802</v>
      </c>
      <c r="B559" s="1">
        <v>45778</v>
      </c>
      <c r="C559" t="s">
        <v>67</v>
      </c>
      <c r="D559" t="str">
        <f>UPPER(Table1[[#This Row],[ProductID_Clean]])</f>
        <v>P-SA-002</v>
      </c>
      <c r="E559" t="s">
        <v>147</v>
      </c>
      <c r="F559" t="s">
        <v>23</v>
      </c>
      <c r="G559" t="str">
        <f>TRIM(Table1[[#This Row],[Region_Clean]])</f>
        <v>N. AMERICA</v>
      </c>
      <c r="H559" t="s">
        <v>53</v>
      </c>
      <c r="I559" t="s">
        <v>25</v>
      </c>
      <c r="J559" s="3">
        <v>1</v>
      </c>
      <c r="K559" s="3">
        <v>8556.51</v>
      </c>
      <c r="L559">
        <v>9800</v>
      </c>
      <c r="M559">
        <v>9800</v>
      </c>
      <c r="N559">
        <v>1243.49</v>
      </c>
      <c r="O559">
        <v>8556.51</v>
      </c>
      <c r="P559" t="s">
        <v>26</v>
      </c>
      <c r="Q559" t="s">
        <v>54</v>
      </c>
      <c r="R559" t="s">
        <v>59</v>
      </c>
      <c r="S559" t="str">
        <f>TRIM(PROPER(_xlfn.XLOOKUP(Table1[[#This Row],[ProductID_Clean]],Table3[ProductID],Table3[Category],"Missing Value",0)))</f>
        <v>Software</v>
      </c>
      <c r="T559" t="str">
        <f>_xlfn.XLOOKUP(Table1[[#This Row],[CustomerID_Check]],Table2[CustomerID],Table2[CustomerType],"Missing Value",0)</f>
        <v>Strategic</v>
      </c>
    </row>
    <row r="560" spans="1:20">
      <c r="A560" t="s">
        <v>803</v>
      </c>
      <c r="B560" s="1">
        <v>45693</v>
      </c>
      <c r="C560" t="s">
        <v>372</v>
      </c>
      <c r="D560" t="str">
        <f>UPPER(Table1[[#This Row],[ProductID_Clean]])</f>
        <v>P-SI-006</v>
      </c>
      <c r="E560" t="s">
        <v>43</v>
      </c>
      <c r="F560" t="s">
        <v>23</v>
      </c>
      <c r="G560" t="str">
        <f>TRIM(Table1[[#This Row],[Region_Clean]])</f>
        <v>N. AMERICA</v>
      </c>
      <c r="H560" t="s">
        <v>24</v>
      </c>
      <c r="I560" t="s">
        <v>87</v>
      </c>
      <c r="J560" s="3">
        <v>3</v>
      </c>
      <c r="K560" s="3">
        <v>161.31</v>
      </c>
      <c r="L560">
        <v>215</v>
      </c>
      <c r="M560">
        <v>645</v>
      </c>
      <c r="N560">
        <v>161.07</v>
      </c>
      <c r="O560">
        <v>483.93</v>
      </c>
      <c r="P560" t="s">
        <v>26</v>
      </c>
      <c r="Q560" t="s">
        <v>27</v>
      </c>
      <c r="R560" t="s">
        <v>44</v>
      </c>
      <c r="S560" t="str">
        <f>TRIM(PROPER(_xlfn.XLOOKUP(Table1[[#This Row],[ProductID_Clean]],Table3[ProductID],Table3[Category],"Missing Value",0)))</f>
        <v>Sensors</v>
      </c>
      <c r="T560" t="str">
        <f>_xlfn.XLOOKUP(Table1[[#This Row],[CustomerID_Check]],Table2[CustomerID],Table2[CustomerType],"Missing Value",0)</f>
        <v>Key Account</v>
      </c>
    </row>
    <row r="561" spans="1:20">
      <c r="A561" t="s">
        <v>804</v>
      </c>
      <c r="B561" s="1">
        <v>45778</v>
      </c>
      <c r="C561" t="s">
        <v>170</v>
      </c>
      <c r="D561" t="str">
        <f>UPPER(Table1[[#This Row],[ProductID_Clean]])</f>
        <v>P-FS-002</v>
      </c>
      <c r="E561" t="s">
        <v>81</v>
      </c>
      <c r="F561" t="s">
        <v>47</v>
      </c>
      <c r="G561" t="str">
        <f>TRIM(Table1[[#This Row],[Region_Clean]])</f>
        <v>EMEA</v>
      </c>
      <c r="H561" t="s">
        <v>82</v>
      </c>
      <c r="I561" t="s">
        <v>25</v>
      </c>
      <c r="J561" s="3">
        <v>1</v>
      </c>
      <c r="K561" s="3">
        <v>2404.6999999999998</v>
      </c>
      <c r="L561">
        <v>2400</v>
      </c>
      <c r="M561">
        <v>2400</v>
      </c>
      <c r="N561">
        <v>-4.7</v>
      </c>
      <c r="O561">
        <v>2404.6999999999998</v>
      </c>
      <c r="P561" t="s">
        <v>26</v>
      </c>
      <c r="Q561" t="s">
        <v>83</v>
      </c>
      <c r="R561" t="s">
        <v>59</v>
      </c>
      <c r="S561" t="str">
        <f>TRIM(PROPER(_xlfn.XLOOKUP(Table1[[#This Row],[ProductID_Clean]],Table3[ProductID],Table3[Category],"Missing Value",0)))</f>
        <v>Services</v>
      </c>
      <c r="T561" t="str">
        <f>_xlfn.XLOOKUP(Table1[[#This Row],[CustomerID_Check]],Table2[CustomerID],Table2[CustomerType],"Missing Value",0)</f>
        <v>Standard</v>
      </c>
    </row>
    <row r="562" spans="1:20" hidden="1">
      <c r="A562" t="s">
        <v>805</v>
      </c>
      <c r="B562" s="1">
        <v>45815</v>
      </c>
      <c r="C562" t="s">
        <v>252</v>
      </c>
      <c r="D562" t="str">
        <f>UPPER(Table1[[#This Row],[ProductID_Clean]])</f>
        <v>INVALID ID</v>
      </c>
      <c r="E562" t="s">
        <v>76</v>
      </c>
      <c r="F562" t="s">
        <v>23</v>
      </c>
      <c r="G562" t="str">
        <f>TRIM(Table1[[#This Row],[Region_Clean]])</f>
        <v>N. AMERICA</v>
      </c>
      <c r="H562" t="s">
        <v>53</v>
      </c>
      <c r="I562" t="s">
        <v>25</v>
      </c>
      <c r="J562" s="3">
        <v>1</v>
      </c>
      <c r="K562" s="3">
        <v>1478.57</v>
      </c>
      <c r="L562">
        <v>1650</v>
      </c>
      <c r="M562">
        <v>1650</v>
      </c>
      <c r="N562">
        <v>171.43</v>
      </c>
      <c r="O562">
        <v>1478.57</v>
      </c>
      <c r="P562" t="s">
        <v>26</v>
      </c>
      <c r="Q562" t="s">
        <v>54</v>
      </c>
      <c r="R562" t="s">
        <v>44</v>
      </c>
      <c r="S562" t="str">
        <f>TRIM(PROPER(_xlfn.XLOOKUP(Table1[[#This Row],[ProductID_Clean]],Table3[ProductID],Table3[Category],"Missing Value",0)))</f>
        <v>Missing Value</v>
      </c>
      <c r="T562" t="str">
        <f>_xlfn.XLOOKUP(Table1[[#This Row],[CustomerID_Check]],Table2[CustomerID],Table2[CustomerType],"Missing Value",0)</f>
        <v>Strategic</v>
      </c>
    </row>
    <row r="563" spans="1:20">
      <c r="A563" t="s">
        <v>806</v>
      </c>
      <c r="B563" s="1">
        <v>45678</v>
      </c>
      <c r="C563" t="s">
        <v>385</v>
      </c>
      <c r="D563" t="str">
        <f>UPPER(Table1[[#This Row],[ProductID_Clean]])</f>
        <v>P-SI-008</v>
      </c>
      <c r="E563" t="s">
        <v>152</v>
      </c>
      <c r="F563" t="s">
        <v>47</v>
      </c>
      <c r="G563" t="str">
        <f>TRIM(Table1[[#This Row],[Region_Clean]])</f>
        <v>EMEA</v>
      </c>
      <c r="H563" t="s">
        <v>24</v>
      </c>
      <c r="I563" t="s">
        <v>87</v>
      </c>
      <c r="J563" s="3">
        <v>4</v>
      </c>
      <c r="K563" s="3">
        <v>775.19</v>
      </c>
      <c r="L563">
        <v>950</v>
      </c>
      <c r="M563">
        <v>3800</v>
      </c>
      <c r="N563">
        <v>699.24</v>
      </c>
      <c r="O563">
        <v>3100.76</v>
      </c>
      <c r="P563" t="s">
        <v>26</v>
      </c>
      <c r="Q563" t="s">
        <v>65</v>
      </c>
      <c r="R563" t="s">
        <v>44</v>
      </c>
      <c r="S563" t="str">
        <f>TRIM(PROPER(_xlfn.XLOOKUP(Table1[[#This Row],[ProductID_Clean]],Table3[ProductID],Table3[Category],"Missing Value",0)))</f>
        <v>Instruments</v>
      </c>
      <c r="T563" t="str">
        <f>_xlfn.XLOOKUP(Table1[[#This Row],[CustomerID_Check]],Table2[CustomerID],Table2[CustomerType],"Missing Value",0)</f>
        <v>Standard</v>
      </c>
    </row>
    <row r="564" spans="1:20">
      <c r="A564" t="s">
        <v>807</v>
      </c>
      <c r="B564" s="1">
        <v>45723</v>
      </c>
      <c r="C564" t="s">
        <v>279</v>
      </c>
      <c r="D564" t="str">
        <f>UPPER(Table1[[#This Row],[ProductID_Clean]])</f>
        <v>P-FS-001</v>
      </c>
      <c r="E564" t="s">
        <v>133</v>
      </c>
      <c r="F564" t="s">
        <v>47</v>
      </c>
      <c r="G564" t="str">
        <f>TRIM(Table1[[#This Row],[Region_Clean]])</f>
        <v>EMEA</v>
      </c>
      <c r="H564" t="s">
        <v>82</v>
      </c>
      <c r="I564" t="s">
        <v>25</v>
      </c>
      <c r="J564" s="3">
        <v>1</v>
      </c>
      <c r="K564" s="3">
        <v>1489.38</v>
      </c>
      <c r="L564">
        <v>1850</v>
      </c>
      <c r="M564">
        <v>1850</v>
      </c>
      <c r="N564">
        <v>360.62</v>
      </c>
      <c r="O564">
        <v>1489.38</v>
      </c>
      <c r="P564" t="s">
        <v>113</v>
      </c>
      <c r="Q564" t="s">
        <v>40</v>
      </c>
      <c r="R564" t="s">
        <v>36</v>
      </c>
      <c r="S564" t="str">
        <f>TRIM(PROPER(_xlfn.XLOOKUP(Table1[[#This Row],[ProductID_Clean]],Table3[ProductID],Table3[Category],"Missing Value",0)))</f>
        <v>Services</v>
      </c>
      <c r="T564" t="str">
        <f>_xlfn.XLOOKUP(Table1[[#This Row],[CustomerID_Check]],Table2[CustomerID],Table2[CustomerType],"Missing Value",0)</f>
        <v>Key Account</v>
      </c>
    </row>
    <row r="565" spans="1:20">
      <c r="A565" t="s">
        <v>808</v>
      </c>
      <c r="B565" s="1">
        <v>45696</v>
      </c>
      <c r="C565" t="s">
        <v>78</v>
      </c>
      <c r="D565" t="str">
        <f>UPPER(Table1[[#This Row],[ProductID_Clean]])</f>
        <v>P-SI-008</v>
      </c>
      <c r="E565" t="s">
        <v>152</v>
      </c>
      <c r="F565" t="s">
        <v>58</v>
      </c>
      <c r="G565" t="str">
        <f>TRIM(Table1[[#This Row],[Region_Clean]])</f>
        <v>APAC</v>
      </c>
      <c r="H565" t="s">
        <v>24</v>
      </c>
      <c r="I565" t="s">
        <v>25</v>
      </c>
      <c r="J565" s="3">
        <v>3</v>
      </c>
      <c r="K565" s="3">
        <v>872.44</v>
      </c>
      <c r="L565">
        <v>950</v>
      </c>
      <c r="M565">
        <v>2850</v>
      </c>
      <c r="N565">
        <v>232.68</v>
      </c>
      <c r="O565">
        <v>2617.3200000000002</v>
      </c>
      <c r="P565" t="s">
        <v>26</v>
      </c>
      <c r="Q565" t="s">
        <v>35</v>
      </c>
      <c r="R565" t="s">
        <v>59</v>
      </c>
      <c r="S565" t="str">
        <f>TRIM(PROPER(_xlfn.XLOOKUP(Table1[[#This Row],[ProductID_Clean]],Table3[ProductID],Table3[Category],"Missing Value",0)))</f>
        <v>Instruments</v>
      </c>
      <c r="T565" t="str">
        <f>_xlfn.XLOOKUP(Table1[[#This Row],[CustomerID_Check]],Table2[CustomerID],Table2[CustomerType],"Missing Value",0)</f>
        <v>Emerging</v>
      </c>
    </row>
    <row r="566" spans="1:20">
      <c r="A566" t="s">
        <v>809</v>
      </c>
      <c r="B566" s="1">
        <v>45813</v>
      </c>
      <c r="C566" t="s">
        <v>463</v>
      </c>
      <c r="D566" t="str">
        <f>UPPER(Table1[[#This Row],[ProductID_Clean]])</f>
        <v>P-SA-004</v>
      </c>
      <c r="E566" t="s">
        <v>86</v>
      </c>
      <c r="F566" t="s">
        <v>47</v>
      </c>
      <c r="G566" t="str">
        <f>TRIM(Table1[[#This Row],[Region_Clean]])</f>
        <v>EMEA</v>
      </c>
      <c r="H566" t="s">
        <v>53</v>
      </c>
      <c r="I566" t="s">
        <v>87</v>
      </c>
      <c r="J566" s="3">
        <v>1</v>
      </c>
      <c r="K566" s="3">
        <v>1346.87</v>
      </c>
      <c r="L566">
        <v>1650</v>
      </c>
      <c r="M566">
        <v>1650</v>
      </c>
      <c r="N566">
        <v>303.13</v>
      </c>
      <c r="O566">
        <v>1346.87</v>
      </c>
      <c r="P566" t="s">
        <v>26</v>
      </c>
      <c r="Q566" t="s">
        <v>88</v>
      </c>
      <c r="R566" t="s">
        <v>48</v>
      </c>
      <c r="S566" t="str">
        <f>TRIM(PROPER(_xlfn.XLOOKUP(Table1[[#This Row],[ProductID_Clean]],Table3[ProductID],Table3[Category],"Missing Value",0)))</f>
        <v>Software</v>
      </c>
      <c r="T566" t="str">
        <f>_xlfn.XLOOKUP(Table1[[#This Row],[CustomerID_Check]],Table2[CustomerID],Table2[CustomerType],"Missing Value",0)</f>
        <v>Key Account</v>
      </c>
    </row>
    <row r="567" spans="1:20">
      <c r="A567" t="s">
        <v>810</v>
      </c>
      <c r="B567" s="1">
        <v>45766</v>
      </c>
      <c r="C567" t="s">
        <v>276</v>
      </c>
      <c r="D567" t="str">
        <f>UPPER(Table1[[#This Row],[ProductID_Clean]])</f>
        <v>P-SI-006</v>
      </c>
      <c r="E567" t="s">
        <v>43</v>
      </c>
      <c r="F567" t="s">
        <v>58</v>
      </c>
      <c r="G567" t="str">
        <f>TRIM(Table1[[#This Row],[Region_Clean]])</f>
        <v>APAC</v>
      </c>
      <c r="H567" t="s">
        <v>24</v>
      </c>
      <c r="I567" t="s">
        <v>34</v>
      </c>
      <c r="J567" s="3">
        <v>12</v>
      </c>
      <c r="K567" s="3">
        <v>168.58</v>
      </c>
      <c r="L567">
        <v>215</v>
      </c>
      <c r="M567">
        <v>2580</v>
      </c>
      <c r="N567">
        <v>557.04</v>
      </c>
      <c r="O567">
        <v>2022.96</v>
      </c>
      <c r="P567" t="s">
        <v>26</v>
      </c>
      <c r="Q567" t="s">
        <v>35</v>
      </c>
      <c r="R567" t="s">
        <v>59</v>
      </c>
      <c r="S567" t="str">
        <f>TRIM(PROPER(_xlfn.XLOOKUP(Table1[[#This Row],[ProductID_Clean]],Table3[ProductID],Table3[Category],"Missing Value",0)))</f>
        <v>Sensors</v>
      </c>
      <c r="T567" t="str">
        <f>_xlfn.XLOOKUP(Table1[[#This Row],[CustomerID_Check]],Table2[CustomerID],Table2[CustomerType],"Missing Value",0)</f>
        <v>Key Account</v>
      </c>
    </row>
    <row r="568" spans="1:20">
      <c r="A568" t="s">
        <v>811</v>
      </c>
      <c r="B568" s="1">
        <v>45731</v>
      </c>
      <c r="C568" t="s">
        <v>466</v>
      </c>
      <c r="D568" t="str">
        <f>UPPER(Table1[[#This Row],[ProductID_Clean]])</f>
        <v>P-SI-007</v>
      </c>
      <c r="E568" t="s">
        <v>97</v>
      </c>
      <c r="F568" t="s">
        <v>23</v>
      </c>
      <c r="G568" t="str">
        <f>TRIM(Table1[[#This Row],[Region_Clean]])</f>
        <v>N. AMERICA</v>
      </c>
      <c r="H568" t="s">
        <v>24</v>
      </c>
      <c r="I568" t="s">
        <v>98</v>
      </c>
      <c r="J568" s="3">
        <v>5</v>
      </c>
      <c r="K568" s="3">
        <v>945.32</v>
      </c>
      <c r="L568">
        <v>980</v>
      </c>
      <c r="M568">
        <v>4900</v>
      </c>
      <c r="N568">
        <v>173.4</v>
      </c>
      <c r="O568">
        <v>4726.6000000000004</v>
      </c>
      <c r="P568" t="s">
        <v>26</v>
      </c>
      <c r="Q568" t="s">
        <v>35</v>
      </c>
      <c r="R568" t="s">
        <v>59</v>
      </c>
      <c r="S568" t="str">
        <f>TRIM(PROPER(_xlfn.XLOOKUP(Table1[[#This Row],[ProductID_Clean]],Table3[ProductID],Table3[Category],"Missing Value",0)))</f>
        <v>Sensors</v>
      </c>
      <c r="T568" t="str">
        <f>_xlfn.XLOOKUP(Table1[[#This Row],[CustomerID_Check]],Table2[CustomerID],Table2[CustomerType],"Missing Value",0)</f>
        <v>Standard</v>
      </c>
    </row>
    <row r="569" spans="1:20">
      <c r="A569" t="s">
        <v>812</v>
      </c>
      <c r="B569" s="1">
        <v>45735</v>
      </c>
      <c r="C569" t="s">
        <v>67</v>
      </c>
      <c r="D569" t="str">
        <f>UPPER(Table1[[#This Row],[ProductID_Clean]])</f>
        <v>P-SI-005</v>
      </c>
      <c r="E569" t="s">
        <v>57</v>
      </c>
      <c r="F569" t="s">
        <v>23</v>
      </c>
      <c r="G569" t="str">
        <f>TRIM(Table1[[#This Row],[Region_Clean]])</f>
        <v>N. AMERICA</v>
      </c>
      <c r="H569" t="s">
        <v>24</v>
      </c>
      <c r="I569" t="s">
        <v>25</v>
      </c>
      <c r="J569" s="3">
        <v>3</v>
      </c>
      <c r="K569" s="3">
        <v>917</v>
      </c>
      <c r="L569">
        <v>1120</v>
      </c>
      <c r="M569">
        <v>3360</v>
      </c>
      <c r="N569">
        <v>609</v>
      </c>
      <c r="O569">
        <v>2751</v>
      </c>
      <c r="P569" t="s">
        <v>26</v>
      </c>
      <c r="Q569" t="s">
        <v>65</v>
      </c>
      <c r="R569" t="s">
        <v>59</v>
      </c>
      <c r="S569" t="str">
        <f>TRIM(PROPER(_xlfn.XLOOKUP(Table1[[#This Row],[ProductID_Clean]],Table3[ProductID],Table3[Category],"Missing Value",0)))</f>
        <v>Sensors</v>
      </c>
      <c r="T569" t="str">
        <f>_xlfn.XLOOKUP(Table1[[#This Row],[CustomerID_Check]],Table2[CustomerID],Table2[CustomerType],"Missing Value",0)</f>
        <v>Strategic</v>
      </c>
    </row>
    <row r="570" spans="1:20">
      <c r="A570" t="s">
        <v>813</v>
      </c>
      <c r="B570" s="1">
        <v>45670</v>
      </c>
      <c r="C570" t="s">
        <v>460</v>
      </c>
      <c r="D570" t="str">
        <f>UPPER(Table1[[#This Row],[ProductID_Clean]])</f>
        <v>P-SA-001</v>
      </c>
      <c r="E570" t="s">
        <v>68</v>
      </c>
      <c r="F570" t="s">
        <v>23</v>
      </c>
      <c r="G570" t="str">
        <f>TRIM(Table1[[#This Row],[Region_Clean]])</f>
        <v>N. AMERICA</v>
      </c>
      <c r="H570" t="s">
        <v>53</v>
      </c>
      <c r="I570" t="s">
        <v>25</v>
      </c>
      <c r="J570" s="3">
        <v>1</v>
      </c>
      <c r="K570" s="3">
        <v>3999.62</v>
      </c>
      <c r="L570">
        <v>4200</v>
      </c>
      <c r="M570">
        <v>4200</v>
      </c>
      <c r="N570">
        <v>200.38</v>
      </c>
      <c r="O570">
        <v>3999.62</v>
      </c>
      <c r="P570" t="s">
        <v>26</v>
      </c>
      <c r="Q570" t="s">
        <v>54</v>
      </c>
      <c r="R570" t="s">
        <v>36</v>
      </c>
      <c r="S570" t="str">
        <f>TRIM(PROPER(_xlfn.XLOOKUP(Table1[[#This Row],[ProductID_Clean]],Table3[ProductID],Table3[Category],"Missing Value",0)))</f>
        <v>Software</v>
      </c>
      <c r="T570" t="str">
        <f>_xlfn.XLOOKUP(Table1[[#This Row],[CustomerID_Check]],Table2[CustomerID],Table2[CustomerType],"Missing Value",0)</f>
        <v>Standard</v>
      </c>
    </row>
    <row r="571" spans="1:20">
      <c r="A571" t="s">
        <v>814</v>
      </c>
      <c r="B571" s="1">
        <v>45765</v>
      </c>
      <c r="C571" t="s">
        <v>202</v>
      </c>
      <c r="D571" t="str">
        <f>UPPER(Table1[[#This Row],[ProductID_Clean]])</f>
        <v>P-FS-005</v>
      </c>
      <c r="E571" t="s">
        <v>101</v>
      </c>
      <c r="F571" t="s">
        <v>47</v>
      </c>
      <c r="G571" t="str">
        <f>TRIM(Table1[[#This Row],[Region_Clean]])</f>
        <v>EMEA</v>
      </c>
      <c r="H571" t="s">
        <v>82</v>
      </c>
      <c r="I571" t="s">
        <v>25</v>
      </c>
      <c r="J571" s="3">
        <v>1</v>
      </c>
      <c r="K571" s="3">
        <v>843.94</v>
      </c>
      <c r="L571">
        <v>950</v>
      </c>
      <c r="M571">
        <v>950</v>
      </c>
      <c r="N571">
        <v>106.06</v>
      </c>
      <c r="O571">
        <v>843.94</v>
      </c>
      <c r="P571" t="s">
        <v>26</v>
      </c>
      <c r="Q571" t="s">
        <v>35</v>
      </c>
      <c r="R571" t="s">
        <v>44</v>
      </c>
      <c r="S571" t="str">
        <f>TRIM(PROPER(_xlfn.XLOOKUP(Table1[[#This Row],[ProductID_Clean]],Table3[ProductID],Table3[Category],"Missing Value",0)))</f>
        <v>Services</v>
      </c>
      <c r="T571" t="str">
        <f>_xlfn.XLOOKUP(Table1[[#This Row],[CustomerID_Check]],Table2[CustomerID],Table2[CustomerType],"Missing Value",0)</f>
        <v>Standard</v>
      </c>
    </row>
    <row r="572" spans="1:20">
      <c r="A572" t="s">
        <v>815</v>
      </c>
      <c r="B572" s="1">
        <v>45817</v>
      </c>
      <c r="C572" t="s">
        <v>61</v>
      </c>
      <c r="D572" t="str">
        <f>UPPER(Table1[[#This Row],[ProductID_Clean]])</f>
        <v>P-SA-003</v>
      </c>
      <c r="E572" t="s">
        <v>51</v>
      </c>
      <c r="F572" t="s">
        <v>47</v>
      </c>
      <c r="G572" t="str">
        <f>TRIM(Table1[[#This Row],[Region_Clean]])</f>
        <v>EMEA</v>
      </c>
      <c r="H572" t="s">
        <v>53</v>
      </c>
      <c r="I572" t="s">
        <v>25</v>
      </c>
      <c r="J572" s="3">
        <v>1</v>
      </c>
      <c r="K572" s="3">
        <v>2435.87</v>
      </c>
      <c r="L572">
        <v>2750</v>
      </c>
      <c r="M572">
        <v>2750</v>
      </c>
      <c r="N572">
        <v>314.13</v>
      </c>
      <c r="O572">
        <v>2435.87</v>
      </c>
      <c r="P572" t="s">
        <v>26</v>
      </c>
      <c r="Q572" t="s">
        <v>54</v>
      </c>
      <c r="R572" t="s">
        <v>48</v>
      </c>
      <c r="S572" t="str">
        <f>TRIM(PROPER(_xlfn.XLOOKUP(Table1[[#This Row],[ProductID_Clean]],Table3[ProductID],Table3[Category],"Missing Value",0)))</f>
        <v>Software</v>
      </c>
      <c r="T572" t="str">
        <f>_xlfn.XLOOKUP(Table1[[#This Row],[CustomerID_Check]],Table2[CustomerID],Table2[CustomerType],"Missing Value",0)</f>
        <v>Strategic</v>
      </c>
    </row>
    <row r="573" spans="1:20">
      <c r="A573" t="s">
        <v>816</v>
      </c>
      <c r="B573" s="1">
        <v>45785</v>
      </c>
      <c r="C573" t="s">
        <v>764</v>
      </c>
      <c r="D573" t="str">
        <f>UPPER(Table1[[#This Row],[ProductID_Clean]])</f>
        <v>P-SI-007</v>
      </c>
      <c r="E573" t="s">
        <v>97</v>
      </c>
      <c r="F573" t="s">
        <v>32</v>
      </c>
      <c r="G573" t="str">
        <f>TRIM(Table1[[#This Row],[Region_Clean]])</f>
        <v>LATIN AMERICA</v>
      </c>
      <c r="H573" t="s">
        <v>24</v>
      </c>
      <c r="I573" t="s">
        <v>34</v>
      </c>
      <c r="J573" s="3">
        <v>1</v>
      </c>
      <c r="K573" s="3">
        <v>815.57</v>
      </c>
      <c r="L573">
        <v>980</v>
      </c>
      <c r="M573">
        <v>980</v>
      </c>
      <c r="N573">
        <v>164.43</v>
      </c>
      <c r="O573">
        <v>815.57</v>
      </c>
      <c r="P573" t="s">
        <v>26</v>
      </c>
      <c r="Q573" t="s">
        <v>65</v>
      </c>
      <c r="R573" t="s">
        <v>36</v>
      </c>
      <c r="S573" t="str">
        <f>TRIM(PROPER(_xlfn.XLOOKUP(Table1[[#This Row],[ProductID_Clean]],Table3[ProductID],Table3[Category],"Missing Value",0)))</f>
        <v>Sensors</v>
      </c>
      <c r="T573" t="str">
        <f>_xlfn.XLOOKUP(Table1[[#This Row],[CustomerID_Check]],Table2[CustomerID],Table2[CustomerType],"Missing Value",0)</f>
        <v>Emerging</v>
      </c>
    </row>
    <row r="574" spans="1:20">
      <c r="A574" t="s">
        <v>817</v>
      </c>
      <c r="B574" s="1">
        <v>45795</v>
      </c>
      <c r="C574" t="s">
        <v>78</v>
      </c>
      <c r="D574" t="str">
        <f>UPPER(Table1[[#This Row],[ProductID_Clean]])</f>
        <v>P-SI-006</v>
      </c>
      <c r="E574" t="s">
        <v>43</v>
      </c>
      <c r="F574" t="s">
        <v>58</v>
      </c>
      <c r="G574" t="str">
        <f>TRIM(Table1[[#This Row],[Region_Clean]])</f>
        <v>APAC</v>
      </c>
      <c r="H574" t="s">
        <v>24</v>
      </c>
      <c r="I574" t="s">
        <v>25</v>
      </c>
      <c r="J574" s="3">
        <v>1</v>
      </c>
      <c r="K574" s="3">
        <v>180.83</v>
      </c>
      <c r="L574">
        <v>215</v>
      </c>
      <c r="M574">
        <v>215</v>
      </c>
      <c r="N574">
        <v>34.17</v>
      </c>
      <c r="O574">
        <v>180.83</v>
      </c>
      <c r="P574" t="s">
        <v>26</v>
      </c>
      <c r="Q574" t="s">
        <v>35</v>
      </c>
      <c r="R574" t="s">
        <v>59</v>
      </c>
      <c r="S574" t="str">
        <f>TRIM(PROPER(_xlfn.XLOOKUP(Table1[[#This Row],[ProductID_Clean]],Table3[ProductID],Table3[Category],"Missing Value",0)))</f>
        <v>Sensors</v>
      </c>
      <c r="T574" t="str">
        <f>_xlfn.XLOOKUP(Table1[[#This Row],[CustomerID_Check]],Table2[CustomerID],Table2[CustomerType],"Missing Value",0)</f>
        <v>Emerging</v>
      </c>
    </row>
    <row r="575" spans="1:20">
      <c r="A575" t="s">
        <v>818</v>
      </c>
      <c r="B575" s="1">
        <v>45819</v>
      </c>
      <c r="C575" t="s">
        <v>182</v>
      </c>
      <c r="D575" t="str">
        <f>UPPER(Table1[[#This Row],[ProductID_Clean]])</f>
        <v>P-SI-005</v>
      </c>
      <c r="E575" t="s">
        <v>57</v>
      </c>
      <c r="F575" t="s">
        <v>47</v>
      </c>
      <c r="G575" t="str">
        <f>TRIM(Table1[[#This Row],[Region_Clean]])</f>
        <v>EMEA</v>
      </c>
      <c r="H575" t="s">
        <v>24</v>
      </c>
      <c r="I575" t="s">
        <v>25</v>
      </c>
      <c r="J575" s="3">
        <v>10</v>
      </c>
      <c r="K575" s="3">
        <v>944.11</v>
      </c>
      <c r="L575">
        <v>1120</v>
      </c>
      <c r="M575">
        <v>11200</v>
      </c>
      <c r="N575">
        <v>1758.9</v>
      </c>
      <c r="O575">
        <v>9441.1</v>
      </c>
      <c r="P575" t="s">
        <v>26</v>
      </c>
      <c r="Q575" t="s">
        <v>27</v>
      </c>
      <c r="R575" t="s">
        <v>44</v>
      </c>
      <c r="S575" t="str">
        <f>TRIM(PROPER(_xlfn.XLOOKUP(Table1[[#This Row],[ProductID_Clean]],Table3[ProductID],Table3[Category],"Missing Value",0)))</f>
        <v>Sensors</v>
      </c>
      <c r="T575" t="str">
        <f>_xlfn.XLOOKUP(Table1[[#This Row],[CustomerID_Check]],Table2[CustomerID],Table2[CustomerType],"Missing Value",0)</f>
        <v>Key Account</v>
      </c>
    </row>
    <row r="576" spans="1:20">
      <c r="A576" t="s">
        <v>819</v>
      </c>
      <c r="B576" s="1">
        <v>45805</v>
      </c>
      <c r="C576" t="s">
        <v>190</v>
      </c>
      <c r="D576" t="str">
        <f>UPPER(Table1[[#This Row],[ProductID_Clean]])</f>
        <v>P-FS-002</v>
      </c>
      <c r="E576" t="s">
        <v>81</v>
      </c>
      <c r="F576" t="s">
        <v>47</v>
      </c>
      <c r="G576" t="str">
        <f>TRIM(Table1[[#This Row],[Region_Clean]])</f>
        <v>EMEA</v>
      </c>
      <c r="H576" t="s">
        <v>82</v>
      </c>
      <c r="I576" t="s">
        <v>25</v>
      </c>
      <c r="J576" s="3">
        <v>1</v>
      </c>
      <c r="K576" s="3">
        <v>2009.33</v>
      </c>
      <c r="L576">
        <v>2400</v>
      </c>
      <c r="M576">
        <v>2400</v>
      </c>
      <c r="N576">
        <v>390.67</v>
      </c>
      <c r="O576">
        <v>2009.33</v>
      </c>
      <c r="P576" t="s">
        <v>26</v>
      </c>
      <c r="Q576" t="s">
        <v>94</v>
      </c>
      <c r="R576" t="s">
        <v>36</v>
      </c>
      <c r="S576" t="str">
        <f>TRIM(PROPER(_xlfn.XLOOKUP(Table1[[#This Row],[ProductID_Clean]],Table3[ProductID],Table3[Category],"Missing Value",0)))</f>
        <v>Services</v>
      </c>
      <c r="T576" t="str">
        <f>_xlfn.XLOOKUP(Table1[[#This Row],[CustomerID_Check]],Table2[CustomerID],Table2[CustomerType],"Missing Value",0)</f>
        <v>Strategic</v>
      </c>
    </row>
    <row r="577" spans="1:20">
      <c r="A577" t="s">
        <v>820</v>
      </c>
      <c r="B577" s="1">
        <v>45732</v>
      </c>
      <c r="C577" t="s">
        <v>256</v>
      </c>
      <c r="D577" t="str">
        <f>UPPER(Table1[[#This Row],[ProductID_Clean]])</f>
        <v>P-SA-003</v>
      </c>
      <c r="E577" t="s">
        <v>51</v>
      </c>
      <c r="F577" t="s">
        <v>47</v>
      </c>
      <c r="G577" t="str">
        <f>TRIM(Table1[[#This Row],[Region_Clean]])</f>
        <v>EMEA</v>
      </c>
      <c r="H577" t="s">
        <v>53</v>
      </c>
      <c r="I577" t="s">
        <v>25</v>
      </c>
      <c r="J577" s="3">
        <v>1</v>
      </c>
      <c r="K577" s="3">
        <v>2304.5100000000002</v>
      </c>
      <c r="L577">
        <v>2750</v>
      </c>
      <c r="M577">
        <v>2750</v>
      </c>
      <c r="N577">
        <v>445.49</v>
      </c>
      <c r="O577">
        <v>2304.5100000000002</v>
      </c>
      <c r="P577" t="s">
        <v>26</v>
      </c>
      <c r="Q577" t="s">
        <v>88</v>
      </c>
      <c r="R577" t="s">
        <v>44</v>
      </c>
      <c r="S577" t="str">
        <f>TRIM(PROPER(_xlfn.XLOOKUP(Table1[[#This Row],[ProductID_Clean]],Table3[ProductID],Table3[Category],"Missing Value",0)))</f>
        <v>Software</v>
      </c>
      <c r="T577" t="str">
        <f>_xlfn.XLOOKUP(Table1[[#This Row],[CustomerID_Check]],Table2[CustomerID],Table2[CustomerType],"Missing Value",0)</f>
        <v>Strategic</v>
      </c>
    </row>
    <row r="578" spans="1:20">
      <c r="A578" t="s">
        <v>821</v>
      </c>
      <c r="B578" s="1">
        <v>45658</v>
      </c>
      <c r="C578" t="s">
        <v>370</v>
      </c>
      <c r="D578" t="str">
        <f>UPPER(Table1[[#This Row],[ProductID_Clean]])</f>
        <v>P-SI-004</v>
      </c>
      <c r="E578" t="s">
        <v>22</v>
      </c>
      <c r="F578" t="s">
        <v>58</v>
      </c>
      <c r="G578" t="str">
        <f>TRIM(Table1[[#This Row],[Region_Clean]])</f>
        <v>APAC</v>
      </c>
      <c r="H578" t="s">
        <v>24</v>
      </c>
      <c r="I578" t="s">
        <v>25</v>
      </c>
      <c r="J578" s="3">
        <v>3</v>
      </c>
      <c r="K578" s="3">
        <v>2226.73</v>
      </c>
      <c r="L578">
        <v>2450</v>
      </c>
      <c r="M578">
        <v>7350</v>
      </c>
      <c r="N578">
        <v>669.81</v>
      </c>
      <c r="O578">
        <v>6680.19</v>
      </c>
      <c r="P578" t="s">
        <v>26</v>
      </c>
      <c r="Q578" t="s">
        <v>65</v>
      </c>
      <c r="R578" t="s">
        <v>59</v>
      </c>
      <c r="S578" t="str">
        <f>TRIM(PROPER(_xlfn.XLOOKUP(Table1[[#This Row],[ProductID_Clean]],Table3[ProductID],Table3[Category],"Missing Value",0)))</f>
        <v>Instruments</v>
      </c>
      <c r="T578" t="str">
        <f>_xlfn.XLOOKUP(Table1[[#This Row],[CustomerID_Check]],Table2[CustomerID],Table2[CustomerType],"Missing Value",0)</f>
        <v>Standard</v>
      </c>
    </row>
    <row r="579" spans="1:20">
      <c r="A579" t="s">
        <v>822</v>
      </c>
      <c r="B579" s="1">
        <v>45748</v>
      </c>
      <c r="C579" t="s">
        <v>780</v>
      </c>
      <c r="D579" t="str">
        <f>UPPER(Table1[[#This Row],[ProductID_Clean]])</f>
        <v>P-SI-001</v>
      </c>
      <c r="E579" t="s">
        <v>72</v>
      </c>
      <c r="F579" t="s">
        <v>32</v>
      </c>
      <c r="G579" t="str">
        <f>TRIM(Table1[[#This Row],[Region_Clean]])</f>
        <v>LATIN AMERICA</v>
      </c>
      <c r="H579" t="s">
        <v>24</v>
      </c>
      <c r="I579" t="s">
        <v>25</v>
      </c>
      <c r="J579" s="3">
        <v>8</v>
      </c>
      <c r="K579" s="3">
        <v>455.52</v>
      </c>
      <c r="L579">
        <v>485</v>
      </c>
      <c r="M579">
        <v>3880</v>
      </c>
      <c r="N579">
        <v>235.84</v>
      </c>
      <c r="O579">
        <v>3644.16</v>
      </c>
      <c r="P579" t="s">
        <v>26</v>
      </c>
      <c r="Q579" t="s">
        <v>35</v>
      </c>
      <c r="R579" t="s">
        <v>59</v>
      </c>
      <c r="S579" t="str">
        <f>TRIM(PROPER(_xlfn.XLOOKUP(Table1[[#This Row],[ProductID_Clean]],Table3[ProductID],Table3[Category],"Missing Value",0)))</f>
        <v>Sensors</v>
      </c>
      <c r="T579" t="str">
        <f>_xlfn.XLOOKUP(Table1[[#This Row],[CustomerID_Check]],Table2[CustomerID],Table2[CustomerType],"Missing Value",0)</f>
        <v>Standard</v>
      </c>
    </row>
    <row r="580" spans="1:20">
      <c r="A580" t="s">
        <v>823</v>
      </c>
      <c r="B580" s="1">
        <v>45829</v>
      </c>
      <c r="C580" t="s">
        <v>314</v>
      </c>
      <c r="D580" t="str">
        <f>UPPER(Table1[[#This Row],[ProductID_Clean]])</f>
        <v>P-SI-001</v>
      </c>
      <c r="E580" t="s">
        <v>72</v>
      </c>
      <c r="F580" t="s">
        <v>23</v>
      </c>
      <c r="G580" t="str">
        <f>TRIM(Table1[[#This Row],[Region_Clean]])</f>
        <v>N. AMERICA</v>
      </c>
      <c r="H580" t="s">
        <v>24</v>
      </c>
      <c r="I580" t="s">
        <v>25</v>
      </c>
      <c r="J580" s="3">
        <v>2</v>
      </c>
      <c r="K580" s="3">
        <v>447.47</v>
      </c>
      <c r="L580">
        <v>485</v>
      </c>
      <c r="M580">
        <v>970</v>
      </c>
      <c r="N580">
        <v>75.06</v>
      </c>
      <c r="O580">
        <v>894.94</v>
      </c>
      <c r="P580" t="s">
        <v>26</v>
      </c>
      <c r="Q580" t="s">
        <v>27</v>
      </c>
      <c r="R580" t="s">
        <v>44</v>
      </c>
      <c r="S580" t="str">
        <f>TRIM(PROPER(_xlfn.XLOOKUP(Table1[[#This Row],[ProductID_Clean]],Table3[ProductID],Table3[Category],"Missing Value",0)))</f>
        <v>Sensors</v>
      </c>
      <c r="T580" t="str">
        <f>_xlfn.XLOOKUP(Table1[[#This Row],[CustomerID_Check]],Table2[CustomerID],Table2[CustomerType],"Missing Value",0)</f>
        <v>Key Account</v>
      </c>
    </row>
    <row r="581" spans="1:20">
      <c r="A581" t="s">
        <v>824</v>
      </c>
      <c r="B581" s="1">
        <v>45792</v>
      </c>
      <c r="C581" t="s">
        <v>56</v>
      </c>
      <c r="D581" t="str">
        <f>UPPER(Table1[[#This Row],[ProductID_Clean]])</f>
        <v>P-SA-003</v>
      </c>
      <c r="E581" t="s">
        <v>51</v>
      </c>
      <c r="F581" t="s">
        <v>58</v>
      </c>
      <c r="G581" t="str">
        <f>TRIM(Table1[[#This Row],[Region_Clean]])</f>
        <v>APAC</v>
      </c>
      <c r="H581" t="s">
        <v>53</v>
      </c>
      <c r="I581" t="s">
        <v>25</v>
      </c>
      <c r="J581" s="3">
        <v>3</v>
      </c>
      <c r="K581" s="3">
        <v>2192.67</v>
      </c>
      <c r="L581">
        <v>2750</v>
      </c>
      <c r="M581">
        <v>8250</v>
      </c>
      <c r="N581">
        <v>1671.99</v>
      </c>
      <c r="O581">
        <v>6578.01</v>
      </c>
      <c r="P581" t="s">
        <v>26</v>
      </c>
      <c r="Q581" t="s">
        <v>189</v>
      </c>
      <c r="R581" t="s">
        <v>59</v>
      </c>
      <c r="S581" t="str">
        <f>TRIM(PROPER(_xlfn.XLOOKUP(Table1[[#This Row],[ProductID_Clean]],Table3[ProductID],Table3[Category],"Missing Value",0)))</f>
        <v>Software</v>
      </c>
      <c r="T581" t="str">
        <f>_xlfn.XLOOKUP(Table1[[#This Row],[CustomerID_Check]],Table2[CustomerID],Table2[CustomerType],"Missing Value",0)</f>
        <v>Key Account</v>
      </c>
    </row>
    <row r="582" spans="1:20">
      <c r="A582" t="s">
        <v>825</v>
      </c>
      <c r="B582" s="1">
        <v>45675</v>
      </c>
      <c r="C582" t="s">
        <v>200</v>
      </c>
      <c r="D582" t="str">
        <f>UPPER(Table1[[#This Row],[ProductID_Clean]])</f>
        <v>P-SI-007</v>
      </c>
      <c r="E582" t="s">
        <v>97</v>
      </c>
      <c r="F582" t="s">
        <v>47</v>
      </c>
      <c r="G582" t="str">
        <f>TRIM(Table1[[#This Row],[Region_Clean]])</f>
        <v>EMEA</v>
      </c>
      <c r="H582" t="s">
        <v>24</v>
      </c>
      <c r="I582" t="s">
        <v>87</v>
      </c>
      <c r="J582" s="3">
        <v>2</v>
      </c>
      <c r="K582" s="3">
        <v>881.05</v>
      </c>
      <c r="L582">
        <v>980</v>
      </c>
      <c r="M582">
        <v>1960</v>
      </c>
      <c r="N582">
        <v>197.9</v>
      </c>
      <c r="O582">
        <v>1762.1</v>
      </c>
      <c r="P582" t="s">
        <v>126</v>
      </c>
      <c r="Q582" t="s">
        <v>35</v>
      </c>
      <c r="R582" t="s">
        <v>36</v>
      </c>
      <c r="S582" t="str">
        <f>TRIM(PROPER(_xlfn.XLOOKUP(Table1[[#This Row],[ProductID_Clean]],Table3[ProductID],Table3[Category],"Missing Value",0)))</f>
        <v>Sensors</v>
      </c>
      <c r="T582" t="str">
        <f>_xlfn.XLOOKUP(Table1[[#This Row],[CustomerID_Check]],Table2[CustomerID],Table2[CustomerType],"Missing Value",0)</f>
        <v>Key Account</v>
      </c>
    </row>
    <row r="583" spans="1:20">
      <c r="A583" t="s">
        <v>826</v>
      </c>
      <c r="B583" s="1">
        <v>45797</v>
      </c>
      <c r="C583" t="s">
        <v>135</v>
      </c>
      <c r="D583" t="str">
        <f>UPPER(Table1[[#This Row],[ProductID_Clean]])</f>
        <v>P-SI-001</v>
      </c>
      <c r="E583" t="s">
        <v>72</v>
      </c>
      <c r="F583" t="s">
        <v>58</v>
      </c>
      <c r="G583" t="str">
        <f>TRIM(Table1[[#This Row],[Region_Clean]])</f>
        <v>APAC</v>
      </c>
      <c r="H583" t="s">
        <v>24</v>
      </c>
      <c r="I583" t="s">
        <v>34</v>
      </c>
      <c r="J583" s="3">
        <v>3</v>
      </c>
      <c r="K583" s="3">
        <v>355.63</v>
      </c>
      <c r="L583">
        <v>485</v>
      </c>
      <c r="M583">
        <v>1455</v>
      </c>
      <c r="N583">
        <v>388.11</v>
      </c>
      <c r="O583">
        <v>1066.8900000000001</v>
      </c>
      <c r="P583" t="s">
        <v>26</v>
      </c>
      <c r="Q583" t="s">
        <v>35</v>
      </c>
      <c r="R583" t="s">
        <v>28</v>
      </c>
      <c r="S583" t="str">
        <f>TRIM(PROPER(_xlfn.XLOOKUP(Table1[[#This Row],[ProductID_Clean]],Table3[ProductID],Table3[Category],"Missing Value",0)))</f>
        <v>Sensors</v>
      </c>
      <c r="T583" t="str">
        <f>_xlfn.XLOOKUP(Table1[[#This Row],[CustomerID_Check]],Table2[CustomerID],Table2[CustomerType],"Missing Value",0)</f>
        <v>Strategic</v>
      </c>
    </row>
    <row r="584" spans="1:20">
      <c r="A584" t="s">
        <v>827</v>
      </c>
      <c r="B584" s="1">
        <v>45787</v>
      </c>
      <c r="C584" t="s">
        <v>194</v>
      </c>
      <c r="D584" t="str">
        <f>UPPER(Table1[[#This Row],[ProductID_Clean]])</f>
        <v>P-SI-001</v>
      </c>
      <c r="E584" t="s">
        <v>72</v>
      </c>
      <c r="F584" t="s">
        <v>23</v>
      </c>
      <c r="G584" t="str">
        <f>TRIM(Table1[[#This Row],[Region_Clean]])</f>
        <v>N. AMERICA</v>
      </c>
      <c r="H584" t="s">
        <v>24</v>
      </c>
      <c r="I584" t="s">
        <v>87</v>
      </c>
      <c r="J584" s="3">
        <v>2</v>
      </c>
      <c r="K584" s="3">
        <v>368.28</v>
      </c>
      <c r="L584">
        <v>485</v>
      </c>
      <c r="M584">
        <v>970</v>
      </c>
      <c r="N584">
        <v>233.44</v>
      </c>
      <c r="O584">
        <v>736.56</v>
      </c>
      <c r="P584" t="s">
        <v>26</v>
      </c>
      <c r="Q584" t="s">
        <v>27</v>
      </c>
      <c r="R584" t="s">
        <v>36</v>
      </c>
      <c r="S584" t="str">
        <f>TRIM(PROPER(_xlfn.XLOOKUP(Table1[[#This Row],[ProductID_Clean]],Table3[ProductID],Table3[Category],"Missing Value",0)))</f>
        <v>Sensors</v>
      </c>
      <c r="T584" t="str">
        <f>_xlfn.XLOOKUP(Table1[[#This Row],[CustomerID_Check]],Table2[CustomerID],Table2[CustomerType],"Missing Value",0)</f>
        <v>Strategic</v>
      </c>
    </row>
    <row r="585" spans="1:20">
      <c r="A585" t="s">
        <v>828</v>
      </c>
      <c r="B585" s="1">
        <v>45663</v>
      </c>
      <c r="C585" t="s">
        <v>118</v>
      </c>
      <c r="D585" t="str">
        <f>UPPER(Table1[[#This Row],[ProductID_Clean]])</f>
        <v>P-SI-001</v>
      </c>
      <c r="E585" t="s">
        <v>72</v>
      </c>
      <c r="F585" t="s">
        <v>23</v>
      </c>
      <c r="G585" t="str">
        <f>TRIM(Table1[[#This Row],[Region_Clean]])</f>
        <v>N. AMERICA</v>
      </c>
      <c r="H585" t="s">
        <v>24</v>
      </c>
      <c r="I585" t="s">
        <v>87</v>
      </c>
      <c r="J585" s="3">
        <v>10</v>
      </c>
      <c r="K585" s="3">
        <v>373.55</v>
      </c>
      <c r="L585">
        <v>485</v>
      </c>
      <c r="M585">
        <v>4850</v>
      </c>
      <c r="N585">
        <v>1114.5</v>
      </c>
      <c r="O585">
        <v>3735.5</v>
      </c>
      <c r="P585" t="s">
        <v>26</v>
      </c>
      <c r="Q585" t="s">
        <v>65</v>
      </c>
      <c r="R585" t="s">
        <v>59</v>
      </c>
      <c r="S585" t="str">
        <f>TRIM(PROPER(_xlfn.XLOOKUP(Table1[[#This Row],[ProductID_Clean]],Table3[ProductID],Table3[Category],"Missing Value",0)))</f>
        <v>Sensors</v>
      </c>
      <c r="T585" t="str">
        <f>_xlfn.XLOOKUP(Table1[[#This Row],[CustomerID_Check]],Table2[CustomerID],Table2[CustomerType],"Missing Value",0)</f>
        <v>Key Account</v>
      </c>
    </row>
    <row r="586" spans="1:20">
      <c r="A586" t="s">
        <v>829</v>
      </c>
      <c r="B586" s="1">
        <v>45778</v>
      </c>
      <c r="C586" t="s">
        <v>830</v>
      </c>
      <c r="D586" t="str">
        <f>UPPER(Table1[[#This Row],[ProductID_Clean]])</f>
        <v>P-SI-007</v>
      </c>
      <c r="E586" t="s">
        <v>97</v>
      </c>
      <c r="F586" t="s">
        <v>23</v>
      </c>
      <c r="G586" t="str">
        <f>TRIM(Table1[[#This Row],[Region_Clean]])</f>
        <v>N. AMERICA</v>
      </c>
      <c r="H586" t="s">
        <v>24</v>
      </c>
      <c r="I586" t="s">
        <v>25</v>
      </c>
      <c r="J586" s="3">
        <v>1</v>
      </c>
      <c r="K586" s="3">
        <v>892.33</v>
      </c>
      <c r="L586">
        <v>980</v>
      </c>
      <c r="M586">
        <v>980</v>
      </c>
      <c r="N586">
        <v>87.67</v>
      </c>
      <c r="O586">
        <v>892.33</v>
      </c>
      <c r="P586" t="s">
        <v>26</v>
      </c>
      <c r="Q586" t="s">
        <v>35</v>
      </c>
      <c r="R586" t="s">
        <v>44</v>
      </c>
      <c r="S586" t="str">
        <f>TRIM(PROPER(_xlfn.XLOOKUP(Table1[[#This Row],[ProductID_Clean]],Table3[ProductID],Table3[Category],"Missing Value",0)))</f>
        <v>Sensors</v>
      </c>
      <c r="T586" t="str">
        <f>_xlfn.XLOOKUP(Table1[[#This Row],[CustomerID_Check]],Table2[CustomerID],Table2[CustomerType],"Missing Value",0)</f>
        <v>Emerging</v>
      </c>
    </row>
    <row r="587" spans="1:20">
      <c r="A587" t="s">
        <v>831</v>
      </c>
      <c r="B587" s="1">
        <v>45820</v>
      </c>
      <c r="C587" t="s">
        <v>442</v>
      </c>
      <c r="D587" t="str">
        <f>UPPER(Table1[[#This Row],[ProductID_Clean]])</f>
        <v>P-SI-003</v>
      </c>
      <c r="E587" t="s">
        <v>39</v>
      </c>
      <c r="F587" t="s">
        <v>23</v>
      </c>
      <c r="G587" t="str">
        <f>TRIM(Table1[[#This Row],[Region_Clean]])</f>
        <v>N. AMERICA</v>
      </c>
      <c r="H587" t="s">
        <v>24</v>
      </c>
      <c r="I587" t="s">
        <v>25</v>
      </c>
      <c r="J587" s="3">
        <v>3</v>
      </c>
      <c r="K587" s="3">
        <v>1741</v>
      </c>
      <c r="L587">
        <v>1890</v>
      </c>
      <c r="M587">
        <v>5670</v>
      </c>
      <c r="N587">
        <v>447</v>
      </c>
      <c r="O587">
        <v>5223</v>
      </c>
      <c r="P587" t="s">
        <v>26</v>
      </c>
      <c r="Q587" t="s">
        <v>27</v>
      </c>
      <c r="R587" t="s">
        <v>36</v>
      </c>
      <c r="S587" t="str">
        <f>TRIM(PROPER(_xlfn.XLOOKUP(Table1[[#This Row],[ProductID_Clean]],Table3[ProductID],Table3[Category],"Missing Value",0)))</f>
        <v>Instruments</v>
      </c>
      <c r="T587" t="str">
        <f>_xlfn.XLOOKUP(Table1[[#This Row],[CustomerID_Check]],Table2[CustomerID],Table2[CustomerType],"Missing Value",0)</f>
        <v>Standard</v>
      </c>
    </row>
    <row r="588" spans="1:20">
      <c r="A588" t="s">
        <v>832</v>
      </c>
      <c r="B588" s="1">
        <v>45753</v>
      </c>
      <c r="C588" t="s">
        <v>344</v>
      </c>
      <c r="D588" t="str">
        <f>UPPER(Table1[[#This Row],[ProductID_Clean]])</f>
        <v>P-SI-006</v>
      </c>
      <c r="E588" t="s">
        <v>43</v>
      </c>
      <c r="F588" t="s">
        <v>23</v>
      </c>
      <c r="G588" t="str">
        <f>TRIM(Table1[[#This Row],[Region_Clean]])</f>
        <v>N. AMERICA</v>
      </c>
      <c r="H588" t="s">
        <v>24</v>
      </c>
      <c r="I588" t="s">
        <v>25</v>
      </c>
      <c r="J588" s="3">
        <v>1</v>
      </c>
      <c r="K588" s="3">
        <v>182.8</v>
      </c>
      <c r="L588">
        <v>215</v>
      </c>
      <c r="M588">
        <v>215</v>
      </c>
      <c r="N588">
        <v>32.200000000000003</v>
      </c>
      <c r="O588">
        <v>182.8</v>
      </c>
      <c r="P588" t="s">
        <v>26</v>
      </c>
      <c r="Q588" t="s">
        <v>35</v>
      </c>
      <c r="R588" t="s">
        <v>59</v>
      </c>
      <c r="S588" t="str">
        <f>TRIM(PROPER(_xlfn.XLOOKUP(Table1[[#This Row],[ProductID_Clean]],Table3[ProductID],Table3[Category],"Missing Value",0)))</f>
        <v>Sensors</v>
      </c>
      <c r="T588" t="str">
        <f>_xlfn.XLOOKUP(Table1[[#This Row],[CustomerID_Check]],Table2[CustomerID],Table2[CustomerType],"Missing Value",0)</f>
        <v>Standard</v>
      </c>
    </row>
    <row r="589" spans="1:20">
      <c r="A589" t="s">
        <v>833</v>
      </c>
      <c r="B589" s="1">
        <v>45662</v>
      </c>
      <c r="C589" t="s">
        <v>410</v>
      </c>
      <c r="D589" t="str">
        <f>UPPER(Table1[[#This Row],[ProductID_Clean]])</f>
        <v>P-SI-001</v>
      </c>
      <c r="E589" t="s">
        <v>72</v>
      </c>
      <c r="F589" t="s">
        <v>23</v>
      </c>
      <c r="G589" t="str">
        <f>TRIM(Table1[[#This Row],[Region_Clean]])</f>
        <v>N. AMERICA</v>
      </c>
      <c r="H589" t="s">
        <v>24</v>
      </c>
      <c r="I589" t="s">
        <v>25</v>
      </c>
      <c r="J589" s="3">
        <v>3</v>
      </c>
      <c r="K589" s="3">
        <v>465.93</v>
      </c>
      <c r="L589">
        <v>485</v>
      </c>
      <c r="M589">
        <v>1455</v>
      </c>
      <c r="N589">
        <v>57.21</v>
      </c>
      <c r="O589">
        <v>1397.79</v>
      </c>
      <c r="P589" t="s">
        <v>113</v>
      </c>
      <c r="Q589" t="s">
        <v>27</v>
      </c>
      <c r="R589" t="s">
        <v>28</v>
      </c>
      <c r="S589" t="str">
        <f>TRIM(PROPER(_xlfn.XLOOKUP(Table1[[#This Row],[ProductID_Clean]],Table3[ProductID],Table3[Category],"Missing Value",0)))</f>
        <v>Sensors</v>
      </c>
      <c r="T589" t="str">
        <f>_xlfn.XLOOKUP(Table1[[#This Row],[CustomerID_Check]],Table2[CustomerID],Table2[CustomerType],"Missing Value",0)</f>
        <v>Key Account</v>
      </c>
    </row>
    <row r="590" spans="1:20">
      <c r="A590" t="s">
        <v>834</v>
      </c>
      <c r="B590" s="1">
        <v>45719</v>
      </c>
      <c r="C590" t="s">
        <v>339</v>
      </c>
      <c r="D590" t="str">
        <f>UPPER(Table1[[#This Row],[ProductID_Clean]])</f>
        <v>P-SI-007</v>
      </c>
      <c r="E590" t="s">
        <v>97</v>
      </c>
      <c r="F590" t="s">
        <v>47</v>
      </c>
      <c r="G590" t="str">
        <f>TRIM(Table1[[#This Row],[Region_Clean]])</f>
        <v>EMEA</v>
      </c>
      <c r="H590" t="s">
        <v>24</v>
      </c>
      <c r="I590" t="s">
        <v>25</v>
      </c>
      <c r="J590" s="3">
        <v>1</v>
      </c>
      <c r="K590" s="3">
        <v>863.98</v>
      </c>
      <c r="L590">
        <v>980</v>
      </c>
      <c r="M590">
        <v>980</v>
      </c>
      <c r="N590">
        <v>116.01999999999998</v>
      </c>
      <c r="O590">
        <v>863.98</v>
      </c>
      <c r="P590" t="s">
        <v>26</v>
      </c>
      <c r="Q590" t="s">
        <v>27</v>
      </c>
      <c r="R590" t="s">
        <v>48</v>
      </c>
      <c r="S590" t="str">
        <f>TRIM(PROPER(_xlfn.XLOOKUP(Table1[[#This Row],[ProductID_Clean]],Table3[ProductID],Table3[Category],"Missing Value",0)))</f>
        <v>Sensors</v>
      </c>
      <c r="T590" t="str">
        <f>_xlfn.XLOOKUP(Table1[[#This Row],[CustomerID_Check]],Table2[CustomerID],Table2[CustomerType],"Missing Value",0)</f>
        <v>Key Account</v>
      </c>
    </row>
    <row r="591" spans="1:20">
      <c r="A591" t="s">
        <v>835</v>
      </c>
      <c r="B591" s="1">
        <v>45719</v>
      </c>
      <c r="C591" t="s">
        <v>250</v>
      </c>
      <c r="D591" t="str">
        <f>UPPER(Table1[[#This Row],[ProductID_Clean]])</f>
        <v>P-FS-006</v>
      </c>
      <c r="E591" t="s">
        <v>92</v>
      </c>
      <c r="F591" t="s">
        <v>52</v>
      </c>
      <c r="G591" t="str">
        <f>TRIM(Table1[[#This Row],[Region_Clean]])</f>
        <v>N. AMERICA</v>
      </c>
      <c r="H591" t="s">
        <v>82</v>
      </c>
      <c r="I591" t="s">
        <v>25</v>
      </c>
      <c r="J591" s="3">
        <v>1</v>
      </c>
      <c r="K591" s="3">
        <v>1440.48</v>
      </c>
      <c r="L591">
        <v>1450</v>
      </c>
      <c r="M591">
        <v>1450</v>
      </c>
      <c r="N591">
        <v>9.52</v>
      </c>
      <c r="O591">
        <v>1440.48</v>
      </c>
      <c r="P591" t="s">
        <v>26</v>
      </c>
      <c r="Q591" t="s">
        <v>35</v>
      </c>
      <c r="R591" t="s">
        <v>36</v>
      </c>
      <c r="S591" t="str">
        <f>TRIM(PROPER(_xlfn.XLOOKUP(Table1[[#This Row],[ProductID_Clean]],Table3[ProductID],Table3[Category],"Missing Value",0)))</f>
        <v>Services</v>
      </c>
      <c r="T591" t="str">
        <f>_xlfn.XLOOKUP(Table1[[#This Row],[CustomerID_Check]],Table2[CustomerID],Table2[CustomerType],"Missing Value",0)</f>
        <v>Standard</v>
      </c>
    </row>
    <row r="592" spans="1:20">
      <c r="A592" t="s">
        <v>836</v>
      </c>
      <c r="B592" s="1">
        <v>45826</v>
      </c>
      <c r="C592" t="s">
        <v>837</v>
      </c>
      <c r="D592" t="str">
        <f>UPPER(Table1[[#This Row],[ProductID_Clean]])</f>
        <v>P-SI-001</v>
      </c>
      <c r="E592" t="s">
        <v>72</v>
      </c>
      <c r="F592" t="s">
        <v>47</v>
      </c>
      <c r="G592" t="str">
        <f>TRIM(Table1[[#This Row],[Region_Clean]])</f>
        <v>EMEA</v>
      </c>
      <c r="H592" t="s">
        <v>24</v>
      </c>
      <c r="I592" t="s">
        <v>87</v>
      </c>
      <c r="J592" s="3">
        <v>8</v>
      </c>
      <c r="K592" s="3">
        <v>411.3</v>
      </c>
      <c r="L592">
        <v>485</v>
      </c>
      <c r="M592">
        <v>3880</v>
      </c>
      <c r="N592">
        <v>589.6</v>
      </c>
      <c r="O592">
        <v>3290.4</v>
      </c>
      <c r="P592" t="s">
        <v>26</v>
      </c>
      <c r="Q592" t="s">
        <v>65</v>
      </c>
      <c r="R592" t="s">
        <v>28</v>
      </c>
      <c r="S592" t="str">
        <f>TRIM(PROPER(_xlfn.XLOOKUP(Table1[[#This Row],[ProductID_Clean]],Table3[ProductID],Table3[Category],"Missing Value",0)))</f>
        <v>Sensors</v>
      </c>
      <c r="T592" t="str">
        <f>_xlfn.XLOOKUP(Table1[[#This Row],[CustomerID_Check]],Table2[CustomerID],Table2[CustomerType],"Missing Value",0)</f>
        <v>Emerging</v>
      </c>
    </row>
    <row r="593" spans="1:20">
      <c r="A593" t="s">
        <v>838</v>
      </c>
      <c r="B593" s="1">
        <v>45684</v>
      </c>
      <c r="C593" t="s">
        <v>839</v>
      </c>
      <c r="D593" t="str">
        <f>UPPER(Table1[[#This Row],[ProductID_Clean]])</f>
        <v>P-SI-003</v>
      </c>
      <c r="E593" t="s">
        <v>39</v>
      </c>
      <c r="F593" t="s">
        <v>23</v>
      </c>
      <c r="G593" t="str">
        <f>TRIM(Table1[[#This Row],[Region_Clean]])</f>
        <v>N. AMERICA</v>
      </c>
      <c r="H593" t="s">
        <v>24</v>
      </c>
      <c r="I593" t="s">
        <v>25</v>
      </c>
      <c r="J593" s="3">
        <v>4</v>
      </c>
      <c r="K593" s="3">
        <v>1653.56</v>
      </c>
      <c r="L593">
        <v>1890</v>
      </c>
      <c r="M593">
        <v>7560</v>
      </c>
      <c r="N593">
        <v>945.76</v>
      </c>
      <c r="O593">
        <v>6614.24</v>
      </c>
      <c r="P593" t="s">
        <v>26</v>
      </c>
      <c r="Q593" t="s">
        <v>35</v>
      </c>
      <c r="R593" t="s">
        <v>44</v>
      </c>
      <c r="S593" t="str">
        <f>TRIM(PROPER(_xlfn.XLOOKUP(Table1[[#This Row],[ProductID_Clean]],Table3[ProductID],Table3[Category],"Missing Value",0)))</f>
        <v>Instruments</v>
      </c>
      <c r="T593" t="str">
        <f>_xlfn.XLOOKUP(Table1[[#This Row],[CustomerID_Check]],Table2[CustomerID],Table2[CustomerType],"Missing Value",0)</f>
        <v>Emerging</v>
      </c>
    </row>
    <row r="594" spans="1:20">
      <c r="A594" t="s">
        <v>840</v>
      </c>
      <c r="B594" s="1">
        <v>45743</v>
      </c>
      <c r="C594" t="s">
        <v>190</v>
      </c>
      <c r="D594" t="str">
        <f>UPPER(Table1[[#This Row],[ProductID_Clean]])</f>
        <v>P-SI-004</v>
      </c>
      <c r="E594" t="s">
        <v>22</v>
      </c>
      <c r="F594" t="s">
        <v>47</v>
      </c>
      <c r="G594" t="str">
        <f>TRIM(Table1[[#This Row],[Region_Clean]])</f>
        <v>EMEA</v>
      </c>
      <c r="H594" t="s">
        <v>24</v>
      </c>
      <c r="I594" t="s">
        <v>87</v>
      </c>
      <c r="J594" s="3">
        <v>3</v>
      </c>
      <c r="K594" s="3">
        <v>1987.07</v>
      </c>
      <c r="L594">
        <v>2450</v>
      </c>
      <c r="M594">
        <v>7350</v>
      </c>
      <c r="N594">
        <v>1388.79</v>
      </c>
      <c r="O594">
        <v>5961.21</v>
      </c>
      <c r="P594" t="s">
        <v>26</v>
      </c>
      <c r="Q594" t="s">
        <v>35</v>
      </c>
      <c r="R594" t="s">
        <v>36</v>
      </c>
      <c r="S594" t="str">
        <f>TRIM(PROPER(_xlfn.XLOOKUP(Table1[[#This Row],[ProductID_Clean]],Table3[ProductID],Table3[Category],"Missing Value",0)))</f>
        <v>Instruments</v>
      </c>
      <c r="T594" t="str">
        <f>_xlfn.XLOOKUP(Table1[[#This Row],[CustomerID_Check]],Table2[CustomerID],Table2[CustomerType],"Missing Value",0)</f>
        <v>Strategic</v>
      </c>
    </row>
    <row r="595" spans="1:20">
      <c r="A595" t="s">
        <v>841</v>
      </c>
      <c r="B595" s="1">
        <v>45797</v>
      </c>
      <c r="C595" t="s">
        <v>30</v>
      </c>
      <c r="D595" t="str">
        <f>UPPER(Table1[[#This Row],[ProductID_Clean]])</f>
        <v>P-SI-008</v>
      </c>
      <c r="E595" t="s">
        <v>152</v>
      </c>
      <c r="F595" t="s">
        <v>32</v>
      </c>
      <c r="G595" t="str">
        <f>TRIM(Table1[[#This Row],[Region_Clean]])</f>
        <v>LATIN AMERICA</v>
      </c>
      <c r="H595" t="s">
        <v>24</v>
      </c>
      <c r="I595" t="s">
        <v>87</v>
      </c>
      <c r="J595" s="3">
        <v>1</v>
      </c>
      <c r="K595" s="3">
        <v>685.83</v>
      </c>
      <c r="L595">
        <v>950</v>
      </c>
      <c r="M595">
        <v>950</v>
      </c>
      <c r="N595">
        <v>264.17</v>
      </c>
      <c r="O595">
        <v>685.83</v>
      </c>
      <c r="P595" t="s">
        <v>26</v>
      </c>
      <c r="Q595" t="s">
        <v>65</v>
      </c>
      <c r="R595" t="s">
        <v>36</v>
      </c>
      <c r="S595" t="str">
        <f>TRIM(PROPER(_xlfn.XLOOKUP(Table1[[#This Row],[ProductID_Clean]],Table3[ProductID],Table3[Category],"Missing Value",0)))</f>
        <v>Instruments</v>
      </c>
      <c r="T595" t="str">
        <f>_xlfn.XLOOKUP(Table1[[#This Row],[CustomerID_Check]],Table2[CustomerID],Table2[CustomerType],"Missing Value",0)</f>
        <v>Strategic</v>
      </c>
    </row>
    <row r="596" spans="1:20" hidden="1">
      <c r="A596" t="s">
        <v>842</v>
      </c>
      <c r="B596" s="1">
        <v>45822</v>
      </c>
      <c r="C596" t="s">
        <v>160</v>
      </c>
      <c r="D596" t="str">
        <f>UPPER(Table1[[#This Row],[ProductID_Clean]])</f>
        <v>INVALID ID</v>
      </c>
      <c r="E596" t="s">
        <v>76</v>
      </c>
      <c r="F596" t="s">
        <v>47</v>
      </c>
      <c r="G596" t="str">
        <f>TRIM(Table1[[#This Row],[Region_Clean]])</f>
        <v>EMEA</v>
      </c>
      <c r="H596" t="s">
        <v>24</v>
      </c>
      <c r="I596" t="s">
        <v>25</v>
      </c>
      <c r="J596" s="3">
        <v>3</v>
      </c>
      <c r="K596" s="3">
        <v>682.86</v>
      </c>
      <c r="L596">
        <v>725</v>
      </c>
      <c r="M596">
        <v>2175</v>
      </c>
      <c r="N596">
        <v>126.42</v>
      </c>
      <c r="O596">
        <v>2048.58</v>
      </c>
      <c r="P596" t="s">
        <v>26</v>
      </c>
      <c r="Q596" t="s">
        <v>35</v>
      </c>
      <c r="R596" t="s">
        <v>59</v>
      </c>
      <c r="S596" t="str">
        <f>TRIM(PROPER(_xlfn.XLOOKUP(Table1[[#This Row],[ProductID_Clean]],Table3[ProductID],Table3[Category],"Missing Value",0)))</f>
        <v>Missing Value</v>
      </c>
      <c r="T596" t="str">
        <f>_xlfn.XLOOKUP(Table1[[#This Row],[CustomerID_Check]],Table2[CustomerID],Table2[CustomerType],"Missing Value",0)</f>
        <v>Key Account</v>
      </c>
    </row>
    <row r="597" spans="1:20">
      <c r="A597" t="s">
        <v>843</v>
      </c>
      <c r="B597" s="1">
        <v>45833</v>
      </c>
      <c r="C597" t="s">
        <v>125</v>
      </c>
      <c r="D597" t="str">
        <f>UPPER(Table1[[#This Row],[ProductID_Clean]])</f>
        <v>P-SI-008</v>
      </c>
      <c r="E597" t="s">
        <v>152</v>
      </c>
      <c r="F597" t="s">
        <v>58</v>
      </c>
      <c r="G597" t="str">
        <f>TRIM(Table1[[#This Row],[Region_Clean]])</f>
        <v>APAC</v>
      </c>
      <c r="H597" t="s">
        <v>24</v>
      </c>
      <c r="I597" t="s">
        <v>166</v>
      </c>
      <c r="J597" s="3">
        <v>1</v>
      </c>
      <c r="K597" s="3">
        <v>794.7</v>
      </c>
      <c r="L597">
        <v>950</v>
      </c>
      <c r="M597">
        <v>950</v>
      </c>
      <c r="N597">
        <v>155.30000000000001</v>
      </c>
      <c r="O597">
        <v>794.7</v>
      </c>
      <c r="P597" t="s">
        <v>26</v>
      </c>
      <c r="Q597" t="s">
        <v>35</v>
      </c>
      <c r="R597" t="s">
        <v>36</v>
      </c>
      <c r="S597" t="str">
        <f>TRIM(PROPER(_xlfn.XLOOKUP(Table1[[#This Row],[ProductID_Clean]],Table3[ProductID],Table3[Category],"Missing Value",0)))</f>
        <v>Instruments</v>
      </c>
      <c r="T597" t="str">
        <f>_xlfn.XLOOKUP(Table1[[#This Row],[CustomerID_Check]],Table2[CustomerID],Table2[CustomerType],"Missing Value",0)</f>
        <v>Strategic</v>
      </c>
    </row>
    <row r="598" spans="1:20">
      <c r="A598" t="s">
        <v>844</v>
      </c>
      <c r="B598" s="1">
        <v>45836</v>
      </c>
      <c r="C598" t="s">
        <v>463</v>
      </c>
      <c r="D598" t="str">
        <f>UPPER(Table1[[#This Row],[ProductID_Clean]])</f>
        <v>P-FS-002</v>
      </c>
      <c r="E598" t="s">
        <v>81</v>
      </c>
      <c r="F598" t="s">
        <v>47</v>
      </c>
      <c r="G598" t="str">
        <f>TRIM(Table1[[#This Row],[Region_Clean]])</f>
        <v>EMEA</v>
      </c>
      <c r="H598" t="s">
        <v>82</v>
      </c>
      <c r="I598" t="s">
        <v>25</v>
      </c>
      <c r="J598" s="3">
        <v>1</v>
      </c>
      <c r="K598" s="3">
        <v>2116.73</v>
      </c>
      <c r="L598">
        <v>2400</v>
      </c>
      <c r="M598">
        <v>2400</v>
      </c>
      <c r="N598">
        <v>283.27</v>
      </c>
      <c r="O598">
        <v>2116.73</v>
      </c>
      <c r="P598" t="s">
        <v>26</v>
      </c>
      <c r="Q598" t="s">
        <v>94</v>
      </c>
      <c r="R598" t="s">
        <v>48</v>
      </c>
      <c r="S598" t="str">
        <f>TRIM(PROPER(_xlfn.XLOOKUP(Table1[[#This Row],[ProductID_Clean]],Table3[ProductID],Table3[Category],"Missing Value",0)))</f>
        <v>Services</v>
      </c>
      <c r="T598" t="str">
        <f>_xlfn.XLOOKUP(Table1[[#This Row],[CustomerID_Check]],Table2[CustomerID],Table2[CustomerType],"Missing Value",0)</f>
        <v>Key Account</v>
      </c>
    </row>
    <row r="599" spans="1:20">
      <c r="A599" t="s">
        <v>845</v>
      </c>
      <c r="B599" s="1">
        <v>45692</v>
      </c>
      <c r="C599" t="s">
        <v>100</v>
      </c>
      <c r="D599" t="str">
        <f>UPPER(Table1[[#This Row],[ProductID_Clean]])</f>
        <v>P-SI-003</v>
      </c>
      <c r="E599" t="s">
        <v>39</v>
      </c>
      <c r="F599" t="s">
        <v>47</v>
      </c>
      <c r="G599" t="str">
        <f>TRIM(Table1[[#This Row],[Region_Clean]])</f>
        <v>EMEA</v>
      </c>
      <c r="H599" t="s">
        <v>24</v>
      </c>
      <c r="I599" t="s">
        <v>25</v>
      </c>
      <c r="J599" s="3">
        <v>5</v>
      </c>
      <c r="K599" s="3">
        <v>1611.17</v>
      </c>
      <c r="L599">
        <v>1890</v>
      </c>
      <c r="M599">
        <v>9450</v>
      </c>
      <c r="N599">
        <v>1394.15</v>
      </c>
      <c r="O599">
        <v>8055.85</v>
      </c>
      <c r="P599" t="s">
        <v>26</v>
      </c>
      <c r="Q599" t="s">
        <v>65</v>
      </c>
      <c r="R599" t="s">
        <v>36</v>
      </c>
      <c r="S599" t="str">
        <f>TRIM(PROPER(_xlfn.XLOOKUP(Table1[[#This Row],[ProductID_Clean]],Table3[ProductID],Table3[Category],"Missing Value",0)))</f>
        <v>Instruments</v>
      </c>
      <c r="T599" t="str">
        <f>_xlfn.XLOOKUP(Table1[[#This Row],[CustomerID_Check]],Table2[CustomerID],Table2[CustomerType],"Missing Value",0)</f>
        <v>Strategic</v>
      </c>
    </row>
    <row r="600" spans="1:20">
      <c r="A600" t="s">
        <v>846</v>
      </c>
      <c r="B600" s="1">
        <v>45775</v>
      </c>
      <c r="C600" t="s">
        <v>399</v>
      </c>
      <c r="D600" t="str">
        <f>UPPER(Table1[[#This Row],[ProductID_Clean]])</f>
        <v>P-SI-002</v>
      </c>
      <c r="E600" t="s">
        <v>31</v>
      </c>
      <c r="F600" t="s">
        <v>47</v>
      </c>
      <c r="G600" t="str">
        <f>TRIM(Table1[[#This Row],[Region_Clean]])</f>
        <v>EMEA</v>
      </c>
      <c r="H600" t="s">
        <v>24</v>
      </c>
      <c r="I600" t="s">
        <v>87</v>
      </c>
      <c r="J600" s="3">
        <v>2</v>
      </c>
      <c r="K600" s="3">
        <v>610.62</v>
      </c>
      <c r="L600">
        <v>725</v>
      </c>
      <c r="M600">
        <v>1450</v>
      </c>
      <c r="N600">
        <v>228.76</v>
      </c>
      <c r="O600">
        <v>1221.24</v>
      </c>
      <c r="P600" t="s">
        <v>26</v>
      </c>
      <c r="Q600" t="s">
        <v>35</v>
      </c>
      <c r="R600" t="s">
        <v>59</v>
      </c>
      <c r="S600" t="str">
        <f>TRIM(PROPER(_xlfn.XLOOKUP(Table1[[#This Row],[ProductID_Clean]],Table3[ProductID],Table3[Category],"Missing Value",0)))</f>
        <v>Sensors</v>
      </c>
      <c r="T600" t="str">
        <f>_xlfn.XLOOKUP(Table1[[#This Row],[CustomerID_Check]],Table2[CustomerID],Table2[CustomerType],"Missing Value",0)</f>
        <v>Emerging</v>
      </c>
    </row>
    <row r="601" spans="1:20">
      <c r="A601" t="s">
        <v>847</v>
      </c>
      <c r="B601" s="1">
        <v>45669</v>
      </c>
      <c r="C601" t="s">
        <v>76</v>
      </c>
      <c r="D601" t="str">
        <f>UPPER(Table1[[#This Row],[ProductID_Clean]])</f>
        <v>P-SI-002</v>
      </c>
      <c r="E601" t="s">
        <v>31</v>
      </c>
      <c r="F601" t="s">
        <v>32</v>
      </c>
      <c r="G601" t="str">
        <f>TRIM(Table1[[#This Row],[Region_Clean]])</f>
        <v>LATIN AMERICA</v>
      </c>
      <c r="H601" t="s">
        <v>24</v>
      </c>
      <c r="I601" t="s">
        <v>166</v>
      </c>
      <c r="J601" s="3">
        <v>1</v>
      </c>
      <c r="K601" s="3">
        <v>540.15</v>
      </c>
      <c r="L601">
        <v>725</v>
      </c>
      <c r="M601">
        <v>725</v>
      </c>
      <c r="N601">
        <v>184.85</v>
      </c>
      <c r="O601">
        <v>540.15</v>
      </c>
      <c r="P601" t="s">
        <v>26</v>
      </c>
      <c r="Q601" t="s">
        <v>40</v>
      </c>
      <c r="R601" t="s">
        <v>36</v>
      </c>
      <c r="S601" t="str">
        <f>TRIM(PROPER(_xlfn.XLOOKUP(Table1[[#This Row],[ProductID_Clean]],Table3[ProductID],Table3[Category],"Missing Value",0)))</f>
        <v>Sensors</v>
      </c>
      <c r="T601" t="str">
        <f>_xlfn.XLOOKUP(Table1[[#This Row],[CustomerID_Check]],Table2[CustomerID],Table2[CustomerType],"Missing Value",0)</f>
        <v>Missing Value</v>
      </c>
    </row>
    <row r="602" spans="1:20">
      <c r="A602" t="s">
        <v>848</v>
      </c>
      <c r="B602" s="1">
        <v>45668</v>
      </c>
      <c r="C602" t="s">
        <v>197</v>
      </c>
      <c r="D602" t="str">
        <f>UPPER(Table1[[#This Row],[ProductID_Clean]])</f>
        <v>P-SA-003</v>
      </c>
      <c r="E602" t="s">
        <v>51</v>
      </c>
      <c r="F602" t="s">
        <v>58</v>
      </c>
      <c r="G602" t="str">
        <f>TRIM(Table1[[#This Row],[Region_Clean]])</f>
        <v>APAC</v>
      </c>
      <c r="H602" t="s">
        <v>53</v>
      </c>
      <c r="I602" t="s">
        <v>25</v>
      </c>
      <c r="J602" s="3">
        <v>1</v>
      </c>
      <c r="K602" s="3">
        <v>2178.13</v>
      </c>
      <c r="L602">
        <v>2750</v>
      </c>
      <c r="M602">
        <v>2750</v>
      </c>
      <c r="N602">
        <v>571.87</v>
      </c>
      <c r="O602">
        <v>2178.13</v>
      </c>
      <c r="P602" t="s">
        <v>26</v>
      </c>
      <c r="Q602" t="s">
        <v>54</v>
      </c>
      <c r="R602" t="s">
        <v>28</v>
      </c>
      <c r="S602" t="str">
        <f>TRIM(PROPER(_xlfn.XLOOKUP(Table1[[#This Row],[ProductID_Clean]],Table3[ProductID],Table3[Category],"Missing Value",0)))</f>
        <v>Software</v>
      </c>
      <c r="T602" t="str">
        <f>_xlfn.XLOOKUP(Table1[[#This Row],[CustomerID_Check]],Table2[CustomerID],Table2[CustomerType],"Missing Value",0)</f>
        <v>Strategic</v>
      </c>
    </row>
    <row r="603" spans="1:20">
      <c r="A603" t="s">
        <v>849</v>
      </c>
      <c r="B603" s="1">
        <v>45737</v>
      </c>
      <c r="C603" t="s">
        <v>118</v>
      </c>
      <c r="D603" t="str">
        <f>UPPER(Table1[[#This Row],[ProductID_Clean]])</f>
        <v>P-SA-005</v>
      </c>
      <c r="E603" t="s">
        <v>62</v>
      </c>
      <c r="F603" t="s">
        <v>23</v>
      </c>
      <c r="G603" t="str">
        <f>TRIM(Table1[[#This Row],[Region_Clean]])</f>
        <v>N. AMERICA</v>
      </c>
      <c r="H603" t="s">
        <v>53</v>
      </c>
      <c r="I603" t="s">
        <v>87</v>
      </c>
      <c r="J603" s="3">
        <v>1</v>
      </c>
      <c r="K603" s="3">
        <v>2516.91</v>
      </c>
      <c r="L603">
        <v>3200</v>
      </c>
      <c r="M603">
        <v>3200</v>
      </c>
      <c r="N603">
        <v>683.09</v>
      </c>
      <c r="O603">
        <v>2516.91</v>
      </c>
      <c r="P603" t="s">
        <v>26</v>
      </c>
      <c r="Q603" t="s">
        <v>54</v>
      </c>
      <c r="R603" t="s">
        <v>59</v>
      </c>
      <c r="S603" t="str">
        <f>TRIM(PROPER(_xlfn.XLOOKUP(Table1[[#This Row],[ProductID_Clean]],Table3[ProductID],Table3[Category],"Missing Value",0)))</f>
        <v>Software / Integration</v>
      </c>
      <c r="T603" t="str">
        <f>_xlfn.XLOOKUP(Table1[[#This Row],[CustomerID_Check]],Table2[CustomerID],Table2[CustomerType],"Missing Value",0)</f>
        <v>Key Account</v>
      </c>
    </row>
    <row r="604" spans="1:20">
      <c r="A604" t="s">
        <v>850</v>
      </c>
      <c r="B604" s="1">
        <v>45759</v>
      </c>
      <c r="C604" t="s">
        <v>182</v>
      </c>
      <c r="D604" t="str">
        <f>UPPER(Table1[[#This Row],[ProductID_Clean]])</f>
        <v>P-SI-007</v>
      </c>
      <c r="E604" t="s">
        <v>97</v>
      </c>
      <c r="F604" t="s">
        <v>47</v>
      </c>
      <c r="G604" t="str">
        <f>TRIM(Table1[[#This Row],[Region_Clean]])</f>
        <v>EMEA</v>
      </c>
      <c r="H604" t="s">
        <v>24</v>
      </c>
      <c r="I604" t="s">
        <v>34</v>
      </c>
      <c r="J604" s="3">
        <v>4</v>
      </c>
      <c r="K604" s="3">
        <v>835.41</v>
      </c>
      <c r="L604">
        <v>980</v>
      </c>
      <c r="M604">
        <v>3920</v>
      </c>
      <c r="N604">
        <v>578.36</v>
      </c>
      <c r="O604">
        <v>3341.64</v>
      </c>
      <c r="P604" t="s">
        <v>26</v>
      </c>
      <c r="Q604" t="s">
        <v>35</v>
      </c>
      <c r="R604" t="s">
        <v>44</v>
      </c>
      <c r="S604" t="str">
        <f>TRIM(PROPER(_xlfn.XLOOKUP(Table1[[#This Row],[ProductID_Clean]],Table3[ProductID],Table3[Category],"Missing Value",0)))</f>
        <v>Sensors</v>
      </c>
      <c r="T604" t="str">
        <f>_xlfn.XLOOKUP(Table1[[#This Row],[CustomerID_Check]],Table2[CustomerID],Table2[CustomerType],"Missing Value",0)</f>
        <v>Key Account</v>
      </c>
    </row>
    <row r="605" spans="1:20">
      <c r="A605" t="s">
        <v>851</v>
      </c>
      <c r="B605" s="1">
        <v>45779</v>
      </c>
      <c r="C605" t="s">
        <v>554</v>
      </c>
      <c r="D605" t="str">
        <f>UPPER(Table1[[#This Row],[ProductID_Clean]])</f>
        <v>P-SI-007</v>
      </c>
      <c r="E605" t="s">
        <v>97</v>
      </c>
      <c r="F605" t="s">
        <v>47</v>
      </c>
      <c r="G605" t="str">
        <f>TRIM(Table1[[#This Row],[Region_Clean]])</f>
        <v>EMEA</v>
      </c>
      <c r="H605" t="s">
        <v>24</v>
      </c>
      <c r="I605" t="s">
        <v>25</v>
      </c>
      <c r="J605" s="3">
        <v>10</v>
      </c>
      <c r="K605" s="3">
        <v>929.15</v>
      </c>
      <c r="L605">
        <v>980</v>
      </c>
      <c r="M605">
        <v>9800</v>
      </c>
      <c r="N605">
        <v>508.5</v>
      </c>
      <c r="O605">
        <v>9291.5</v>
      </c>
      <c r="P605" t="s">
        <v>26</v>
      </c>
      <c r="Q605" t="s">
        <v>65</v>
      </c>
      <c r="R605" t="s">
        <v>28</v>
      </c>
      <c r="S605" t="str">
        <f>TRIM(PROPER(_xlfn.XLOOKUP(Table1[[#This Row],[ProductID_Clean]],Table3[ProductID],Table3[Category],"Missing Value",0)))</f>
        <v>Sensors</v>
      </c>
      <c r="T605" t="str">
        <f>_xlfn.XLOOKUP(Table1[[#This Row],[CustomerID_Check]],Table2[CustomerID],Table2[CustomerType],"Missing Value",0)</f>
        <v>Standard</v>
      </c>
    </row>
    <row r="606" spans="1:20">
      <c r="A606" t="s">
        <v>852</v>
      </c>
      <c r="B606" s="1">
        <v>45667</v>
      </c>
      <c r="C606" t="s">
        <v>339</v>
      </c>
      <c r="D606" t="str">
        <f>UPPER(Table1[[#This Row],[ProductID_Clean]])</f>
        <v>P-SI-001</v>
      </c>
      <c r="E606" t="s">
        <v>72</v>
      </c>
      <c r="F606" t="s">
        <v>47</v>
      </c>
      <c r="G606" t="str">
        <f>TRIM(Table1[[#This Row],[Region_Clean]])</f>
        <v>EMEA</v>
      </c>
      <c r="H606" t="s">
        <v>24</v>
      </c>
      <c r="I606" t="s">
        <v>25</v>
      </c>
      <c r="J606" s="3">
        <v>8</v>
      </c>
      <c r="K606" s="3">
        <v>440.56</v>
      </c>
      <c r="L606">
        <v>485</v>
      </c>
      <c r="M606">
        <v>3880</v>
      </c>
      <c r="N606">
        <v>355.52</v>
      </c>
      <c r="O606">
        <v>3524.48</v>
      </c>
      <c r="P606" t="s">
        <v>26</v>
      </c>
      <c r="Q606" t="s">
        <v>35</v>
      </c>
      <c r="R606" t="s">
        <v>48</v>
      </c>
      <c r="S606" t="str">
        <f>TRIM(PROPER(_xlfn.XLOOKUP(Table1[[#This Row],[ProductID_Clean]],Table3[ProductID],Table3[Category],"Missing Value",0)))</f>
        <v>Sensors</v>
      </c>
      <c r="T606" t="str">
        <f>_xlfn.XLOOKUP(Table1[[#This Row],[CustomerID_Check]],Table2[CustomerID],Table2[CustomerType],"Missing Value",0)</f>
        <v>Key Account</v>
      </c>
    </row>
    <row r="607" spans="1:20">
      <c r="A607" t="s">
        <v>853</v>
      </c>
      <c r="B607" s="1">
        <v>45706</v>
      </c>
      <c r="C607" t="s">
        <v>160</v>
      </c>
      <c r="D607" t="str">
        <f>UPPER(Table1[[#This Row],[ProductID_Clean]])</f>
        <v>P-SI-002</v>
      </c>
      <c r="E607" t="s">
        <v>31</v>
      </c>
      <c r="F607" t="s">
        <v>47</v>
      </c>
      <c r="G607" t="str">
        <f>TRIM(Table1[[#This Row],[Region_Clean]])</f>
        <v>EMEA</v>
      </c>
      <c r="H607" t="s">
        <v>24</v>
      </c>
      <c r="I607" t="s">
        <v>25</v>
      </c>
      <c r="J607" s="3">
        <v>2</v>
      </c>
      <c r="K607" s="3">
        <v>643.29</v>
      </c>
      <c r="L607">
        <v>725</v>
      </c>
      <c r="M607">
        <v>1450</v>
      </c>
      <c r="N607">
        <v>163.41999999999999</v>
      </c>
      <c r="O607">
        <v>1286.58</v>
      </c>
      <c r="P607" t="s">
        <v>113</v>
      </c>
      <c r="Q607" t="s">
        <v>27</v>
      </c>
      <c r="R607" t="s">
        <v>59</v>
      </c>
      <c r="S607" t="str">
        <f>TRIM(PROPER(_xlfn.XLOOKUP(Table1[[#This Row],[ProductID_Clean]],Table3[ProductID],Table3[Category],"Missing Value",0)))</f>
        <v>Sensors</v>
      </c>
      <c r="T607" t="str">
        <f>_xlfn.XLOOKUP(Table1[[#This Row],[CustomerID_Check]],Table2[CustomerID],Table2[CustomerType],"Missing Value",0)</f>
        <v>Key Account</v>
      </c>
    </row>
    <row r="608" spans="1:20">
      <c r="A608" t="s">
        <v>854</v>
      </c>
      <c r="B608" s="1">
        <v>45749</v>
      </c>
      <c r="C608" t="s">
        <v>303</v>
      </c>
      <c r="D608" t="str">
        <f>UPPER(Table1[[#This Row],[ProductID_Clean]])</f>
        <v>P-SI-005</v>
      </c>
      <c r="E608" t="s">
        <v>57</v>
      </c>
      <c r="F608" t="s">
        <v>23</v>
      </c>
      <c r="G608" t="str">
        <f>TRIM(Table1[[#This Row],[Region_Clean]])</f>
        <v>N. AMERICA</v>
      </c>
      <c r="H608" t="s">
        <v>24</v>
      </c>
      <c r="I608" t="s">
        <v>25</v>
      </c>
      <c r="J608" s="3">
        <v>5</v>
      </c>
      <c r="K608" s="3">
        <v>1099.55</v>
      </c>
      <c r="L608">
        <v>1120</v>
      </c>
      <c r="M608">
        <v>5600</v>
      </c>
      <c r="N608">
        <v>102.25</v>
      </c>
      <c r="O608">
        <v>5497.75</v>
      </c>
      <c r="P608" t="s">
        <v>26</v>
      </c>
      <c r="Q608" t="s">
        <v>27</v>
      </c>
      <c r="R608" t="s">
        <v>59</v>
      </c>
      <c r="S608" t="str">
        <f>TRIM(PROPER(_xlfn.XLOOKUP(Table1[[#This Row],[ProductID_Clean]],Table3[ProductID],Table3[Category],"Missing Value",0)))</f>
        <v>Sensors</v>
      </c>
      <c r="T608" t="str">
        <f>_xlfn.XLOOKUP(Table1[[#This Row],[CustomerID_Check]],Table2[CustomerID],Table2[CustomerType],"Missing Value",0)</f>
        <v>Standard</v>
      </c>
    </row>
    <row r="609" spans="1:20">
      <c r="A609" t="s">
        <v>855</v>
      </c>
      <c r="B609" s="1">
        <v>45825</v>
      </c>
      <c r="C609" t="s">
        <v>229</v>
      </c>
      <c r="D609" t="str">
        <f>UPPER(Table1[[#This Row],[ProductID_Clean]])</f>
        <v>P-SI-002</v>
      </c>
      <c r="E609" t="s">
        <v>31</v>
      </c>
      <c r="F609" t="s">
        <v>23</v>
      </c>
      <c r="G609" t="str">
        <f>TRIM(Table1[[#This Row],[Region_Clean]])</f>
        <v>N. AMERICA</v>
      </c>
      <c r="H609" t="s">
        <v>24</v>
      </c>
      <c r="I609" t="s">
        <v>25</v>
      </c>
      <c r="J609" s="3">
        <v>8</v>
      </c>
      <c r="K609" s="3">
        <v>689.76</v>
      </c>
      <c r="L609">
        <v>725</v>
      </c>
      <c r="M609">
        <v>5800</v>
      </c>
      <c r="N609">
        <v>281.92</v>
      </c>
      <c r="O609">
        <v>5518.08</v>
      </c>
      <c r="P609" t="s">
        <v>26</v>
      </c>
      <c r="Q609" t="s">
        <v>35</v>
      </c>
      <c r="R609" t="s">
        <v>48</v>
      </c>
      <c r="S609" t="str">
        <f>TRIM(PROPER(_xlfn.XLOOKUP(Table1[[#This Row],[ProductID_Clean]],Table3[ProductID],Table3[Category],"Missing Value",0)))</f>
        <v>Sensors</v>
      </c>
      <c r="T609" t="str">
        <f>_xlfn.XLOOKUP(Table1[[#This Row],[CustomerID_Check]],Table2[CustomerID],Table2[CustomerType],"Missing Value",0)</f>
        <v>Standard</v>
      </c>
    </row>
    <row r="610" spans="1:20">
      <c r="A610" t="s">
        <v>856</v>
      </c>
      <c r="B610" s="1">
        <v>45727</v>
      </c>
      <c r="C610" t="s">
        <v>204</v>
      </c>
      <c r="D610" t="str">
        <f>UPPER(Table1[[#This Row],[ProductID_Clean]])</f>
        <v>P-FS-001</v>
      </c>
      <c r="E610" t="s">
        <v>133</v>
      </c>
      <c r="F610" t="s">
        <v>47</v>
      </c>
      <c r="G610" t="str">
        <f>TRIM(Table1[[#This Row],[Region_Clean]])</f>
        <v>EMEA</v>
      </c>
      <c r="H610" t="s">
        <v>82</v>
      </c>
      <c r="I610" t="s">
        <v>25</v>
      </c>
      <c r="J610" s="3">
        <v>1</v>
      </c>
      <c r="K610" s="3">
        <v>1633.76</v>
      </c>
      <c r="L610">
        <v>1850</v>
      </c>
      <c r="M610">
        <v>1850</v>
      </c>
      <c r="N610">
        <v>216.24</v>
      </c>
      <c r="O610">
        <v>1633.76</v>
      </c>
      <c r="P610" t="s">
        <v>26</v>
      </c>
      <c r="Q610" t="s">
        <v>35</v>
      </c>
      <c r="R610" t="s">
        <v>48</v>
      </c>
      <c r="S610" t="str">
        <f>TRIM(PROPER(_xlfn.XLOOKUP(Table1[[#This Row],[ProductID_Clean]],Table3[ProductID],Table3[Category],"Missing Value",0)))</f>
        <v>Services</v>
      </c>
      <c r="T610" t="str">
        <f>_xlfn.XLOOKUP(Table1[[#This Row],[CustomerID_Check]],Table2[CustomerID],Table2[CustomerType],"Missing Value",0)</f>
        <v>Standard</v>
      </c>
    </row>
    <row r="611" spans="1:20">
      <c r="A611" t="s">
        <v>857</v>
      </c>
      <c r="B611" s="1">
        <v>45752</v>
      </c>
      <c r="C611" t="s">
        <v>218</v>
      </c>
      <c r="D611" t="str">
        <f>UPPER(Table1[[#This Row],[ProductID_Clean]])</f>
        <v>P-SI-003</v>
      </c>
      <c r="E611" t="s">
        <v>39</v>
      </c>
      <c r="F611" t="s">
        <v>23</v>
      </c>
      <c r="G611" t="str">
        <f>TRIM(Table1[[#This Row],[Region_Clean]])</f>
        <v>N. AMERICA</v>
      </c>
      <c r="H611" t="s">
        <v>24</v>
      </c>
      <c r="I611" t="s">
        <v>87</v>
      </c>
      <c r="J611" s="3">
        <v>4</v>
      </c>
      <c r="K611" s="3">
        <v>1586.24</v>
      </c>
      <c r="L611">
        <v>1890</v>
      </c>
      <c r="M611">
        <v>7560</v>
      </c>
      <c r="N611">
        <v>1215.04</v>
      </c>
      <c r="O611">
        <v>6344.96</v>
      </c>
      <c r="P611" t="s">
        <v>26</v>
      </c>
      <c r="Q611" t="s">
        <v>35</v>
      </c>
      <c r="R611" t="s">
        <v>59</v>
      </c>
      <c r="S611" t="str">
        <f>TRIM(PROPER(_xlfn.XLOOKUP(Table1[[#This Row],[ProductID_Clean]],Table3[ProductID],Table3[Category],"Missing Value",0)))</f>
        <v>Instruments</v>
      </c>
      <c r="T611" t="str">
        <f>_xlfn.XLOOKUP(Table1[[#This Row],[CustomerID_Check]],Table2[CustomerID],Table2[CustomerType],"Missing Value",0)</f>
        <v>Standard</v>
      </c>
    </row>
    <row r="612" spans="1:20">
      <c r="A612" t="s">
        <v>858</v>
      </c>
      <c r="B612" s="1">
        <v>45760</v>
      </c>
      <c r="C612" t="s">
        <v>361</v>
      </c>
      <c r="D612" t="str">
        <f>UPPER(Table1[[#This Row],[ProductID_Clean]])</f>
        <v>P-SI-008</v>
      </c>
      <c r="E612" t="s">
        <v>152</v>
      </c>
      <c r="F612" t="s">
        <v>58</v>
      </c>
      <c r="G612" t="str">
        <f>TRIM(Table1[[#This Row],[Region_Clean]])</f>
        <v>APAC</v>
      </c>
      <c r="H612" t="s">
        <v>24</v>
      </c>
      <c r="I612" t="s">
        <v>25</v>
      </c>
      <c r="J612" s="3">
        <v>5</v>
      </c>
      <c r="K612" s="3">
        <v>841.38</v>
      </c>
      <c r="L612">
        <v>950</v>
      </c>
      <c r="M612">
        <v>4750</v>
      </c>
      <c r="N612">
        <v>543.1</v>
      </c>
      <c r="O612">
        <v>4206.8999999999996</v>
      </c>
      <c r="P612" t="s">
        <v>26</v>
      </c>
      <c r="Q612" t="s">
        <v>65</v>
      </c>
      <c r="R612" t="s">
        <v>44</v>
      </c>
      <c r="S612" t="str">
        <f>TRIM(PROPER(_xlfn.XLOOKUP(Table1[[#This Row],[ProductID_Clean]],Table3[ProductID],Table3[Category],"Missing Value",0)))</f>
        <v>Instruments</v>
      </c>
      <c r="T612" t="str">
        <f>_xlfn.XLOOKUP(Table1[[#This Row],[CustomerID_Check]],Table2[CustomerID],Table2[CustomerType],"Missing Value",0)</f>
        <v>Standard</v>
      </c>
    </row>
    <row r="613" spans="1:20">
      <c r="A613" t="s">
        <v>859</v>
      </c>
      <c r="B613" s="1">
        <v>45770</v>
      </c>
      <c r="C613" t="s">
        <v>272</v>
      </c>
      <c r="D613" t="str">
        <f>UPPER(Table1[[#This Row],[ProductID_Clean]])</f>
        <v>P-FS-002</v>
      </c>
      <c r="E613" t="s">
        <v>81</v>
      </c>
      <c r="F613" t="s">
        <v>47</v>
      </c>
      <c r="G613" t="str">
        <f>TRIM(Table1[[#This Row],[Region_Clean]])</f>
        <v>EMEA</v>
      </c>
      <c r="H613" t="s">
        <v>82</v>
      </c>
      <c r="I613" t="s">
        <v>87</v>
      </c>
      <c r="J613" s="3">
        <v>1</v>
      </c>
      <c r="K613" s="3">
        <v>1993.99</v>
      </c>
      <c r="L613">
        <v>2400</v>
      </c>
      <c r="M613">
        <v>2400</v>
      </c>
      <c r="N613">
        <v>406.01</v>
      </c>
      <c r="O613">
        <v>1993.99</v>
      </c>
      <c r="P613" t="s">
        <v>26</v>
      </c>
      <c r="Q613" t="s">
        <v>94</v>
      </c>
      <c r="R613" t="s">
        <v>36</v>
      </c>
      <c r="S613" t="str">
        <f>TRIM(PROPER(_xlfn.XLOOKUP(Table1[[#This Row],[ProductID_Clean]],Table3[ProductID],Table3[Category],"Missing Value",0)))</f>
        <v>Services</v>
      </c>
      <c r="T613" t="str">
        <f>_xlfn.XLOOKUP(Table1[[#This Row],[CustomerID_Check]],Table2[CustomerID],Table2[CustomerType],"Missing Value",0)</f>
        <v>Key Account</v>
      </c>
    </row>
    <row r="614" spans="1:20">
      <c r="A614" t="s">
        <v>860</v>
      </c>
      <c r="B614" s="1">
        <v>45744</v>
      </c>
      <c r="C614" t="s">
        <v>457</v>
      </c>
      <c r="D614" t="str">
        <f>UPPER(Table1[[#This Row],[ProductID_Clean]])</f>
        <v>P-SI-003</v>
      </c>
      <c r="E614" t="s">
        <v>39</v>
      </c>
      <c r="F614" t="s">
        <v>23</v>
      </c>
      <c r="G614" t="str">
        <f>TRIM(Table1[[#This Row],[Region_Clean]])</f>
        <v>N. AMERICA</v>
      </c>
      <c r="H614" t="s">
        <v>24</v>
      </c>
      <c r="I614" t="s">
        <v>25</v>
      </c>
      <c r="J614" s="3">
        <v>2</v>
      </c>
      <c r="K614" s="3">
        <v>1671.16</v>
      </c>
      <c r="L614">
        <v>1890</v>
      </c>
      <c r="M614">
        <v>3780</v>
      </c>
      <c r="N614">
        <v>437.68</v>
      </c>
      <c r="O614">
        <v>3342.32</v>
      </c>
      <c r="P614" t="s">
        <v>26</v>
      </c>
      <c r="Q614" t="s">
        <v>35</v>
      </c>
      <c r="R614" t="s">
        <v>28</v>
      </c>
      <c r="S614" t="str">
        <f>TRIM(PROPER(_xlfn.XLOOKUP(Table1[[#This Row],[ProductID_Clean]],Table3[ProductID],Table3[Category],"Missing Value",0)))</f>
        <v>Instruments</v>
      </c>
      <c r="T614" t="str">
        <f>_xlfn.XLOOKUP(Table1[[#This Row],[CustomerID_Check]],Table2[CustomerID],Table2[CustomerType],"Missing Value",0)</f>
        <v>Key Account</v>
      </c>
    </row>
    <row r="615" spans="1:20">
      <c r="A615" t="s">
        <v>861</v>
      </c>
      <c r="B615" s="1">
        <v>45835</v>
      </c>
      <c r="C615" t="s">
        <v>143</v>
      </c>
      <c r="D615" t="str">
        <f>UPPER(Table1[[#This Row],[ProductID_Clean]])</f>
        <v>P-SI-005</v>
      </c>
      <c r="E615" t="s">
        <v>57</v>
      </c>
      <c r="F615" t="s">
        <v>23</v>
      </c>
      <c r="G615" t="str">
        <f>TRIM(Table1[[#This Row],[Region_Clean]])</f>
        <v>N. AMERICA</v>
      </c>
      <c r="H615" t="s">
        <v>24</v>
      </c>
      <c r="I615" t="s">
        <v>87</v>
      </c>
      <c r="J615" s="3">
        <v>1</v>
      </c>
      <c r="K615" s="3">
        <v>778.89</v>
      </c>
      <c r="L615">
        <v>1120</v>
      </c>
      <c r="M615">
        <v>1120</v>
      </c>
      <c r="N615">
        <v>341.11</v>
      </c>
      <c r="O615">
        <v>778.89</v>
      </c>
      <c r="P615" t="s">
        <v>26</v>
      </c>
      <c r="Q615" t="s">
        <v>65</v>
      </c>
      <c r="R615" t="s">
        <v>28</v>
      </c>
      <c r="S615" t="str">
        <f>TRIM(PROPER(_xlfn.XLOOKUP(Table1[[#This Row],[ProductID_Clean]],Table3[ProductID],Table3[Category],"Missing Value",0)))</f>
        <v>Sensors</v>
      </c>
      <c r="T615" t="str">
        <f>_xlfn.XLOOKUP(Table1[[#This Row],[CustomerID_Check]],Table2[CustomerID],Table2[CustomerType],"Missing Value",0)</f>
        <v>Strategic</v>
      </c>
    </row>
    <row r="616" spans="1:20">
      <c r="A616" t="s">
        <v>862</v>
      </c>
      <c r="B616" s="1">
        <v>45726</v>
      </c>
      <c r="C616" t="s">
        <v>252</v>
      </c>
      <c r="D616" t="str">
        <f>UPPER(Table1[[#This Row],[ProductID_Clean]])</f>
        <v>P-SI-008</v>
      </c>
      <c r="E616" t="s">
        <v>152</v>
      </c>
      <c r="F616" t="s">
        <v>23</v>
      </c>
      <c r="G616" t="str">
        <f>TRIM(Table1[[#This Row],[Region_Clean]])</f>
        <v>N. AMERICA</v>
      </c>
      <c r="H616" t="s">
        <v>24</v>
      </c>
      <c r="I616" t="s">
        <v>25</v>
      </c>
      <c r="J616" s="3">
        <v>12</v>
      </c>
      <c r="K616" s="3">
        <v>888.81</v>
      </c>
      <c r="L616">
        <v>950</v>
      </c>
      <c r="M616">
        <v>11400</v>
      </c>
      <c r="N616">
        <v>734.28</v>
      </c>
      <c r="O616">
        <v>10665.72</v>
      </c>
      <c r="P616" t="s">
        <v>26</v>
      </c>
      <c r="Q616" t="s">
        <v>35</v>
      </c>
      <c r="R616" t="s">
        <v>44</v>
      </c>
      <c r="S616" t="str">
        <f>TRIM(PROPER(_xlfn.XLOOKUP(Table1[[#This Row],[ProductID_Clean]],Table3[ProductID],Table3[Category],"Missing Value",0)))</f>
        <v>Instruments</v>
      </c>
      <c r="T616" t="str">
        <f>_xlfn.XLOOKUP(Table1[[#This Row],[CustomerID_Check]],Table2[CustomerID],Table2[CustomerType],"Missing Value",0)</f>
        <v>Strategic</v>
      </c>
    </row>
    <row r="617" spans="1:20">
      <c r="A617" t="s">
        <v>863</v>
      </c>
      <c r="B617" s="1">
        <v>45766</v>
      </c>
      <c r="C617" t="s">
        <v>702</v>
      </c>
      <c r="D617" t="str">
        <f>UPPER(Table1[[#This Row],[ProductID_Clean]])</f>
        <v>P-FS-001</v>
      </c>
      <c r="E617" t="s">
        <v>133</v>
      </c>
      <c r="F617" t="s">
        <v>32</v>
      </c>
      <c r="G617" t="str">
        <f>TRIM(Table1[[#This Row],[Region_Clean]])</f>
        <v>LATIN AMERICA</v>
      </c>
      <c r="H617" t="s">
        <v>82</v>
      </c>
      <c r="I617" t="s">
        <v>87</v>
      </c>
      <c r="J617" s="3">
        <v>1</v>
      </c>
      <c r="K617" s="3">
        <v>1333.75</v>
      </c>
      <c r="L617">
        <v>1850</v>
      </c>
      <c r="M617">
        <v>1850</v>
      </c>
      <c r="N617">
        <v>516.25</v>
      </c>
      <c r="O617">
        <v>1333.75</v>
      </c>
      <c r="P617" t="s">
        <v>26</v>
      </c>
      <c r="Q617" t="s">
        <v>35</v>
      </c>
      <c r="R617" t="s">
        <v>36</v>
      </c>
      <c r="S617" t="str">
        <f>TRIM(PROPER(_xlfn.XLOOKUP(Table1[[#This Row],[ProductID_Clean]],Table3[ProductID],Table3[Category],"Missing Value",0)))</f>
        <v>Services</v>
      </c>
      <c r="T617" t="str">
        <f>_xlfn.XLOOKUP(Table1[[#This Row],[CustomerID_Check]],Table2[CustomerID],Table2[CustomerType],"Missing Value",0)</f>
        <v>Emerging</v>
      </c>
    </row>
    <row r="618" spans="1:20">
      <c r="A618" t="s">
        <v>864</v>
      </c>
      <c r="B618" s="1">
        <v>45768</v>
      </c>
      <c r="C618" t="s">
        <v>143</v>
      </c>
      <c r="D618" t="str">
        <f>UPPER(Table1[[#This Row],[ProductID_Clean]])</f>
        <v>P-SI-001</v>
      </c>
      <c r="E618" t="s">
        <v>72</v>
      </c>
      <c r="F618" t="s">
        <v>23</v>
      </c>
      <c r="G618" t="str">
        <f>TRIM(Table1[[#This Row],[Region_Clean]])</f>
        <v>N. AMERICA</v>
      </c>
      <c r="H618" t="s">
        <v>24</v>
      </c>
      <c r="I618" t="s">
        <v>87</v>
      </c>
      <c r="J618" s="3">
        <v>2</v>
      </c>
      <c r="K618" s="3">
        <v>328.38</v>
      </c>
      <c r="L618">
        <v>485</v>
      </c>
      <c r="M618">
        <v>970</v>
      </c>
      <c r="N618">
        <v>313.24</v>
      </c>
      <c r="O618">
        <v>656.76</v>
      </c>
      <c r="P618" t="s">
        <v>26</v>
      </c>
      <c r="Q618" t="s">
        <v>35</v>
      </c>
      <c r="R618" t="s">
        <v>28</v>
      </c>
      <c r="S618" t="str">
        <f>TRIM(PROPER(_xlfn.XLOOKUP(Table1[[#This Row],[ProductID_Clean]],Table3[ProductID],Table3[Category],"Missing Value",0)))</f>
        <v>Sensors</v>
      </c>
      <c r="T618" t="str">
        <f>_xlfn.XLOOKUP(Table1[[#This Row],[CustomerID_Check]],Table2[CustomerID],Table2[CustomerType],"Missing Value",0)</f>
        <v>Strategic</v>
      </c>
    </row>
    <row r="619" spans="1:20">
      <c r="A619" t="s">
        <v>865</v>
      </c>
      <c r="B619" s="1">
        <v>45704</v>
      </c>
      <c r="C619" t="s">
        <v>252</v>
      </c>
      <c r="D619" t="str">
        <f>UPPER(Table1[[#This Row],[ProductID_Clean]])</f>
        <v>P-SI-004</v>
      </c>
      <c r="E619" t="s">
        <v>22</v>
      </c>
      <c r="F619" t="s">
        <v>23</v>
      </c>
      <c r="G619" t="str">
        <f>TRIM(Table1[[#This Row],[Region_Clean]])</f>
        <v>N. AMERICA</v>
      </c>
      <c r="H619" t="s">
        <v>24</v>
      </c>
      <c r="I619" t="s">
        <v>166</v>
      </c>
      <c r="J619" s="3">
        <v>5</v>
      </c>
      <c r="K619" s="3">
        <v>1894.33</v>
      </c>
      <c r="L619">
        <v>2450</v>
      </c>
      <c r="M619">
        <v>12250</v>
      </c>
      <c r="N619">
        <v>2778.35</v>
      </c>
      <c r="O619">
        <v>9471.65</v>
      </c>
      <c r="P619" t="s">
        <v>26</v>
      </c>
      <c r="Q619" t="s">
        <v>35</v>
      </c>
      <c r="R619" t="s">
        <v>44</v>
      </c>
      <c r="S619" t="str">
        <f>TRIM(PROPER(_xlfn.XLOOKUP(Table1[[#This Row],[ProductID_Clean]],Table3[ProductID],Table3[Category],"Missing Value",0)))</f>
        <v>Instruments</v>
      </c>
      <c r="T619" t="str">
        <f>_xlfn.XLOOKUP(Table1[[#This Row],[CustomerID_Check]],Table2[CustomerID],Table2[CustomerType],"Missing Value",0)</f>
        <v>Strategic</v>
      </c>
    </row>
    <row r="620" spans="1:20">
      <c r="A620" t="s">
        <v>866</v>
      </c>
      <c r="B620" s="1">
        <v>45733</v>
      </c>
      <c r="C620" t="s">
        <v>114</v>
      </c>
      <c r="D620" t="str">
        <f>UPPER(Table1[[#This Row],[ProductID_Clean]])</f>
        <v>P-SA-001</v>
      </c>
      <c r="E620" t="s">
        <v>68</v>
      </c>
      <c r="F620" t="s">
        <v>47</v>
      </c>
      <c r="G620" t="str">
        <f>TRIM(Table1[[#This Row],[Region_Clean]])</f>
        <v>EMEA</v>
      </c>
      <c r="H620" t="s">
        <v>53</v>
      </c>
      <c r="I620" t="s">
        <v>25</v>
      </c>
      <c r="J620" s="3">
        <v>1</v>
      </c>
      <c r="K620" s="3">
        <v>4093.99</v>
      </c>
      <c r="L620">
        <v>4200</v>
      </c>
      <c r="M620">
        <v>4200</v>
      </c>
      <c r="N620">
        <v>106.01</v>
      </c>
      <c r="O620">
        <v>4093.99</v>
      </c>
      <c r="P620" t="s">
        <v>26</v>
      </c>
      <c r="Q620" t="s">
        <v>54</v>
      </c>
      <c r="R620" t="s">
        <v>36</v>
      </c>
      <c r="S620" t="str">
        <f>TRIM(PROPER(_xlfn.XLOOKUP(Table1[[#This Row],[ProductID_Clean]],Table3[ProductID],Table3[Category],"Missing Value",0)))</f>
        <v>Software</v>
      </c>
      <c r="T620" t="str">
        <f>_xlfn.XLOOKUP(Table1[[#This Row],[CustomerID_Check]],Table2[CustomerID],Table2[CustomerType],"Missing Value",0)</f>
        <v>Standard</v>
      </c>
    </row>
    <row r="621" spans="1:20">
      <c r="A621" t="s">
        <v>867</v>
      </c>
      <c r="B621" s="1">
        <v>45684</v>
      </c>
      <c r="C621" t="s">
        <v>100</v>
      </c>
      <c r="D621" t="str">
        <f>UPPER(Table1[[#This Row],[ProductID_Clean]])</f>
        <v>P-SI-005</v>
      </c>
      <c r="E621" t="s">
        <v>57</v>
      </c>
      <c r="F621" t="s">
        <v>47</v>
      </c>
      <c r="G621" t="str">
        <f>TRIM(Table1[[#This Row],[Region_Clean]])</f>
        <v>EMEA</v>
      </c>
      <c r="H621" t="s">
        <v>24</v>
      </c>
      <c r="I621" t="s">
        <v>25</v>
      </c>
      <c r="J621" s="3">
        <v>3</v>
      </c>
      <c r="K621" s="3">
        <v>960.23</v>
      </c>
      <c r="L621">
        <v>1120</v>
      </c>
      <c r="M621">
        <v>3360</v>
      </c>
      <c r="N621">
        <v>479.31</v>
      </c>
      <c r="O621">
        <v>2880.69</v>
      </c>
      <c r="P621" t="s">
        <v>126</v>
      </c>
      <c r="Q621" t="s">
        <v>65</v>
      </c>
      <c r="R621" t="s">
        <v>36</v>
      </c>
      <c r="S621" t="str">
        <f>TRIM(PROPER(_xlfn.XLOOKUP(Table1[[#This Row],[ProductID_Clean]],Table3[ProductID],Table3[Category],"Missing Value",0)))</f>
        <v>Sensors</v>
      </c>
      <c r="T621" t="str">
        <f>_xlfn.XLOOKUP(Table1[[#This Row],[CustomerID_Check]],Table2[CustomerID],Table2[CustomerType],"Missing Value",0)</f>
        <v>Strategic</v>
      </c>
    </row>
    <row r="622" spans="1:20">
      <c r="A622" t="s">
        <v>868</v>
      </c>
      <c r="B622" s="1">
        <v>45733</v>
      </c>
      <c r="C622" t="s">
        <v>67</v>
      </c>
      <c r="D622" t="str">
        <f>UPPER(Table1[[#This Row],[ProductID_Clean]])</f>
        <v>P-FS-001</v>
      </c>
      <c r="E622" t="s">
        <v>133</v>
      </c>
      <c r="F622" t="s">
        <v>23</v>
      </c>
      <c r="G622" t="str">
        <f>TRIM(Table1[[#This Row],[Region_Clean]])</f>
        <v>N. AMERICA</v>
      </c>
      <c r="H622" t="s">
        <v>82</v>
      </c>
      <c r="I622" t="s">
        <v>98</v>
      </c>
      <c r="J622" s="3">
        <v>1</v>
      </c>
      <c r="K622" s="3">
        <v>1370.88</v>
      </c>
      <c r="L622">
        <v>1850</v>
      </c>
      <c r="M622">
        <v>1850</v>
      </c>
      <c r="N622">
        <v>479.12</v>
      </c>
      <c r="O622">
        <v>1370.88</v>
      </c>
      <c r="P622" t="s">
        <v>26</v>
      </c>
      <c r="Q622" t="s">
        <v>35</v>
      </c>
      <c r="R622" t="s">
        <v>59</v>
      </c>
      <c r="S622" t="str">
        <f>TRIM(PROPER(_xlfn.XLOOKUP(Table1[[#This Row],[ProductID_Clean]],Table3[ProductID],Table3[Category],"Missing Value",0)))</f>
        <v>Services</v>
      </c>
      <c r="T622" t="str">
        <f>_xlfn.XLOOKUP(Table1[[#This Row],[CustomerID_Check]],Table2[CustomerID],Table2[CustomerType],"Missing Value",0)</f>
        <v>Strategic</v>
      </c>
    </row>
    <row r="623" spans="1:20">
      <c r="A623" t="s">
        <v>869</v>
      </c>
      <c r="B623" s="1">
        <v>45772</v>
      </c>
      <c r="C623" t="s">
        <v>190</v>
      </c>
      <c r="D623" t="str">
        <f>UPPER(Table1[[#This Row],[ProductID_Clean]])</f>
        <v>P-SI-005</v>
      </c>
      <c r="E623" t="s">
        <v>57</v>
      </c>
      <c r="F623" t="s">
        <v>47</v>
      </c>
      <c r="G623" t="str">
        <f>TRIM(Table1[[#This Row],[Region_Clean]])</f>
        <v>EMEA</v>
      </c>
      <c r="H623" t="s">
        <v>24</v>
      </c>
      <c r="I623" t="s">
        <v>98</v>
      </c>
      <c r="J623" s="3">
        <v>1</v>
      </c>
      <c r="K623" s="3">
        <v>933.03</v>
      </c>
      <c r="L623">
        <v>1120</v>
      </c>
      <c r="M623">
        <v>1120</v>
      </c>
      <c r="N623">
        <v>186.97</v>
      </c>
      <c r="O623">
        <v>933.03</v>
      </c>
      <c r="P623" t="s">
        <v>26</v>
      </c>
      <c r="Q623" t="s">
        <v>35</v>
      </c>
      <c r="R623" t="s">
        <v>36</v>
      </c>
      <c r="S623" t="str">
        <f>TRIM(PROPER(_xlfn.XLOOKUP(Table1[[#This Row],[ProductID_Clean]],Table3[ProductID],Table3[Category],"Missing Value",0)))</f>
        <v>Sensors</v>
      </c>
      <c r="T623" t="str">
        <f>_xlfn.XLOOKUP(Table1[[#This Row],[CustomerID_Check]],Table2[CustomerID],Table2[CustomerType],"Missing Value",0)</f>
        <v>Strategic</v>
      </c>
    </row>
    <row r="624" spans="1:20">
      <c r="A624" t="s">
        <v>870</v>
      </c>
      <c r="B624" s="1">
        <v>45767</v>
      </c>
      <c r="C624" t="s">
        <v>457</v>
      </c>
      <c r="D624" t="str">
        <f>UPPER(Table1[[#This Row],[ProductID_Clean]])</f>
        <v>P-SA-004</v>
      </c>
      <c r="E624" t="s">
        <v>86</v>
      </c>
      <c r="F624" t="s">
        <v>23</v>
      </c>
      <c r="G624" t="str">
        <f>TRIM(Table1[[#This Row],[Region_Clean]])</f>
        <v>N. AMERICA</v>
      </c>
      <c r="H624" t="s">
        <v>53</v>
      </c>
      <c r="I624" t="s">
        <v>25</v>
      </c>
      <c r="J624" s="3">
        <v>1</v>
      </c>
      <c r="K624" s="3">
        <v>1486.17</v>
      </c>
      <c r="L624">
        <v>1650</v>
      </c>
      <c r="M624">
        <v>1650</v>
      </c>
      <c r="N624">
        <v>163.83000000000001</v>
      </c>
      <c r="O624">
        <v>1486.17</v>
      </c>
      <c r="P624" t="s">
        <v>26</v>
      </c>
      <c r="Q624" t="s">
        <v>88</v>
      </c>
      <c r="R624" t="s">
        <v>28</v>
      </c>
      <c r="S624" t="str">
        <f>TRIM(PROPER(_xlfn.XLOOKUP(Table1[[#This Row],[ProductID_Clean]],Table3[ProductID],Table3[Category],"Missing Value",0)))</f>
        <v>Software</v>
      </c>
      <c r="T624" t="str">
        <f>_xlfn.XLOOKUP(Table1[[#This Row],[CustomerID_Check]],Table2[CustomerID],Table2[CustomerType],"Missing Value",0)</f>
        <v>Key Account</v>
      </c>
    </row>
    <row r="625" spans="1:20">
      <c r="A625" t="s">
        <v>871</v>
      </c>
      <c r="B625" s="1">
        <v>45834</v>
      </c>
      <c r="C625" t="s">
        <v>91</v>
      </c>
      <c r="D625" t="str">
        <f>UPPER(Table1[[#This Row],[ProductID_Clean]])</f>
        <v>P-SA-004</v>
      </c>
      <c r="E625" t="s">
        <v>86</v>
      </c>
      <c r="F625" t="s">
        <v>23</v>
      </c>
      <c r="G625" t="str">
        <f>TRIM(Table1[[#This Row],[Region_Clean]])</f>
        <v>N. AMERICA</v>
      </c>
      <c r="H625" t="s">
        <v>53</v>
      </c>
      <c r="I625" t="s">
        <v>25</v>
      </c>
      <c r="J625" s="3">
        <v>1</v>
      </c>
      <c r="K625" s="3">
        <v>1572.65</v>
      </c>
      <c r="L625">
        <v>1650</v>
      </c>
      <c r="M625">
        <v>1650</v>
      </c>
      <c r="N625">
        <v>77.349999999999994</v>
      </c>
      <c r="O625">
        <v>1572.65</v>
      </c>
      <c r="P625" t="s">
        <v>26</v>
      </c>
      <c r="Q625" t="s">
        <v>88</v>
      </c>
      <c r="R625" t="s">
        <v>48</v>
      </c>
      <c r="S625" t="str">
        <f>TRIM(PROPER(_xlfn.XLOOKUP(Table1[[#This Row],[ProductID_Clean]],Table3[ProductID],Table3[Category],"Missing Value",0)))</f>
        <v>Software</v>
      </c>
      <c r="T625" t="str">
        <f>_xlfn.XLOOKUP(Table1[[#This Row],[CustomerID_Check]],Table2[CustomerID],Table2[CustomerType],"Missing Value",0)</f>
        <v>Key Account</v>
      </c>
    </row>
    <row r="626" spans="1:20">
      <c r="A626" t="s">
        <v>872</v>
      </c>
      <c r="B626" s="1">
        <v>45668</v>
      </c>
      <c r="C626" t="s">
        <v>135</v>
      </c>
      <c r="D626" t="str">
        <f>UPPER(Table1[[#This Row],[ProductID_Clean]])</f>
        <v>P-SI-007</v>
      </c>
      <c r="E626" t="s">
        <v>97</v>
      </c>
      <c r="F626" t="s">
        <v>58</v>
      </c>
      <c r="G626" t="str">
        <f>TRIM(Table1[[#This Row],[Region_Clean]])</f>
        <v>APAC</v>
      </c>
      <c r="H626" t="s">
        <v>24</v>
      </c>
      <c r="I626" t="s">
        <v>98</v>
      </c>
      <c r="J626" s="3">
        <v>15</v>
      </c>
      <c r="K626" s="3">
        <v>693.3</v>
      </c>
      <c r="L626">
        <v>980</v>
      </c>
      <c r="M626">
        <v>14700</v>
      </c>
      <c r="N626">
        <v>4300.5</v>
      </c>
      <c r="O626">
        <v>10399.5</v>
      </c>
      <c r="P626" t="s">
        <v>26</v>
      </c>
      <c r="Q626" t="s">
        <v>35</v>
      </c>
      <c r="R626" t="s">
        <v>28</v>
      </c>
      <c r="S626" t="str">
        <f>TRIM(PROPER(_xlfn.XLOOKUP(Table1[[#This Row],[ProductID_Clean]],Table3[ProductID],Table3[Category],"Missing Value",0)))</f>
        <v>Sensors</v>
      </c>
      <c r="T626" t="str">
        <f>_xlfn.XLOOKUP(Table1[[#This Row],[CustomerID_Check]],Table2[CustomerID],Table2[CustomerType],"Missing Value",0)</f>
        <v>Strategic</v>
      </c>
    </row>
    <row r="627" spans="1:20">
      <c r="A627" t="s">
        <v>873</v>
      </c>
      <c r="B627" s="1">
        <v>45748</v>
      </c>
      <c r="C627" t="s">
        <v>194</v>
      </c>
      <c r="D627" t="str">
        <f>UPPER(Table1[[#This Row],[ProductID_Clean]])</f>
        <v>P-FS-003</v>
      </c>
      <c r="E627" t="s">
        <v>216</v>
      </c>
      <c r="F627" t="s">
        <v>23</v>
      </c>
      <c r="G627" t="str">
        <f>TRIM(Table1[[#This Row],[Region_Clean]])</f>
        <v>N. AMERICA</v>
      </c>
      <c r="H627" t="s">
        <v>82</v>
      </c>
      <c r="I627" t="s">
        <v>34</v>
      </c>
      <c r="J627" s="3">
        <v>1</v>
      </c>
      <c r="K627" s="3">
        <v>3166.93</v>
      </c>
      <c r="L627">
        <v>4100</v>
      </c>
      <c r="M627">
        <v>4100</v>
      </c>
      <c r="N627">
        <v>933.07</v>
      </c>
      <c r="O627">
        <v>3166.93</v>
      </c>
      <c r="P627" t="s">
        <v>26</v>
      </c>
      <c r="Q627" t="s">
        <v>94</v>
      </c>
      <c r="R627" t="s">
        <v>36</v>
      </c>
      <c r="S627" t="str">
        <f>TRIM(PROPER(_xlfn.XLOOKUP(Table1[[#This Row],[ProductID_Clean]],Table3[ProductID],Table3[Category],"Missing Value",0)))</f>
        <v>Services</v>
      </c>
      <c r="T627" t="str">
        <f>_xlfn.XLOOKUP(Table1[[#This Row],[CustomerID_Check]],Table2[CustomerID],Table2[CustomerType],"Missing Value",0)</f>
        <v>Strategic</v>
      </c>
    </row>
    <row r="628" spans="1:20">
      <c r="A628" t="s">
        <v>874</v>
      </c>
      <c r="B628" s="1">
        <v>45769</v>
      </c>
      <c r="C628" t="s">
        <v>252</v>
      </c>
      <c r="D628" t="str">
        <f>UPPER(Table1[[#This Row],[ProductID_Clean]])</f>
        <v>P-FS-005</v>
      </c>
      <c r="E628" t="s">
        <v>101</v>
      </c>
      <c r="F628" t="s">
        <v>23</v>
      </c>
      <c r="G628" t="str">
        <f>TRIM(Table1[[#This Row],[Region_Clean]])</f>
        <v>N. AMERICA</v>
      </c>
      <c r="H628" t="s">
        <v>82</v>
      </c>
      <c r="I628" t="s">
        <v>25</v>
      </c>
      <c r="J628" s="3">
        <v>1</v>
      </c>
      <c r="K628" s="3">
        <v>831.01</v>
      </c>
      <c r="L628">
        <v>950</v>
      </c>
      <c r="M628">
        <v>950</v>
      </c>
      <c r="N628">
        <v>118.99</v>
      </c>
      <c r="O628">
        <v>831.01</v>
      </c>
      <c r="P628" t="s">
        <v>26</v>
      </c>
      <c r="Q628" t="s">
        <v>35</v>
      </c>
      <c r="R628" t="s">
        <v>44</v>
      </c>
      <c r="S628" t="str">
        <f>TRIM(PROPER(_xlfn.XLOOKUP(Table1[[#This Row],[ProductID_Clean]],Table3[ProductID],Table3[Category],"Missing Value",0)))</f>
        <v>Services</v>
      </c>
      <c r="T628" t="str">
        <f>_xlfn.XLOOKUP(Table1[[#This Row],[CustomerID_Check]],Table2[CustomerID],Table2[CustomerType],"Missing Value",0)</f>
        <v>Strategic</v>
      </c>
    </row>
    <row r="629" spans="1:20">
      <c r="A629" t="s">
        <v>875</v>
      </c>
      <c r="B629" s="1">
        <v>45821</v>
      </c>
      <c r="C629" t="s">
        <v>375</v>
      </c>
      <c r="D629" t="str">
        <f>UPPER(Table1[[#This Row],[ProductID_Clean]])</f>
        <v>P-SI-008</v>
      </c>
      <c r="E629" t="s">
        <v>152</v>
      </c>
      <c r="F629" t="s">
        <v>32</v>
      </c>
      <c r="G629" t="str">
        <f>TRIM(Table1[[#This Row],[Region_Clean]])</f>
        <v>LATIN AMERICA</v>
      </c>
      <c r="H629" t="s">
        <v>24</v>
      </c>
      <c r="I629" t="s">
        <v>34</v>
      </c>
      <c r="J629" s="3">
        <v>1</v>
      </c>
      <c r="K629" s="3">
        <v>791.57</v>
      </c>
      <c r="L629">
        <v>950</v>
      </c>
      <c r="M629">
        <v>950</v>
      </c>
      <c r="N629">
        <v>158.43</v>
      </c>
      <c r="O629">
        <v>791.57</v>
      </c>
      <c r="P629" t="s">
        <v>26</v>
      </c>
      <c r="Q629" t="s">
        <v>35</v>
      </c>
      <c r="R629" t="s">
        <v>36</v>
      </c>
      <c r="S629" t="str">
        <f>TRIM(PROPER(_xlfn.XLOOKUP(Table1[[#This Row],[ProductID_Clean]],Table3[ProductID],Table3[Category],"Missing Value",0)))</f>
        <v>Instruments</v>
      </c>
      <c r="T629" t="str">
        <f>_xlfn.XLOOKUP(Table1[[#This Row],[CustomerID_Check]],Table2[CustomerID],Table2[CustomerType],"Missing Value",0)</f>
        <v>Standard</v>
      </c>
    </row>
    <row r="630" spans="1:20">
      <c r="A630" t="s">
        <v>876</v>
      </c>
      <c r="B630" s="1">
        <v>45677</v>
      </c>
      <c r="C630" t="s">
        <v>730</v>
      </c>
      <c r="D630" t="str">
        <f>UPPER(Table1[[#This Row],[ProductID_Clean]])</f>
        <v>P-FS-002</v>
      </c>
      <c r="E630" t="s">
        <v>81</v>
      </c>
      <c r="F630" t="s">
        <v>23</v>
      </c>
      <c r="G630" t="str">
        <f>TRIM(Table1[[#This Row],[Region_Clean]])</f>
        <v>N. AMERICA</v>
      </c>
      <c r="H630" t="s">
        <v>82</v>
      </c>
      <c r="I630" t="s">
        <v>34</v>
      </c>
      <c r="J630" s="3">
        <v>1</v>
      </c>
      <c r="K630" s="3">
        <v>2185.71</v>
      </c>
      <c r="L630">
        <v>2400</v>
      </c>
      <c r="M630">
        <v>2400</v>
      </c>
      <c r="N630">
        <v>214.29</v>
      </c>
      <c r="O630">
        <v>2185.71</v>
      </c>
      <c r="P630" t="s">
        <v>26</v>
      </c>
      <c r="Q630" t="s">
        <v>94</v>
      </c>
      <c r="R630" t="s">
        <v>36</v>
      </c>
      <c r="S630" t="str">
        <f>TRIM(PROPER(_xlfn.XLOOKUP(Table1[[#This Row],[ProductID_Clean]],Table3[ProductID],Table3[Category],"Missing Value",0)))</f>
        <v>Services</v>
      </c>
      <c r="T630" t="str">
        <f>_xlfn.XLOOKUP(Table1[[#This Row],[CustomerID_Check]],Table2[CustomerID],Table2[CustomerType],"Missing Value",0)</f>
        <v>Emerging</v>
      </c>
    </row>
    <row r="631" spans="1:20">
      <c r="A631" t="s">
        <v>877</v>
      </c>
      <c r="B631" s="1">
        <v>45831</v>
      </c>
      <c r="C631" t="s">
        <v>314</v>
      </c>
      <c r="D631" t="str">
        <f>UPPER(Table1[[#This Row],[ProductID_Clean]])</f>
        <v>P-FS-004</v>
      </c>
      <c r="E631" t="s">
        <v>432</v>
      </c>
      <c r="F631" t="s">
        <v>23</v>
      </c>
      <c r="G631" t="str">
        <f>TRIM(Table1[[#This Row],[Region_Clean]])</f>
        <v>N. AMERICA</v>
      </c>
      <c r="H631" t="s">
        <v>82</v>
      </c>
      <c r="I631" t="s">
        <v>25</v>
      </c>
      <c r="J631" s="3">
        <v>1</v>
      </c>
      <c r="K631" s="3">
        <v>2932.1</v>
      </c>
      <c r="L631">
        <v>3200</v>
      </c>
      <c r="M631">
        <v>3200</v>
      </c>
      <c r="N631">
        <v>267.89999999999998</v>
      </c>
      <c r="O631">
        <v>2932.1</v>
      </c>
      <c r="P631" t="s">
        <v>26</v>
      </c>
      <c r="Q631" t="s">
        <v>35</v>
      </c>
      <c r="R631" t="s">
        <v>44</v>
      </c>
      <c r="S631" t="str">
        <f>TRIM(PROPER(_xlfn.XLOOKUP(Table1[[#This Row],[ProductID_Clean]],Table3[ProductID],Table3[Category],"Missing Value",0)))</f>
        <v>Services</v>
      </c>
      <c r="T631" t="str">
        <f>_xlfn.XLOOKUP(Table1[[#This Row],[CustomerID_Check]],Table2[CustomerID],Table2[CustomerType],"Missing Value",0)</f>
        <v>Key Account</v>
      </c>
    </row>
    <row r="632" spans="1:20">
      <c r="A632" t="s">
        <v>878</v>
      </c>
      <c r="B632" s="1">
        <v>45665</v>
      </c>
      <c r="C632" t="s">
        <v>155</v>
      </c>
      <c r="D632" t="str">
        <f>UPPER(Table1[[#This Row],[ProductID_Clean]])</f>
        <v>P-FS-003</v>
      </c>
      <c r="E632" t="s">
        <v>216</v>
      </c>
      <c r="F632" t="s">
        <v>23</v>
      </c>
      <c r="G632" t="str">
        <f>TRIM(Table1[[#This Row],[Region_Clean]])</f>
        <v>N. AMERICA</v>
      </c>
      <c r="H632" t="s">
        <v>82</v>
      </c>
      <c r="I632" t="s">
        <v>34</v>
      </c>
      <c r="J632" s="3">
        <v>1</v>
      </c>
      <c r="K632" s="3">
        <v>3618.05</v>
      </c>
      <c r="L632">
        <v>4100</v>
      </c>
      <c r="M632">
        <v>4100</v>
      </c>
      <c r="N632">
        <v>481.95</v>
      </c>
      <c r="O632">
        <v>3618.05</v>
      </c>
      <c r="P632" t="s">
        <v>26</v>
      </c>
      <c r="Q632" t="s">
        <v>40</v>
      </c>
      <c r="R632" t="s">
        <v>59</v>
      </c>
      <c r="S632" t="str">
        <f>TRIM(PROPER(_xlfn.XLOOKUP(Table1[[#This Row],[ProductID_Clean]],Table3[ProductID],Table3[Category],"Missing Value",0)))</f>
        <v>Services</v>
      </c>
      <c r="T632" t="str">
        <f>_xlfn.XLOOKUP(Table1[[#This Row],[CustomerID_Check]],Table2[CustomerID],Table2[CustomerType],"Missing Value",0)</f>
        <v>Standard</v>
      </c>
    </row>
    <row r="633" spans="1:20">
      <c r="A633" t="s">
        <v>879</v>
      </c>
      <c r="B633" s="1">
        <v>45813</v>
      </c>
      <c r="C633" t="s">
        <v>880</v>
      </c>
      <c r="D633" t="str">
        <f>UPPER(Table1[[#This Row],[ProductID_Clean]])</f>
        <v>P-SI-003</v>
      </c>
      <c r="E633" t="s">
        <v>39</v>
      </c>
      <c r="F633" t="s">
        <v>23</v>
      </c>
      <c r="G633" t="str">
        <f>TRIM(Table1[[#This Row],[Region_Clean]])</f>
        <v>N. AMERICA</v>
      </c>
      <c r="H633" t="s">
        <v>24</v>
      </c>
      <c r="I633" t="s">
        <v>98</v>
      </c>
      <c r="J633" s="3">
        <v>1</v>
      </c>
      <c r="K633" s="3">
        <v>1760.62</v>
      </c>
      <c r="L633">
        <v>1890</v>
      </c>
      <c r="M633">
        <v>1890</v>
      </c>
      <c r="N633">
        <v>129.38</v>
      </c>
      <c r="O633">
        <v>1760.62</v>
      </c>
      <c r="P633" t="s">
        <v>26</v>
      </c>
      <c r="Q633" t="s">
        <v>35</v>
      </c>
      <c r="R633" t="s">
        <v>36</v>
      </c>
      <c r="S633" t="str">
        <f>TRIM(PROPER(_xlfn.XLOOKUP(Table1[[#This Row],[ProductID_Clean]],Table3[ProductID],Table3[Category],"Missing Value",0)))</f>
        <v>Instruments</v>
      </c>
      <c r="T633" t="str">
        <f>_xlfn.XLOOKUP(Table1[[#This Row],[CustomerID_Check]],Table2[CustomerID],Table2[CustomerType],"Missing Value",0)</f>
        <v>Standard</v>
      </c>
    </row>
    <row r="634" spans="1:20">
      <c r="A634" t="s">
        <v>881</v>
      </c>
      <c r="B634" s="1">
        <v>45770</v>
      </c>
      <c r="C634" t="s">
        <v>112</v>
      </c>
      <c r="D634" t="str">
        <f>UPPER(Table1[[#This Row],[ProductID_Clean]])</f>
        <v>P-SI-007</v>
      </c>
      <c r="E634" t="s">
        <v>97</v>
      </c>
      <c r="F634" t="s">
        <v>58</v>
      </c>
      <c r="G634" t="str">
        <f>TRIM(Table1[[#This Row],[Region_Clean]])</f>
        <v>APAC</v>
      </c>
      <c r="H634" t="s">
        <v>24</v>
      </c>
      <c r="I634" t="s">
        <v>25</v>
      </c>
      <c r="J634" s="3">
        <v>2</v>
      </c>
      <c r="K634" s="3">
        <v>796.22</v>
      </c>
      <c r="L634">
        <v>980</v>
      </c>
      <c r="M634">
        <v>1960</v>
      </c>
      <c r="N634">
        <v>367.56</v>
      </c>
      <c r="O634">
        <v>1592.44</v>
      </c>
      <c r="P634" t="s">
        <v>26</v>
      </c>
      <c r="Q634" t="s">
        <v>35</v>
      </c>
      <c r="R634" t="s">
        <v>36</v>
      </c>
      <c r="S634" t="str">
        <f>TRIM(PROPER(_xlfn.XLOOKUP(Table1[[#This Row],[ProductID_Clean]],Table3[ProductID],Table3[Category],"Missing Value",0)))</f>
        <v>Sensors</v>
      </c>
      <c r="T634" t="str">
        <f>_xlfn.XLOOKUP(Table1[[#This Row],[CustomerID_Check]],Table2[CustomerID],Table2[CustomerType],"Missing Value",0)</f>
        <v>Key Account</v>
      </c>
    </row>
    <row r="635" spans="1:20">
      <c r="A635" t="s">
        <v>882</v>
      </c>
      <c r="B635" s="1">
        <v>45690</v>
      </c>
      <c r="C635" t="s">
        <v>496</v>
      </c>
      <c r="D635" t="str">
        <f>UPPER(Table1[[#This Row],[ProductID_Clean]])</f>
        <v>P-SA-001</v>
      </c>
      <c r="E635" t="s">
        <v>68</v>
      </c>
      <c r="F635" t="s">
        <v>47</v>
      </c>
      <c r="G635" t="str">
        <f>TRIM(Table1[[#This Row],[Region_Clean]])</f>
        <v>EMEA</v>
      </c>
      <c r="H635" t="s">
        <v>53</v>
      </c>
      <c r="I635" t="s">
        <v>40</v>
      </c>
      <c r="J635" s="3">
        <v>1</v>
      </c>
      <c r="K635" s="3">
        <v>3555.86</v>
      </c>
      <c r="L635">
        <v>4200</v>
      </c>
      <c r="M635">
        <v>4200</v>
      </c>
      <c r="N635">
        <v>644.14</v>
      </c>
      <c r="O635">
        <v>3555.86</v>
      </c>
      <c r="P635" t="s">
        <v>26</v>
      </c>
      <c r="Q635" t="s">
        <v>189</v>
      </c>
      <c r="R635" t="s">
        <v>36</v>
      </c>
      <c r="S635" t="str">
        <f>TRIM(PROPER(_xlfn.XLOOKUP(Table1[[#This Row],[ProductID_Clean]],Table3[ProductID],Table3[Category],"Missing Value",0)))</f>
        <v>Software</v>
      </c>
      <c r="T635" t="str">
        <f>_xlfn.XLOOKUP(Table1[[#This Row],[CustomerID_Check]],Table2[CustomerID],Table2[CustomerType],"Missing Value",0)</f>
        <v>Key Account</v>
      </c>
    </row>
    <row r="636" spans="1:20">
      <c r="A636" t="s">
        <v>883</v>
      </c>
      <c r="B636" s="1">
        <v>45718</v>
      </c>
      <c r="C636" t="s">
        <v>163</v>
      </c>
      <c r="D636" t="str">
        <f>UPPER(Table1[[#This Row],[ProductID_Clean]])</f>
        <v>P-SI-006</v>
      </c>
      <c r="E636" t="s">
        <v>43</v>
      </c>
      <c r="F636" t="s">
        <v>23</v>
      </c>
      <c r="G636" t="str">
        <f>TRIM(Table1[[#This Row],[Region_Clean]])</f>
        <v>N. AMERICA</v>
      </c>
      <c r="H636" t="s">
        <v>24</v>
      </c>
      <c r="I636" t="s">
        <v>87</v>
      </c>
      <c r="J636" s="3">
        <v>4</v>
      </c>
      <c r="K636" s="3">
        <v>152.91</v>
      </c>
      <c r="L636">
        <v>215</v>
      </c>
      <c r="M636">
        <v>860</v>
      </c>
      <c r="N636">
        <v>248.36</v>
      </c>
      <c r="O636">
        <v>611.64</v>
      </c>
      <c r="P636" t="s">
        <v>126</v>
      </c>
      <c r="Q636" t="s">
        <v>35</v>
      </c>
      <c r="R636" t="s">
        <v>28</v>
      </c>
      <c r="S636" t="str">
        <f>TRIM(PROPER(_xlfn.XLOOKUP(Table1[[#This Row],[ProductID_Clean]],Table3[ProductID],Table3[Category],"Missing Value",0)))</f>
        <v>Sensors</v>
      </c>
      <c r="T636" t="str">
        <f>_xlfn.XLOOKUP(Table1[[#This Row],[CustomerID_Check]],Table2[CustomerID],Table2[CustomerType],"Missing Value",0)</f>
        <v>Strategic</v>
      </c>
    </row>
    <row r="637" spans="1:20">
      <c r="A637" t="s">
        <v>884</v>
      </c>
      <c r="B637" s="1">
        <v>45751</v>
      </c>
      <c r="C637" t="s">
        <v>135</v>
      </c>
      <c r="D637" t="str">
        <f>UPPER(Table1[[#This Row],[ProductID_Clean]])</f>
        <v>P-SI-005</v>
      </c>
      <c r="E637" t="s">
        <v>57</v>
      </c>
      <c r="F637" t="s">
        <v>58</v>
      </c>
      <c r="G637" t="str">
        <f>TRIM(Table1[[#This Row],[Region_Clean]])</f>
        <v>APAC</v>
      </c>
      <c r="H637" t="s">
        <v>24</v>
      </c>
      <c r="I637" t="s">
        <v>25</v>
      </c>
      <c r="J637" s="3">
        <v>5</v>
      </c>
      <c r="K637" s="3">
        <v>888.21</v>
      </c>
      <c r="L637">
        <v>1120</v>
      </c>
      <c r="M637">
        <v>5600</v>
      </c>
      <c r="N637">
        <v>1158.95</v>
      </c>
      <c r="O637">
        <v>4441.05</v>
      </c>
      <c r="P637" t="s">
        <v>26</v>
      </c>
      <c r="Q637" t="s">
        <v>27</v>
      </c>
      <c r="R637" t="s">
        <v>28</v>
      </c>
      <c r="S637" t="str">
        <f>TRIM(PROPER(_xlfn.XLOOKUP(Table1[[#This Row],[ProductID_Clean]],Table3[ProductID],Table3[Category],"Missing Value",0)))</f>
        <v>Sensors</v>
      </c>
      <c r="T637" t="str">
        <f>_xlfn.XLOOKUP(Table1[[#This Row],[CustomerID_Check]],Table2[CustomerID],Table2[CustomerType],"Missing Value",0)</f>
        <v>Strategic</v>
      </c>
    </row>
    <row r="638" spans="1:20">
      <c r="A638" t="s">
        <v>885</v>
      </c>
      <c r="B638" s="1">
        <v>45756</v>
      </c>
      <c r="C638" t="s">
        <v>463</v>
      </c>
      <c r="D638" t="str">
        <f>UPPER(Table1[[#This Row],[ProductID_Clean]])</f>
        <v>P-SA-004</v>
      </c>
      <c r="E638" t="s">
        <v>86</v>
      </c>
      <c r="F638" t="s">
        <v>47</v>
      </c>
      <c r="G638" t="str">
        <f>TRIM(Table1[[#This Row],[Region_Clean]])</f>
        <v>EMEA</v>
      </c>
      <c r="H638" t="s">
        <v>53</v>
      </c>
      <c r="I638" t="s">
        <v>34</v>
      </c>
      <c r="J638" s="3">
        <v>1</v>
      </c>
      <c r="K638" s="3">
        <v>1510.22</v>
      </c>
      <c r="L638">
        <v>1650</v>
      </c>
      <c r="M638">
        <v>1650</v>
      </c>
      <c r="N638">
        <v>139.78</v>
      </c>
      <c r="O638">
        <v>1510.22</v>
      </c>
      <c r="P638" t="s">
        <v>26</v>
      </c>
      <c r="Q638" t="s">
        <v>54</v>
      </c>
      <c r="R638" t="s">
        <v>48</v>
      </c>
      <c r="S638" t="str">
        <f>TRIM(PROPER(_xlfn.XLOOKUP(Table1[[#This Row],[ProductID_Clean]],Table3[ProductID],Table3[Category],"Missing Value",0)))</f>
        <v>Software</v>
      </c>
      <c r="T638" t="str">
        <f>_xlfn.XLOOKUP(Table1[[#This Row],[CustomerID_Check]],Table2[CustomerID],Table2[CustomerType],"Missing Value",0)</f>
        <v>Key Account</v>
      </c>
    </row>
    <row r="639" spans="1:20">
      <c r="A639" t="s">
        <v>886</v>
      </c>
      <c r="B639" s="1">
        <v>45666</v>
      </c>
      <c r="C639" t="s">
        <v>764</v>
      </c>
      <c r="D639" t="str">
        <f>UPPER(Table1[[#This Row],[ProductID_Clean]])</f>
        <v>P-SA-005</v>
      </c>
      <c r="E639" t="s">
        <v>62</v>
      </c>
      <c r="F639" t="s">
        <v>32</v>
      </c>
      <c r="G639" t="str">
        <f>TRIM(Table1[[#This Row],[Region_Clean]])</f>
        <v>LATIN AMERICA</v>
      </c>
      <c r="H639" t="s">
        <v>53</v>
      </c>
      <c r="I639" t="s">
        <v>87</v>
      </c>
      <c r="J639" s="3">
        <v>1</v>
      </c>
      <c r="K639" s="3">
        <v>2499.7600000000002</v>
      </c>
      <c r="L639">
        <v>3200</v>
      </c>
      <c r="M639">
        <v>3200</v>
      </c>
      <c r="N639">
        <v>700.24</v>
      </c>
      <c r="O639">
        <v>2499.7600000000002</v>
      </c>
      <c r="P639" t="s">
        <v>126</v>
      </c>
      <c r="Q639" t="s">
        <v>54</v>
      </c>
      <c r="R639" t="s">
        <v>36</v>
      </c>
      <c r="S639" t="str">
        <f>TRIM(PROPER(_xlfn.XLOOKUP(Table1[[#This Row],[ProductID_Clean]],Table3[ProductID],Table3[Category],"Missing Value",0)))</f>
        <v>Software / Integration</v>
      </c>
      <c r="T639" t="str">
        <f>_xlfn.XLOOKUP(Table1[[#This Row],[CustomerID_Check]],Table2[CustomerID],Table2[CustomerType],"Missing Value",0)</f>
        <v>Emerging</v>
      </c>
    </row>
    <row r="640" spans="1:20">
      <c r="A640" t="s">
        <v>887</v>
      </c>
      <c r="B640" s="1">
        <v>45697</v>
      </c>
      <c r="C640" t="s">
        <v>220</v>
      </c>
      <c r="D640" t="str">
        <f>UPPER(Table1[[#This Row],[ProductID_Clean]])</f>
        <v>P-SI-004</v>
      </c>
      <c r="E640" t="s">
        <v>22</v>
      </c>
      <c r="F640" t="s">
        <v>23</v>
      </c>
      <c r="G640" t="str">
        <f>TRIM(Table1[[#This Row],[Region_Clean]])</f>
        <v>N. AMERICA</v>
      </c>
      <c r="H640" t="s">
        <v>24</v>
      </c>
      <c r="I640" t="s">
        <v>25</v>
      </c>
      <c r="J640" s="3">
        <v>1</v>
      </c>
      <c r="K640" s="3">
        <v>2299.5300000000002</v>
      </c>
      <c r="L640">
        <v>2450</v>
      </c>
      <c r="M640">
        <v>2450</v>
      </c>
      <c r="N640">
        <v>150.47</v>
      </c>
      <c r="O640">
        <v>2299.5300000000002</v>
      </c>
      <c r="P640" t="s">
        <v>26</v>
      </c>
      <c r="Q640" t="s">
        <v>35</v>
      </c>
      <c r="R640" t="s">
        <v>59</v>
      </c>
      <c r="S640" t="str">
        <f>TRIM(PROPER(_xlfn.XLOOKUP(Table1[[#This Row],[ProductID_Clean]],Table3[ProductID],Table3[Category],"Missing Value",0)))</f>
        <v>Instruments</v>
      </c>
      <c r="T640" t="str">
        <f>_xlfn.XLOOKUP(Table1[[#This Row],[CustomerID_Check]],Table2[CustomerID],Table2[CustomerType],"Missing Value",0)</f>
        <v>Emerging</v>
      </c>
    </row>
    <row r="641" spans="1:20">
      <c r="A641" t="s">
        <v>888</v>
      </c>
      <c r="B641" s="1">
        <v>45773</v>
      </c>
      <c r="C641" t="s">
        <v>139</v>
      </c>
      <c r="D641" t="str">
        <f>UPPER(Table1[[#This Row],[ProductID_Clean]])</f>
        <v>P-SI-001</v>
      </c>
      <c r="E641" t="s">
        <v>72</v>
      </c>
      <c r="F641" t="s">
        <v>47</v>
      </c>
      <c r="G641" t="str">
        <f>TRIM(Table1[[#This Row],[Region_Clean]])</f>
        <v>EMEA</v>
      </c>
      <c r="H641" t="s">
        <v>24</v>
      </c>
      <c r="I641" t="s">
        <v>25</v>
      </c>
      <c r="J641" s="3">
        <v>2</v>
      </c>
      <c r="K641" s="3">
        <v>438.56</v>
      </c>
      <c r="L641">
        <v>485</v>
      </c>
      <c r="M641">
        <v>970</v>
      </c>
      <c r="N641">
        <v>92.88</v>
      </c>
      <c r="O641">
        <v>877.12</v>
      </c>
      <c r="P641" t="s">
        <v>26</v>
      </c>
      <c r="Q641" t="s">
        <v>27</v>
      </c>
      <c r="R641" t="s">
        <v>59</v>
      </c>
      <c r="S641" t="str">
        <f>TRIM(PROPER(_xlfn.XLOOKUP(Table1[[#This Row],[ProductID_Clean]],Table3[ProductID],Table3[Category],"Missing Value",0)))</f>
        <v>Sensors</v>
      </c>
      <c r="T641" t="str">
        <f>_xlfn.XLOOKUP(Table1[[#This Row],[CustomerID_Check]],Table2[CustomerID],Table2[CustomerType],"Missing Value",0)</f>
        <v>Key Account</v>
      </c>
    </row>
    <row r="642" spans="1:20">
      <c r="A642" t="s">
        <v>889</v>
      </c>
      <c r="B642" s="1">
        <v>45771</v>
      </c>
      <c r="C642" t="s">
        <v>163</v>
      </c>
      <c r="D642" t="str">
        <f>UPPER(Table1[[#This Row],[ProductID_Clean]])</f>
        <v>P-SI-003</v>
      </c>
      <c r="E642" t="s">
        <v>39</v>
      </c>
      <c r="F642" t="s">
        <v>23</v>
      </c>
      <c r="G642" t="str">
        <f>TRIM(Table1[[#This Row],[Region_Clean]])</f>
        <v>N. AMERICA</v>
      </c>
      <c r="H642" t="s">
        <v>24</v>
      </c>
      <c r="I642" t="s">
        <v>87</v>
      </c>
      <c r="J642" s="3">
        <v>3</v>
      </c>
      <c r="K642" s="3">
        <v>1275.3599999999999</v>
      </c>
      <c r="L642">
        <v>1890</v>
      </c>
      <c r="M642">
        <v>5670</v>
      </c>
      <c r="N642">
        <v>1843.92</v>
      </c>
      <c r="O642">
        <v>3826.08</v>
      </c>
      <c r="P642" t="s">
        <v>26</v>
      </c>
      <c r="Q642" t="s">
        <v>35</v>
      </c>
      <c r="R642" t="s">
        <v>28</v>
      </c>
      <c r="S642" t="str">
        <f>TRIM(PROPER(_xlfn.XLOOKUP(Table1[[#This Row],[ProductID_Clean]],Table3[ProductID],Table3[Category],"Missing Value",0)))</f>
        <v>Instruments</v>
      </c>
      <c r="T642" t="str">
        <f>_xlfn.XLOOKUP(Table1[[#This Row],[CustomerID_Check]],Table2[CustomerID],Table2[CustomerType],"Missing Value",0)</f>
        <v>Strategic</v>
      </c>
    </row>
    <row r="643" spans="1:20">
      <c r="A643" t="s">
        <v>890</v>
      </c>
      <c r="B643" s="1">
        <v>45804</v>
      </c>
      <c r="C643" t="s">
        <v>252</v>
      </c>
      <c r="D643" t="str">
        <f>UPPER(Table1[[#This Row],[ProductID_Clean]])</f>
        <v>P-SI-001</v>
      </c>
      <c r="E643" t="s">
        <v>72</v>
      </c>
      <c r="F643" t="s">
        <v>23</v>
      </c>
      <c r="G643" t="str">
        <f>TRIM(Table1[[#This Row],[Region_Clean]])</f>
        <v>N. AMERICA</v>
      </c>
      <c r="H643" t="s">
        <v>24</v>
      </c>
      <c r="I643" t="s">
        <v>25</v>
      </c>
      <c r="J643" s="3">
        <v>12</v>
      </c>
      <c r="K643" s="3">
        <v>422.69</v>
      </c>
      <c r="L643">
        <v>485</v>
      </c>
      <c r="M643">
        <v>5820</v>
      </c>
      <c r="N643">
        <v>747.72</v>
      </c>
      <c r="O643">
        <v>5072.28</v>
      </c>
      <c r="P643" t="s">
        <v>26</v>
      </c>
      <c r="Q643" t="s">
        <v>65</v>
      </c>
      <c r="R643" t="s">
        <v>44</v>
      </c>
      <c r="S643" t="str">
        <f>TRIM(PROPER(_xlfn.XLOOKUP(Table1[[#This Row],[ProductID_Clean]],Table3[ProductID],Table3[Category],"Missing Value",0)))</f>
        <v>Sensors</v>
      </c>
      <c r="T643" t="str">
        <f>_xlfn.XLOOKUP(Table1[[#This Row],[CustomerID_Check]],Table2[CustomerID],Table2[CustomerType],"Missing Value",0)</f>
        <v>Strategic</v>
      </c>
    </row>
    <row r="644" spans="1:20">
      <c r="A644" t="s">
        <v>891</v>
      </c>
      <c r="B644" s="1">
        <v>45759</v>
      </c>
      <c r="C644" t="s">
        <v>182</v>
      </c>
      <c r="D644" t="str">
        <f>UPPER(Table1[[#This Row],[ProductID_Clean]])</f>
        <v>P-FS-002</v>
      </c>
      <c r="E644" t="s">
        <v>81</v>
      </c>
      <c r="F644" t="s">
        <v>47</v>
      </c>
      <c r="G644" t="str">
        <f>TRIM(Table1[[#This Row],[Region_Clean]])</f>
        <v>EMEA</v>
      </c>
      <c r="H644" t="s">
        <v>82</v>
      </c>
      <c r="I644" t="s">
        <v>40</v>
      </c>
      <c r="J644" s="3">
        <v>1</v>
      </c>
      <c r="K644" s="3">
        <v>2104.14</v>
      </c>
      <c r="L644">
        <v>2400</v>
      </c>
      <c r="M644">
        <v>2400</v>
      </c>
      <c r="N644">
        <v>295.86</v>
      </c>
      <c r="O644">
        <v>2104.14</v>
      </c>
      <c r="P644" t="s">
        <v>26</v>
      </c>
      <c r="Q644" t="s">
        <v>83</v>
      </c>
      <c r="R644" t="s">
        <v>44</v>
      </c>
      <c r="S644" t="str">
        <f>TRIM(PROPER(_xlfn.XLOOKUP(Table1[[#This Row],[ProductID_Clean]],Table3[ProductID],Table3[Category],"Missing Value",0)))</f>
        <v>Services</v>
      </c>
      <c r="T644" t="str">
        <f>_xlfn.XLOOKUP(Table1[[#This Row],[CustomerID_Check]],Table2[CustomerID],Table2[CustomerType],"Missing Value",0)</f>
        <v>Key Account</v>
      </c>
    </row>
    <row r="645" spans="1:20">
      <c r="A645" t="s">
        <v>892</v>
      </c>
      <c r="B645" s="1">
        <v>45824</v>
      </c>
      <c r="C645" t="s">
        <v>85</v>
      </c>
      <c r="D645" t="str">
        <f>UPPER(Table1[[#This Row],[ProductID_Clean]])</f>
        <v>P-SI-006</v>
      </c>
      <c r="E645" t="s">
        <v>43</v>
      </c>
      <c r="F645" t="s">
        <v>47</v>
      </c>
      <c r="G645" t="str">
        <f>TRIM(Table1[[#This Row],[Region_Clean]])</f>
        <v>EMEA</v>
      </c>
      <c r="H645" t="s">
        <v>24</v>
      </c>
      <c r="I645" t="s">
        <v>25</v>
      </c>
      <c r="J645" s="3">
        <v>3</v>
      </c>
      <c r="K645" s="3">
        <v>194.85</v>
      </c>
      <c r="L645">
        <v>215</v>
      </c>
      <c r="M645">
        <v>645</v>
      </c>
      <c r="N645">
        <v>60.45</v>
      </c>
      <c r="O645">
        <v>584.54999999999995</v>
      </c>
      <c r="P645" t="s">
        <v>26</v>
      </c>
      <c r="Q645" t="s">
        <v>27</v>
      </c>
      <c r="R645" t="s">
        <v>28</v>
      </c>
      <c r="S645" t="str">
        <f>TRIM(PROPER(_xlfn.XLOOKUP(Table1[[#This Row],[ProductID_Clean]],Table3[ProductID],Table3[Category],"Missing Value",0)))</f>
        <v>Sensors</v>
      </c>
      <c r="T645" t="str">
        <f>_xlfn.XLOOKUP(Table1[[#This Row],[CustomerID_Check]],Table2[CustomerID],Table2[CustomerType],"Missing Value",0)</f>
        <v>Standard</v>
      </c>
    </row>
    <row r="646" spans="1:20">
      <c r="A646" t="s">
        <v>893</v>
      </c>
      <c r="B646" s="1">
        <v>45721</v>
      </c>
      <c r="C646" t="s">
        <v>202</v>
      </c>
      <c r="D646" t="str">
        <f>UPPER(Table1[[#This Row],[ProductID_Clean]])</f>
        <v>P-SI-007</v>
      </c>
      <c r="E646" t="s">
        <v>97</v>
      </c>
      <c r="F646" t="s">
        <v>47</v>
      </c>
      <c r="G646" t="str">
        <f>TRIM(Table1[[#This Row],[Region_Clean]])</f>
        <v>EMEA</v>
      </c>
      <c r="H646" t="s">
        <v>24</v>
      </c>
      <c r="I646" t="s">
        <v>25</v>
      </c>
      <c r="J646" s="3">
        <v>8</v>
      </c>
      <c r="K646" s="3">
        <v>911.88</v>
      </c>
      <c r="L646">
        <v>980</v>
      </c>
      <c r="M646">
        <v>7840</v>
      </c>
      <c r="N646">
        <v>544.96</v>
      </c>
      <c r="O646">
        <v>7295.04</v>
      </c>
      <c r="P646" t="s">
        <v>26</v>
      </c>
      <c r="Q646" t="s">
        <v>27</v>
      </c>
      <c r="R646" t="s">
        <v>44</v>
      </c>
      <c r="S646" t="str">
        <f>TRIM(PROPER(_xlfn.XLOOKUP(Table1[[#This Row],[ProductID_Clean]],Table3[ProductID],Table3[Category],"Missing Value",0)))</f>
        <v>Sensors</v>
      </c>
      <c r="T646" t="str">
        <f>_xlfn.XLOOKUP(Table1[[#This Row],[CustomerID_Check]],Table2[CustomerID],Table2[CustomerType],"Missing Value",0)</f>
        <v>Standard</v>
      </c>
    </row>
    <row r="647" spans="1:20">
      <c r="A647" t="s">
        <v>894</v>
      </c>
      <c r="B647" s="1">
        <v>45664</v>
      </c>
      <c r="C647" t="s">
        <v>104</v>
      </c>
      <c r="D647" t="str">
        <f>UPPER(Table1[[#This Row],[ProductID_Clean]])</f>
        <v>P-FS-005</v>
      </c>
      <c r="E647" t="s">
        <v>101</v>
      </c>
      <c r="F647" t="s">
        <v>58</v>
      </c>
      <c r="G647" t="str">
        <f>TRIM(Table1[[#This Row],[Region_Clean]])</f>
        <v>APAC</v>
      </c>
      <c r="H647" t="s">
        <v>82</v>
      </c>
      <c r="I647" t="s">
        <v>25</v>
      </c>
      <c r="J647" s="3">
        <v>1</v>
      </c>
      <c r="K647" s="3">
        <v>785.19</v>
      </c>
      <c r="L647">
        <v>950</v>
      </c>
      <c r="M647">
        <v>950</v>
      </c>
      <c r="N647">
        <v>164.81</v>
      </c>
      <c r="O647">
        <v>785.19</v>
      </c>
      <c r="P647" t="s">
        <v>26</v>
      </c>
      <c r="Q647" t="s">
        <v>35</v>
      </c>
      <c r="R647" t="s">
        <v>36</v>
      </c>
      <c r="S647" t="str">
        <f>TRIM(PROPER(_xlfn.XLOOKUP(Table1[[#This Row],[ProductID_Clean]],Table3[ProductID],Table3[Category],"Missing Value",0)))</f>
        <v>Services</v>
      </c>
      <c r="T647" t="str">
        <f>_xlfn.XLOOKUP(Table1[[#This Row],[CustomerID_Check]],Table2[CustomerID],Table2[CustomerType],"Missing Value",0)</f>
        <v>Standard</v>
      </c>
    </row>
    <row r="648" spans="1:20">
      <c r="A648" t="s">
        <v>895</v>
      </c>
      <c r="B648" s="1">
        <v>45790</v>
      </c>
      <c r="C648" t="s">
        <v>541</v>
      </c>
      <c r="D648" t="str">
        <f>UPPER(Table1[[#This Row],[ProductID_Clean]])</f>
        <v>P-SA-001</v>
      </c>
      <c r="E648" t="s">
        <v>68</v>
      </c>
      <c r="F648" t="s">
        <v>23</v>
      </c>
      <c r="G648" t="str">
        <f>TRIM(Table1[[#This Row],[Region_Clean]])</f>
        <v>N. AMERICA</v>
      </c>
      <c r="H648" t="s">
        <v>53</v>
      </c>
      <c r="I648" t="s">
        <v>40</v>
      </c>
      <c r="J648" s="3">
        <v>1</v>
      </c>
      <c r="K648" s="3">
        <v>3922.31</v>
      </c>
      <c r="L648">
        <v>4200</v>
      </c>
      <c r="M648">
        <v>4200</v>
      </c>
      <c r="N648">
        <v>277.69</v>
      </c>
      <c r="O648">
        <v>3922.31</v>
      </c>
      <c r="P648" t="s">
        <v>26</v>
      </c>
      <c r="Q648" t="s">
        <v>54</v>
      </c>
      <c r="R648" t="s">
        <v>48</v>
      </c>
      <c r="S648" t="str">
        <f>TRIM(PROPER(_xlfn.XLOOKUP(Table1[[#This Row],[ProductID_Clean]],Table3[ProductID],Table3[Category],"Missing Value",0)))</f>
        <v>Software</v>
      </c>
      <c r="T648" t="str">
        <f>_xlfn.XLOOKUP(Table1[[#This Row],[CustomerID_Check]],Table2[CustomerID],Table2[CustomerType],"Missing Value",0)</f>
        <v>Standard</v>
      </c>
    </row>
    <row r="649" spans="1:20">
      <c r="A649" t="s">
        <v>896</v>
      </c>
      <c r="B649" s="1">
        <v>45801</v>
      </c>
      <c r="C649" t="s">
        <v>897</v>
      </c>
      <c r="D649" t="str">
        <f>UPPER(Table1[[#This Row],[ProductID_Clean]])</f>
        <v>P-FS-002</v>
      </c>
      <c r="E649" t="s">
        <v>81</v>
      </c>
      <c r="F649" t="s">
        <v>47</v>
      </c>
      <c r="G649" t="str">
        <f>TRIM(Table1[[#This Row],[Region_Clean]])</f>
        <v>EMEA</v>
      </c>
      <c r="H649" t="s">
        <v>82</v>
      </c>
      <c r="I649" t="s">
        <v>25</v>
      </c>
      <c r="J649" s="3">
        <v>1</v>
      </c>
      <c r="K649" s="3">
        <v>2220.62</v>
      </c>
      <c r="L649">
        <v>2400</v>
      </c>
      <c r="M649">
        <v>2400</v>
      </c>
      <c r="N649">
        <v>179.38</v>
      </c>
      <c r="O649">
        <v>2220.62</v>
      </c>
      <c r="P649" t="s">
        <v>26</v>
      </c>
      <c r="Q649" t="s">
        <v>94</v>
      </c>
      <c r="R649" t="s">
        <v>48</v>
      </c>
      <c r="S649" t="str">
        <f>TRIM(PROPER(_xlfn.XLOOKUP(Table1[[#This Row],[ProductID_Clean]],Table3[ProductID],Table3[Category],"Missing Value",0)))</f>
        <v>Services</v>
      </c>
      <c r="T649" t="str">
        <f>_xlfn.XLOOKUP(Table1[[#This Row],[CustomerID_Check]],Table2[CustomerID],Table2[CustomerType],"Missing Value",0)</f>
        <v>Emerging</v>
      </c>
    </row>
    <row r="650" spans="1:20">
      <c r="A650" t="s">
        <v>898</v>
      </c>
      <c r="B650" s="1">
        <v>45838</v>
      </c>
      <c r="C650" t="s">
        <v>139</v>
      </c>
      <c r="D650" t="str">
        <f>UPPER(Table1[[#This Row],[ProductID_Clean]])</f>
        <v>P-SI-001</v>
      </c>
      <c r="E650" t="s">
        <v>72</v>
      </c>
      <c r="F650" t="s">
        <v>47</v>
      </c>
      <c r="G650" t="str">
        <f>TRIM(Table1[[#This Row],[Region_Clean]])</f>
        <v>EMEA</v>
      </c>
      <c r="H650" t="s">
        <v>24</v>
      </c>
      <c r="I650" t="s">
        <v>25</v>
      </c>
      <c r="J650" s="3">
        <v>3</v>
      </c>
      <c r="K650" s="3">
        <v>450.79</v>
      </c>
      <c r="L650">
        <v>485</v>
      </c>
      <c r="M650">
        <v>1455</v>
      </c>
      <c r="N650">
        <v>102.63</v>
      </c>
      <c r="O650">
        <v>1352.37</v>
      </c>
      <c r="P650" t="s">
        <v>26</v>
      </c>
      <c r="Q650" t="s">
        <v>35</v>
      </c>
      <c r="R650" t="s">
        <v>59</v>
      </c>
      <c r="S650" t="str">
        <f>TRIM(PROPER(_xlfn.XLOOKUP(Table1[[#This Row],[ProductID_Clean]],Table3[ProductID],Table3[Category],"Missing Value",0)))</f>
        <v>Sensors</v>
      </c>
      <c r="T650" t="str">
        <f>_xlfn.XLOOKUP(Table1[[#This Row],[CustomerID_Check]],Table2[CustomerID],Table2[CustomerType],"Missing Value",0)</f>
        <v>Key Account</v>
      </c>
    </row>
    <row r="651" spans="1:20" hidden="1">
      <c r="A651" t="s">
        <v>899</v>
      </c>
      <c r="B651" s="1">
        <v>45731</v>
      </c>
      <c r="C651" t="s">
        <v>839</v>
      </c>
      <c r="D651" t="str">
        <f>UPPER(Table1[[#This Row],[ProductID_Clean]])</f>
        <v>INVALID ID</v>
      </c>
      <c r="E651" t="s">
        <v>76</v>
      </c>
      <c r="F651" t="s">
        <v>23</v>
      </c>
      <c r="G651" t="str">
        <f>TRIM(Table1[[#This Row],[Region_Clean]])</f>
        <v>N. AMERICA</v>
      </c>
      <c r="H651" t="s">
        <v>24</v>
      </c>
      <c r="I651" t="s">
        <v>87</v>
      </c>
      <c r="J651" s="3">
        <v>1</v>
      </c>
      <c r="K651" s="3">
        <v>804.96</v>
      </c>
      <c r="L651">
        <v>980</v>
      </c>
      <c r="M651">
        <v>980</v>
      </c>
      <c r="N651">
        <v>175.04</v>
      </c>
      <c r="O651">
        <v>804.96</v>
      </c>
      <c r="P651" t="s">
        <v>26</v>
      </c>
      <c r="Q651" t="s">
        <v>35</v>
      </c>
      <c r="R651" t="s">
        <v>44</v>
      </c>
      <c r="S651" t="str">
        <f>TRIM(PROPER(_xlfn.XLOOKUP(Table1[[#This Row],[ProductID_Clean]],Table3[ProductID],Table3[Category],"Missing Value",0)))</f>
        <v>Missing Value</v>
      </c>
      <c r="T651" t="str">
        <f>_xlfn.XLOOKUP(Table1[[#This Row],[CustomerID_Check]],Table2[CustomerID],Table2[CustomerType],"Missing Value",0)</f>
        <v>Emerging</v>
      </c>
    </row>
    <row r="652" spans="1:20">
      <c r="A652" t="s">
        <v>900</v>
      </c>
      <c r="B652" s="1">
        <v>45783</v>
      </c>
      <c r="C652" t="s">
        <v>457</v>
      </c>
      <c r="D652" t="str">
        <f>UPPER(Table1[[#This Row],[ProductID_Clean]])</f>
        <v>P-SI-007</v>
      </c>
      <c r="E652" t="s">
        <v>97</v>
      </c>
      <c r="F652" t="s">
        <v>23</v>
      </c>
      <c r="G652" t="str">
        <f>TRIM(Table1[[#This Row],[Region_Clean]])</f>
        <v>N. AMERICA</v>
      </c>
      <c r="H652" t="s">
        <v>24</v>
      </c>
      <c r="I652" t="s">
        <v>87</v>
      </c>
      <c r="J652" s="3">
        <v>4</v>
      </c>
      <c r="K652" s="3">
        <v>831.39</v>
      </c>
      <c r="L652">
        <v>980</v>
      </c>
      <c r="M652">
        <v>3920</v>
      </c>
      <c r="N652">
        <v>594.44000000000005</v>
      </c>
      <c r="O652">
        <v>3325.56</v>
      </c>
      <c r="P652" t="s">
        <v>26</v>
      </c>
      <c r="Q652" t="s">
        <v>35</v>
      </c>
      <c r="R652" t="s">
        <v>28</v>
      </c>
      <c r="S652" t="str">
        <f>TRIM(PROPER(_xlfn.XLOOKUP(Table1[[#This Row],[ProductID_Clean]],Table3[ProductID],Table3[Category],"Missing Value",0)))</f>
        <v>Sensors</v>
      </c>
      <c r="T652" t="str">
        <f>_xlfn.XLOOKUP(Table1[[#This Row],[CustomerID_Check]],Table2[CustomerID],Table2[CustomerType],"Missing Value",0)</f>
        <v>Key Account</v>
      </c>
    </row>
    <row r="653" spans="1:20">
      <c r="A653" t="s">
        <v>901</v>
      </c>
      <c r="B653" s="1">
        <v>45689</v>
      </c>
      <c r="C653" t="s">
        <v>64</v>
      </c>
      <c r="D653" t="str">
        <f>UPPER(Table1[[#This Row],[ProductID_Clean]])</f>
        <v>P-SA-002</v>
      </c>
      <c r="E653" t="s">
        <v>147</v>
      </c>
      <c r="F653" t="s">
        <v>47</v>
      </c>
      <c r="G653" t="str">
        <f>TRIM(Table1[[#This Row],[Region_Clean]])</f>
        <v>EMEA</v>
      </c>
      <c r="H653" t="s">
        <v>53</v>
      </c>
      <c r="I653" t="s">
        <v>87</v>
      </c>
      <c r="J653" s="3">
        <v>1</v>
      </c>
      <c r="K653" s="3">
        <v>7753.06</v>
      </c>
      <c r="L653">
        <v>9800</v>
      </c>
      <c r="M653">
        <v>9800</v>
      </c>
      <c r="N653">
        <v>2046.94</v>
      </c>
      <c r="O653">
        <v>7753.06</v>
      </c>
      <c r="P653" t="s">
        <v>113</v>
      </c>
      <c r="Q653" t="s">
        <v>54</v>
      </c>
      <c r="R653" t="s">
        <v>36</v>
      </c>
      <c r="S653" t="str">
        <f>TRIM(PROPER(_xlfn.XLOOKUP(Table1[[#This Row],[ProductID_Clean]],Table3[ProductID],Table3[Category],"Missing Value",0)))</f>
        <v>Software</v>
      </c>
      <c r="T653" t="str">
        <f>_xlfn.XLOOKUP(Table1[[#This Row],[CustomerID_Check]],Table2[CustomerID],Table2[CustomerType],"Missing Value",0)</f>
        <v>Key Account</v>
      </c>
    </row>
    <row r="654" spans="1:20">
      <c r="A654" t="s">
        <v>902</v>
      </c>
      <c r="B654" s="1">
        <v>45702</v>
      </c>
      <c r="C654" t="s">
        <v>106</v>
      </c>
      <c r="D654" t="str">
        <f>UPPER(Table1[[#This Row],[ProductID_Clean]])</f>
        <v>P-SI-006</v>
      </c>
      <c r="E654" t="s">
        <v>43</v>
      </c>
      <c r="F654" t="s">
        <v>58</v>
      </c>
      <c r="G654" t="str">
        <f>TRIM(Table1[[#This Row],[Region_Clean]])</f>
        <v>APAC</v>
      </c>
      <c r="H654" t="s">
        <v>24</v>
      </c>
      <c r="I654" t="s">
        <v>25</v>
      </c>
      <c r="J654" s="3">
        <v>5</v>
      </c>
      <c r="K654" s="3">
        <v>166.18</v>
      </c>
      <c r="L654">
        <v>215</v>
      </c>
      <c r="M654">
        <v>1075</v>
      </c>
      <c r="N654">
        <v>244.1</v>
      </c>
      <c r="O654">
        <v>830.9</v>
      </c>
      <c r="P654" t="s">
        <v>26</v>
      </c>
      <c r="Q654" t="s">
        <v>27</v>
      </c>
      <c r="R654" t="s">
        <v>59</v>
      </c>
      <c r="S654" t="str">
        <f>TRIM(PROPER(_xlfn.XLOOKUP(Table1[[#This Row],[ProductID_Clean]],Table3[ProductID],Table3[Category],"Missing Value",0)))</f>
        <v>Sensors</v>
      </c>
      <c r="T654" t="str">
        <f>_xlfn.XLOOKUP(Table1[[#This Row],[CustomerID_Check]],Table2[CustomerID],Table2[CustomerType],"Missing Value",0)</f>
        <v>Key Account</v>
      </c>
    </row>
    <row r="655" spans="1:20">
      <c r="A655" t="s">
        <v>903</v>
      </c>
      <c r="B655" s="1">
        <v>45771</v>
      </c>
      <c r="C655" t="s">
        <v>227</v>
      </c>
      <c r="D655" t="str">
        <f>UPPER(Table1[[#This Row],[ProductID_Clean]])</f>
        <v>P-SI-008</v>
      </c>
      <c r="E655" t="s">
        <v>152</v>
      </c>
      <c r="F655" t="s">
        <v>52</v>
      </c>
      <c r="G655" t="str">
        <f>TRIM(Table1[[#This Row],[Region_Clean]])</f>
        <v>N. AMERICA</v>
      </c>
      <c r="H655" t="s">
        <v>24</v>
      </c>
      <c r="I655" t="s">
        <v>25</v>
      </c>
      <c r="J655" s="3">
        <v>10</v>
      </c>
      <c r="K655" s="3">
        <v>954.97</v>
      </c>
      <c r="L655">
        <v>950</v>
      </c>
      <c r="M655">
        <v>9500</v>
      </c>
      <c r="N655">
        <v>-49.7</v>
      </c>
      <c r="O655">
        <v>9549.7000000000007</v>
      </c>
      <c r="P655" t="s">
        <v>26</v>
      </c>
      <c r="Q655" t="s">
        <v>35</v>
      </c>
      <c r="R655" t="s">
        <v>36</v>
      </c>
      <c r="S655" t="str">
        <f>TRIM(PROPER(_xlfn.XLOOKUP(Table1[[#This Row],[ProductID_Clean]],Table3[ProductID],Table3[Category],"Missing Value",0)))</f>
        <v>Instruments</v>
      </c>
      <c r="T655" t="str">
        <f>_xlfn.XLOOKUP(Table1[[#This Row],[CustomerID_Check]],Table2[CustomerID],Table2[CustomerType],"Missing Value",0)</f>
        <v>Standard</v>
      </c>
    </row>
    <row r="656" spans="1:20">
      <c r="A656" t="s">
        <v>904</v>
      </c>
      <c r="B656" s="1">
        <v>45832</v>
      </c>
      <c r="C656" t="s">
        <v>323</v>
      </c>
      <c r="D656" t="str">
        <f>UPPER(Table1[[#This Row],[ProductID_Clean]])</f>
        <v>P-SI-004</v>
      </c>
      <c r="E656" t="s">
        <v>22</v>
      </c>
      <c r="F656" t="s">
        <v>23</v>
      </c>
      <c r="G656" t="str">
        <f>TRIM(Table1[[#This Row],[Region_Clean]])</f>
        <v>N. AMERICA</v>
      </c>
      <c r="H656" t="s">
        <v>24</v>
      </c>
      <c r="I656" t="s">
        <v>25</v>
      </c>
      <c r="J656" s="3">
        <v>2</v>
      </c>
      <c r="K656" s="3">
        <v>2092.66</v>
      </c>
      <c r="L656">
        <v>2450</v>
      </c>
      <c r="M656">
        <v>4900</v>
      </c>
      <c r="N656">
        <v>714.68</v>
      </c>
      <c r="O656">
        <v>4185.32</v>
      </c>
      <c r="P656" t="s">
        <v>26</v>
      </c>
      <c r="Q656" t="s">
        <v>27</v>
      </c>
      <c r="R656" t="s">
        <v>59</v>
      </c>
      <c r="S656" t="str">
        <f>TRIM(PROPER(_xlfn.XLOOKUP(Table1[[#This Row],[ProductID_Clean]],Table3[ProductID],Table3[Category],"Missing Value",0)))</f>
        <v>Instruments</v>
      </c>
      <c r="T656" t="str">
        <f>_xlfn.XLOOKUP(Table1[[#This Row],[CustomerID_Check]],Table2[CustomerID],Table2[CustomerType],"Missing Value",0)</f>
        <v>Key Account</v>
      </c>
    </row>
    <row r="657" spans="1:20">
      <c r="A657" t="s">
        <v>905</v>
      </c>
      <c r="B657" s="1">
        <v>45828</v>
      </c>
      <c r="C657" t="s">
        <v>897</v>
      </c>
      <c r="D657" t="str">
        <f>UPPER(Table1[[#This Row],[ProductID_Clean]])</f>
        <v>P-SA-003</v>
      </c>
      <c r="E657" t="s">
        <v>51</v>
      </c>
      <c r="F657" t="s">
        <v>47</v>
      </c>
      <c r="G657" t="str">
        <f>TRIM(Table1[[#This Row],[Region_Clean]])</f>
        <v>EMEA</v>
      </c>
      <c r="H657" t="s">
        <v>53</v>
      </c>
      <c r="I657" t="s">
        <v>87</v>
      </c>
      <c r="J657" s="3">
        <v>2</v>
      </c>
      <c r="K657" s="3">
        <v>2494.11</v>
      </c>
      <c r="L657">
        <v>2750</v>
      </c>
      <c r="M657">
        <v>5500</v>
      </c>
      <c r="N657">
        <v>511.78</v>
      </c>
      <c r="O657">
        <v>4988.22</v>
      </c>
      <c r="P657" t="s">
        <v>26</v>
      </c>
      <c r="Q657" t="s">
        <v>54</v>
      </c>
      <c r="R657" t="s">
        <v>48</v>
      </c>
      <c r="S657" t="str">
        <f>TRIM(PROPER(_xlfn.XLOOKUP(Table1[[#This Row],[ProductID_Clean]],Table3[ProductID],Table3[Category],"Missing Value",0)))</f>
        <v>Software</v>
      </c>
      <c r="T657" t="str">
        <f>_xlfn.XLOOKUP(Table1[[#This Row],[CustomerID_Check]],Table2[CustomerID],Table2[CustomerType],"Missing Value",0)</f>
        <v>Emerging</v>
      </c>
    </row>
    <row r="658" spans="1:20">
      <c r="A658" t="s">
        <v>906</v>
      </c>
      <c r="B658" s="1">
        <v>45674</v>
      </c>
      <c r="C658" t="s">
        <v>137</v>
      </c>
      <c r="D658" t="str">
        <f>UPPER(Table1[[#This Row],[ProductID_Clean]])</f>
        <v>P-FS-004</v>
      </c>
      <c r="E658" t="s">
        <v>432</v>
      </c>
      <c r="F658" t="s">
        <v>23</v>
      </c>
      <c r="G658" t="str">
        <f>TRIM(Table1[[#This Row],[Region_Clean]])</f>
        <v>N. AMERICA</v>
      </c>
      <c r="H658" t="s">
        <v>82</v>
      </c>
      <c r="I658" t="s">
        <v>25</v>
      </c>
      <c r="J658" s="3">
        <v>1</v>
      </c>
      <c r="K658" s="3">
        <v>2600.35</v>
      </c>
      <c r="L658">
        <v>3200</v>
      </c>
      <c r="M658">
        <v>3200</v>
      </c>
      <c r="N658">
        <v>599.65</v>
      </c>
      <c r="O658">
        <v>2600.35</v>
      </c>
      <c r="P658" t="s">
        <v>26</v>
      </c>
      <c r="Q658" t="s">
        <v>27</v>
      </c>
      <c r="R658" t="s">
        <v>28</v>
      </c>
      <c r="S658" t="str">
        <f>TRIM(PROPER(_xlfn.XLOOKUP(Table1[[#This Row],[ProductID_Clean]],Table3[ProductID],Table3[Category],"Missing Value",0)))</f>
        <v>Services</v>
      </c>
      <c r="T658" t="str">
        <f>_xlfn.XLOOKUP(Table1[[#This Row],[CustomerID_Check]],Table2[CustomerID],Table2[CustomerType],"Missing Value",0)</f>
        <v>Strategic</v>
      </c>
    </row>
    <row r="659" spans="1:20">
      <c r="A659" t="s">
        <v>907</v>
      </c>
      <c r="B659" s="1">
        <v>45796</v>
      </c>
      <c r="C659" t="s">
        <v>197</v>
      </c>
      <c r="D659" t="str">
        <f>UPPER(Table1[[#This Row],[ProductID_Clean]])</f>
        <v>P-FS-005</v>
      </c>
      <c r="E659" t="s">
        <v>101</v>
      </c>
      <c r="F659" t="s">
        <v>58</v>
      </c>
      <c r="G659" t="str">
        <f>TRIM(Table1[[#This Row],[Region_Clean]])</f>
        <v>APAC</v>
      </c>
      <c r="H659" t="s">
        <v>82</v>
      </c>
      <c r="I659" t="s">
        <v>87</v>
      </c>
      <c r="J659" s="3">
        <v>1</v>
      </c>
      <c r="K659" s="3">
        <v>663.48</v>
      </c>
      <c r="L659">
        <v>950</v>
      </c>
      <c r="M659">
        <v>950</v>
      </c>
      <c r="N659">
        <v>286.52</v>
      </c>
      <c r="O659">
        <v>663.48</v>
      </c>
      <c r="P659" t="s">
        <v>26</v>
      </c>
      <c r="Q659" t="s">
        <v>27</v>
      </c>
      <c r="R659" t="s">
        <v>28</v>
      </c>
      <c r="S659" t="str">
        <f>TRIM(PROPER(_xlfn.XLOOKUP(Table1[[#This Row],[ProductID_Clean]],Table3[ProductID],Table3[Category],"Missing Value",0)))</f>
        <v>Services</v>
      </c>
      <c r="T659" t="str">
        <f>_xlfn.XLOOKUP(Table1[[#This Row],[CustomerID_Check]],Table2[CustomerID],Table2[CustomerType],"Missing Value",0)</f>
        <v>Strategic</v>
      </c>
    </row>
    <row r="660" spans="1:20">
      <c r="A660" t="s">
        <v>908</v>
      </c>
      <c r="B660" s="1">
        <v>45734</v>
      </c>
      <c r="C660" t="s">
        <v>353</v>
      </c>
      <c r="D660" t="str">
        <f>UPPER(Table1[[#This Row],[ProductID_Clean]])</f>
        <v>P-SA-002</v>
      </c>
      <c r="E660" t="s">
        <v>147</v>
      </c>
      <c r="F660" t="s">
        <v>23</v>
      </c>
      <c r="G660" t="str">
        <f>TRIM(Table1[[#This Row],[Region_Clean]])</f>
        <v>N. AMERICA</v>
      </c>
      <c r="H660" t="s">
        <v>53</v>
      </c>
      <c r="I660" t="s">
        <v>34</v>
      </c>
      <c r="J660" s="3">
        <v>1</v>
      </c>
      <c r="K660" s="3">
        <v>8754.5300000000007</v>
      </c>
      <c r="L660">
        <v>9800</v>
      </c>
      <c r="M660">
        <v>9800</v>
      </c>
      <c r="N660">
        <v>1045.47</v>
      </c>
      <c r="O660">
        <v>8754.5300000000007</v>
      </c>
      <c r="P660" t="s">
        <v>26</v>
      </c>
      <c r="Q660" t="s">
        <v>54</v>
      </c>
      <c r="R660" t="s">
        <v>48</v>
      </c>
      <c r="S660" t="str">
        <f>TRIM(PROPER(_xlfn.XLOOKUP(Table1[[#This Row],[ProductID_Clean]],Table3[ProductID],Table3[Category],"Missing Value",0)))</f>
        <v>Software</v>
      </c>
      <c r="T660" t="str">
        <f>_xlfn.XLOOKUP(Table1[[#This Row],[CustomerID_Check]],Table2[CustomerID],Table2[CustomerType],"Missing Value",0)</f>
        <v>Key Account</v>
      </c>
    </row>
    <row r="661" spans="1:20">
      <c r="A661" t="s">
        <v>909</v>
      </c>
      <c r="B661" s="1">
        <v>45837</v>
      </c>
      <c r="C661" t="s">
        <v>106</v>
      </c>
      <c r="D661" t="str">
        <f>UPPER(Table1[[#This Row],[ProductID_Clean]])</f>
        <v>P-SI-006</v>
      </c>
      <c r="E661" t="s">
        <v>43</v>
      </c>
      <c r="F661" t="s">
        <v>58</v>
      </c>
      <c r="G661" t="str">
        <f>TRIM(Table1[[#This Row],[Region_Clean]])</f>
        <v>APAC</v>
      </c>
      <c r="H661" t="s">
        <v>24</v>
      </c>
      <c r="I661" t="s">
        <v>25</v>
      </c>
      <c r="J661" s="3">
        <v>5</v>
      </c>
      <c r="K661" s="3">
        <v>165.1</v>
      </c>
      <c r="L661">
        <v>215</v>
      </c>
      <c r="M661">
        <v>1075</v>
      </c>
      <c r="N661">
        <v>249.5</v>
      </c>
      <c r="O661">
        <v>825.5</v>
      </c>
      <c r="P661" t="s">
        <v>26</v>
      </c>
      <c r="Q661" t="s">
        <v>35</v>
      </c>
      <c r="R661" t="s">
        <v>59</v>
      </c>
      <c r="S661" t="str">
        <f>TRIM(PROPER(_xlfn.XLOOKUP(Table1[[#This Row],[ProductID_Clean]],Table3[ProductID],Table3[Category],"Missing Value",0)))</f>
        <v>Sensors</v>
      </c>
      <c r="T661" t="str">
        <f>_xlfn.XLOOKUP(Table1[[#This Row],[CustomerID_Check]],Table2[CustomerID],Table2[CustomerType],"Missing Value",0)</f>
        <v>Key Account</v>
      </c>
    </row>
    <row r="662" spans="1:20">
      <c r="A662" t="s">
        <v>910</v>
      </c>
      <c r="B662" s="1">
        <v>45788</v>
      </c>
      <c r="C662" t="s">
        <v>194</v>
      </c>
      <c r="D662" t="str">
        <f>UPPER(Table1[[#This Row],[ProductID_Clean]])</f>
        <v>P-SA-004</v>
      </c>
      <c r="E662" t="s">
        <v>86</v>
      </c>
      <c r="F662" t="s">
        <v>23</v>
      </c>
      <c r="G662" t="str">
        <f>TRIM(Table1[[#This Row],[Region_Clean]])</f>
        <v>N. AMERICA</v>
      </c>
      <c r="H662" t="s">
        <v>53</v>
      </c>
      <c r="I662" t="s">
        <v>166</v>
      </c>
      <c r="J662" s="3">
        <v>1</v>
      </c>
      <c r="K662" s="3">
        <v>1376.78</v>
      </c>
      <c r="L662">
        <v>1650</v>
      </c>
      <c r="M662">
        <v>1650</v>
      </c>
      <c r="N662">
        <v>273.22000000000003</v>
      </c>
      <c r="O662">
        <v>1376.78</v>
      </c>
      <c r="P662" t="s">
        <v>26</v>
      </c>
      <c r="Q662" t="s">
        <v>54</v>
      </c>
      <c r="R662" t="s">
        <v>36</v>
      </c>
      <c r="S662" t="str">
        <f>TRIM(PROPER(_xlfn.XLOOKUP(Table1[[#This Row],[ProductID_Clean]],Table3[ProductID],Table3[Category],"Missing Value",0)))</f>
        <v>Software</v>
      </c>
      <c r="T662" t="str">
        <f>_xlfn.XLOOKUP(Table1[[#This Row],[CustomerID_Check]],Table2[CustomerID],Table2[CustomerType],"Missing Value",0)</f>
        <v>Strategic</v>
      </c>
    </row>
    <row r="663" spans="1:20">
      <c r="A663" t="s">
        <v>911</v>
      </c>
      <c r="B663" s="1">
        <v>45689</v>
      </c>
      <c r="C663" t="s">
        <v>256</v>
      </c>
      <c r="D663" t="str">
        <f>UPPER(Table1[[#This Row],[ProductID_Clean]])</f>
        <v>P-SI-007</v>
      </c>
      <c r="E663" t="s">
        <v>97</v>
      </c>
      <c r="F663" t="s">
        <v>47</v>
      </c>
      <c r="G663" t="str">
        <f>TRIM(Table1[[#This Row],[Region_Clean]])</f>
        <v>EMEA</v>
      </c>
      <c r="H663" t="s">
        <v>24</v>
      </c>
      <c r="I663" t="s">
        <v>87</v>
      </c>
      <c r="J663" s="3">
        <v>3</v>
      </c>
      <c r="K663" s="3">
        <v>779.56</v>
      </c>
      <c r="L663">
        <v>980</v>
      </c>
      <c r="M663">
        <v>2940</v>
      </c>
      <c r="N663">
        <v>601.32000000000005</v>
      </c>
      <c r="O663">
        <v>2338.6799999999998</v>
      </c>
      <c r="P663" t="s">
        <v>126</v>
      </c>
      <c r="Q663" t="s">
        <v>27</v>
      </c>
      <c r="R663" t="s">
        <v>44</v>
      </c>
      <c r="S663" t="str">
        <f>TRIM(PROPER(_xlfn.XLOOKUP(Table1[[#This Row],[ProductID_Clean]],Table3[ProductID],Table3[Category],"Missing Value",0)))</f>
        <v>Sensors</v>
      </c>
      <c r="T663" t="str">
        <f>_xlfn.XLOOKUP(Table1[[#This Row],[CustomerID_Check]],Table2[CustomerID],Table2[CustomerType],"Missing Value",0)</f>
        <v>Strategic</v>
      </c>
    </row>
    <row r="664" spans="1:20">
      <c r="A664" t="s">
        <v>912</v>
      </c>
      <c r="B664" s="1">
        <v>45693</v>
      </c>
      <c r="C664" t="s">
        <v>71</v>
      </c>
      <c r="D664" t="str">
        <f>UPPER(Table1[[#This Row],[ProductID_Clean]])</f>
        <v>P-SI-006</v>
      </c>
      <c r="E664" t="s">
        <v>43</v>
      </c>
      <c r="F664" t="s">
        <v>23</v>
      </c>
      <c r="G664" t="str">
        <f>TRIM(Table1[[#This Row],[Region_Clean]])</f>
        <v>N. AMERICA</v>
      </c>
      <c r="H664" t="s">
        <v>24</v>
      </c>
      <c r="I664" t="s">
        <v>25</v>
      </c>
      <c r="J664" s="3">
        <v>1</v>
      </c>
      <c r="K664" s="3">
        <v>170.41</v>
      </c>
      <c r="L664">
        <v>215</v>
      </c>
      <c r="M664">
        <v>215</v>
      </c>
      <c r="N664">
        <v>44.59</v>
      </c>
      <c r="O664">
        <v>170.41</v>
      </c>
      <c r="P664" t="s">
        <v>26</v>
      </c>
      <c r="Q664" t="s">
        <v>35</v>
      </c>
      <c r="R664" t="s">
        <v>48</v>
      </c>
      <c r="S664" t="str">
        <f>TRIM(PROPER(_xlfn.XLOOKUP(Table1[[#This Row],[ProductID_Clean]],Table3[ProductID],Table3[Category],"Missing Value",0)))</f>
        <v>Sensors</v>
      </c>
      <c r="T664" t="str">
        <f>_xlfn.XLOOKUP(Table1[[#This Row],[CustomerID_Check]],Table2[CustomerID],Table2[CustomerType],"Missing Value",0)</f>
        <v>Key Account</v>
      </c>
    </row>
    <row r="665" spans="1:20">
      <c r="A665" t="s">
        <v>913</v>
      </c>
      <c r="B665" s="1">
        <v>45784</v>
      </c>
      <c r="C665" t="s">
        <v>46</v>
      </c>
      <c r="D665" t="str">
        <f>UPPER(Table1[[#This Row],[ProductID_Clean]])</f>
        <v>P-SA-004</v>
      </c>
      <c r="E665" t="s">
        <v>86</v>
      </c>
      <c r="F665" t="s">
        <v>47</v>
      </c>
      <c r="G665" t="str">
        <f>TRIM(Table1[[#This Row],[Region_Clean]])</f>
        <v>EMEA</v>
      </c>
      <c r="H665" t="s">
        <v>53</v>
      </c>
      <c r="I665" t="s">
        <v>25</v>
      </c>
      <c r="J665" s="3">
        <v>1</v>
      </c>
      <c r="K665" s="3">
        <v>1479.09</v>
      </c>
      <c r="L665">
        <v>1650</v>
      </c>
      <c r="M665">
        <v>1650</v>
      </c>
      <c r="N665">
        <v>170.91</v>
      </c>
      <c r="O665">
        <v>1479.09</v>
      </c>
      <c r="P665" t="s">
        <v>26</v>
      </c>
      <c r="Q665" t="s">
        <v>54</v>
      </c>
      <c r="R665" t="s">
        <v>48</v>
      </c>
      <c r="S665" t="str">
        <f>TRIM(PROPER(_xlfn.XLOOKUP(Table1[[#This Row],[ProductID_Clean]],Table3[ProductID],Table3[Category],"Missing Value",0)))</f>
        <v>Software</v>
      </c>
      <c r="T665" t="str">
        <f>_xlfn.XLOOKUP(Table1[[#This Row],[CustomerID_Check]],Table2[CustomerID],Table2[CustomerType],"Missing Value",0)</f>
        <v>Strategic</v>
      </c>
    </row>
    <row r="666" spans="1:20">
      <c r="A666" t="s">
        <v>914</v>
      </c>
      <c r="B666" s="1">
        <v>45659</v>
      </c>
      <c r="C666" t="s">
        <v>259</v>
      </c>
      <c r="D666" t="str">
        <f>UPPER(Table1[[#This Row],[ProductID_Clean]])</f>
        <v>P-SI-001</v>
      </c>
      <c r="E666" t="s">
        <v>72</v>
      </c>
      <c r="F666" t="s">
        <v>23</v>
      </c>
      <c r="G666" t="str">
        <f>TRIM(Table1[[#This Row],[Region_Clean]])</f>
        <v>N. AMERICA</v>
      </c>
      <c r="H666" t="s">
        <v>24</v>
      </c>
      <c r="I666" t="s">
        <v>25</v>
      </c>
      <c r="J666" s="3">
        <v>1</v>
      </c>
      <c r="K666" s="3">
        <v>452.56</v>
      </c>
      <c r="L666">
        <v>485</v>
      </c>
      <c r="M666">
        <v>485</v>
      </c>
      <c r="N666">
        <v>32.44</v>
      </c>
      <c r="O666">
        <v>452.56</v>
      </c>
      <c r="P666" t="s">
        <v>26</v>
      </c>
      <c r="Q666" t="s">
        <v>35</v>
      </c>
      <c r="R666" t="s">
        <v>48</v>
      </c>
      <c r="S666" t="str">
        <f>TRIM(PROPER(_xlfn.XLOOKUP(Table1[[#This Row],[ProductID_Clean]],Table3[ProductID],Table3[Category],"Missing Value",0)))</f>
        <v>Sensors</v>
      </c>
      <c r="T666" t="str">
        <f>_xlfn.XLOOKUP(Table1[[#This Row],[CustomerID_Check]],Table2[CustomerID],Table2[CustomerType],"Missing Value",0)</f>
        <v>Standard</v>
      </c>
    </row>
    <row r="667" spans="1:20">
      <c r="A667" t="s">
        <v>915</v>
      </c>
      <c r="B667" s="1">
        <v>45804</v>
      </c>
      <c r="C667" t="s">
        <v>279</v>
      </c>
      <c r="D667" t="str">
        <f>UPPER(Table1[[#This Row],[ProductID_Clean]])</f>
        <v>P-FS-001</v>
      </c>
      <c r="E667" t="s">
        <v>133</v>
      </c>
      <c r="F667" t="s">
        <v>47</v>
      </c>
      <c r="G667" t="str">
        <f>TRIM(Table1[[#This Row],[Region_Clean]])</f>
        <v>EMEA</v>
      </c>
      <c r="H667" t="s">
        <v>82</v>
      </c>
      <c r="I667" t="s">
        <v>40</v>
      </c>
      <c r="J667" s="3">
        <v>1</v>
      </c>
      <c r="K667" s="3">
        <v>1522</v>
      </c>
      <c r="L667">
        <v>1850</v>
      </c>
      <c r="M667">
        <v>1850</v>
      </c>
      <c r="N667">
        <v>328</v>
      </c>
      <c r="O667">
        <v>1522</v>
      </c>
      <c r="P667" t="s">
        <v>26</v>
      </c>
      <c r="Q667" t="s">
        <v>35</v>
      </c>
      <c r="R667" t="s">
        <v>36</v>
      </c>
      <c r="S667" t="str">
        <f>TRIM(PROPER(_xlfn.XLOOKUP(Table1[[#This Row],[ProductID_Clean]],Table3[ProductID],Table3[Category],"Missing Value",0)))</f>
        <v>Services</v>
      </c>
      <c r="T667" t="str">
        <f>_xlfn.XLOOKUP(Table1[[#This Row],[CustomerID_Check]],Table2[CustomerID],Table2[CustomerType],"Missing Value",0)</f>
        <v>Key Account</v>
      </c>
    </row>
    <row r="668" spans="1:20">
      <c r="A668" t="s">
        <v>916</v>
      </c>
      <c r="B668" s="1">
        <v>45691</v>
      </c>
      <c r="C668" t="s">
        <v>262</v>
      </c>
      <c r="D668" t="str">
        <f>UPPER(Table1[[#This Row],[ProductID_Clean]])</f>
        <v>P-SI-006</v>
      </c>
      <c r="E668" t="s">
        <v>43</v>
      </c>
      <c r="F668" t="s">
        <v>23</v>
      </c>
      <c r="G668" t="str">
        <f>TRIM(Table1[[#This Row],[Region_Clean]])</f>
        <v>N. AMERICA</v>
      </c>
      <c r="H668" t="s">
        <v>24</v>
      </c>
      <c r="I668" t="s">
        <v>87</v>
      </c>
      <c r="J668" s="3">
        <v>4</v>
      </c>
      <c r="K668" s="3">
        <v>151.93</v>
      </c>
      <c r="L668">
        <v>215</v>
      </c>
      <c r="M668">
        <v>860</v>
      </c>
      <c r="N668">
        <v>252.28</v>
      </c>
      <c r="O668">
        <v>607.72</v>
      </c>
      <c r="P668" t="s">
        <v>26</v>
      </c>
      <c r="Q668" t="s">
        <v>35</v>
      </c>
      <c r="R668" t="s">
        <v>48</v>
      </c>
      <c r="S668" t="str">
        <f>TRIM(PROPER(_xlfn.XLOOKUP(Table1[[#This Row],[ProductID_Clean]],Table3[ProductID],Table3[Category],"Missing Value",0)))</f>
        <v>Sensors</v>
      </c>
      <c r="T668" t="str">
        <f>_xlfn.XLOOKUP(Table1[[#This Row],[CustomerID_Check]],Table2[CustomerID],Table2[CustomerType],"Missing Value",0)</f>
        <v>Key Account</v>
      </c>
    </row>
    <row r="669" spans="1:20">
      <c r="A669" t="s">
        <v>917</v>
      </c>
      <c r="B669" s="1">
        <v>45680</v>
      </c>
      <c r="C669" t="s">
        <v>316</v>
      </c>
      <c r="D669" t="str">
        <f>UPPER(Table1[[#This Row],[ProductID_Clean]])</f>
        <v>P-SI-001</v>
      </c>
      <c r="E669" t="s">
        <v>72</v>
      </c>
      <c r="F669" t="s">
        <v>32</v>
      </c>
      <c r="G669" t="str">
        <f>TRIM(Table1[[#This Row],[Region_Clean]])</f>
        <v>LATIN AMERICA</v>
      </c>
      <c r="H669" t="s">
        <v>24</v>
      </c>
      <c r="I669" t="s">
        <v>25</v>
      </c>
      <c r="J669" s="3">
        <v>4</v>
      </c>
      <c r="K669" s="3">
        <v>391.01</v>
      </c>
      <c r="L669">
        <v>485</v>
      </c>
      <c r="M669">
        <v>1940</v>
      </c>
      <c r="N669">
        <v>375.96</v>
      </c>
      <c r="O669">
        <v>1564.04</v>
      </c>
      <c r="P669" t="s">
        <v>26</v>
      </c>
      <c r="Q669" t="s">
        <v>65</v>
      </c>
      <c r="R669" t="s">
        <v>48</v>
      </c>
      <c r="S669" t="str">
        <f>TRIM(PROPER(_xlfn.XLOOKUP(Table1[[#This Row],[ProductID_Clean]],Table3[ProductID],Table3[Category],"Missing Value",0)))</f>
        <v>Sensors</v>
      </c>
      <c r="T669" t="str">
        <f>_xlfn.XLOOKUP(Table1[[#This Row],[CustomerID_Check]],Table2[CustomerID],Table2[CustomerType],"Missing Value",0)</f>
        <v>Key Account</v>
      </c>
    </row>
    <row r="670" spans="1:20">
      <c r="A670" t="s">
        <v>918</v>
      </c>
      <c r="B670" s="1">
        <v>45737</v>
      </c>
      <c r="C670" t="s">
        <v>155</v>
      </c>
      <c r="D670" t="str">
        <f>UPPER(Table1[[#This Row],[ProductID_Clean]])</f>
        <v>P-SI-005</v>
      </c>
      <c r="E670" t="s">
        <v>57</v>
      </c>
      <c r="F670" t="s">
        <v>23</v>
      </c>
      <c r="G670" t="str">
        <f>TRIM(Table1[[#This Row],[Region_Clean]])</f>
        <v>N. AMERICA</v>
      </c>
      <c r="H670" t="s">
        <v>24</v>
      </c>
      <c r="I670" t="s">
        <v>25</v>
      </c>
      <c r="J670" s="3">
        <v>3</v>
      </c>
      <c r="K670" s="3">
        <v>1125.31</v>
      </c>
      <c r="L670">
        <v>1120</v>
      </c>
      <c r="M670">
        <v>3360</v>
      </c>
      <c r="N670">
        <v>-15.93</v>
      </c>
      <c r="O670">
        <v>3375.93</v>
      </c>
      <c r="P670" t="s">
        <v>26</v>
      </c>
      <c r="Q670" t="s">
        <v>35</v>
      </c>
      <c r="R670" t="s">
        <v>59</v>
      </c>
      <c r="S670" t="str">
        <f>TRIM(PROPER(_xlfn.XLOOKUP(Table1[[#This Row],[ProductID_Clean]],Table3[ProductID],Table3[Category],"Missing Value",0)))</f>
        <v>Sensors</v>
      </c>
      <c r="T670" t="str">
        <f>_xlfn.XLOOKUP(Table1[[#This Row],[CustomerID_Check]],Table2[CustomerID],Table2[CustomerType],"Missing Value",0)</f>
        <v>Standard</v>
      </c>
    </row>
    <row r="671" spans="1:20">
      <c r="A671" t="s">
        <v>919</v>
      </c>
      <c r="B671" s="1">
        <v>45662</v>
      </c>
      <c r="C671" t="s">
        <v>135</v>
      </c>
      <c r="D671" t="str">
        <f>UPPER(Table1[[#This Row],[ProductID_Clean]])</f>
        <v>P-FS-006</v>
      </c>
      <c r="E671" t="s">
        <v>92</v>
      </c>
      <c r="F671" t="s">
        <v>58</v>
      </c>
      <c r="G671" t="str">
        <f>TRIM(Table1[[#This Row],[Region_Clean]])</f>
        <v>APAC</v>
      </c>
      <c r="H671" t="s">
        <v>82</v>
      </c>
      <c r="I671" t="s">
        <v>87</v>
      </c>
      <c r="J671" s="3">
        <v>1</v>
      </c>
      <c r="K671" s="3">
        <v>940.96</v>
      </c>
      <c r="L671">
        <v>1450</v>
      </c>
      <c r="M671">
        <v>1450</v>
      </c>
      <c r="N671">
        <v>509.03999999999996</v>
      </c>
      <c r="O671">
        <v>940.96</v>
      </c>
      <c r="P671" t="s">
        <v>26</v>
      </c>
      <c r="Q671" t="s">
        <v>35</v>
      </c>
      <c r="R671" t="s">
        <v>28</v>
      </c>
      <c r="S671" t="str">
        <f>TRIM(PROPER(_xlfn.XLOOKUP(Table1[[#This Row],[ProductID_Clean]],Table3[ProductID],Table3[Category],"Missing Value",0)))</f>
        <v>Services</v>
      </c>
      <c r="T671" t="str">
        <f>_xlfn.XLOOKUP(Table1[[#This Row],[CustomerID_Check]],Table2[CustomerID],Table2[CustomerType],"Missing Value",0)</f>
        <v>Strategic</v>
      </c>
    </row>
    <row r="672" spans="1:20">
      <c r="A672" t="s">
        <v>920</v>
      </c>
      <c r="B672" s="1">
        <v>45763</v>
      </c>
      <c r="C672" t="s">
        <v>89</v>
      </c>
      <c r="D672" t="str">
        <f>UPPER(Table1[[#This Row],[ProductID_Clean]])</f>
        <v>P-SI-005</v>
      </c>
      <c r="E672" t="s">
        <v>57</v>
      </c>
      <c r="F672" t="s">
        <v>58</v>
      </c>
      <c r="G672" t="str">
        <f>TRIM(Table1[[#This Row],[Region_Clean]])</f>
        <v>APAC</v>
      </c>
      <c r="H672" t="s">
        <v>24</v>
      </c>
      <c r="I672" t="s">
        <v>25</v>
      </c>
      <c r="J672" s="3">
        <v>12</v>
      </c>
      <c r="K672" s="3">
        <v>891.67</v>
      </c>
      <c r="L672">
        <v>1120</v>
      </c>
      <c r="M672">
        <v>13440</v>
      </c>
      <c r="N672">
        <v>2739.96</v>
      </c>
      <c r="O672">
        <v>10700.04</v>
      </c>
      <c r="P672" t="s">
        <v>26</v>
      </c>
      <c r="Q672" t="s">
        <v>35</v>
      </c>
      <c r="R672" t="s">
        <v>44</v>
      </c>
      <c r="S672" t="str">
        <f>TRIM(PROPER(_xlfn.XLOOKUP(Table1[[#This Row],[ProductID_Clean]],Table3[ProductID],Table3[Category],"Missing Value",0)))</f>
        <v>Sensors</v>
      </c>
      <c r="T672" t="str">
        <f>_xlfn.XLOOKUP(Table1[[#This Row],[CustomerID_Check]],Table2[CustomerID],Table2[CustomerType],"Missing Value",0)</f>
        <v>Strategic</v>
      </c>
    </row>
    <row r="673" spans="1:20">
      <c r="A673" t="s">
        <v>921</v>
      </c>
      <c r="B673" s="1">
        <v>45805</v>
      </c>
      <c r="C673" t="s">
        <v>178</v>
      </c>
      <c r="D673" t="str">
        <f>UPPER(Table1[[#This Row],[ProductID_Clean]])</f>
        <v>P-SA-001</v>
      </c>
      <c r="E673" t="s">
        <v>68</v>
      </c>
      <c r="F673" t="s">
        <v>23</v>
      </c>
      <c r="G673" t="str">
        <f>TRIM(Table1[[#This Row],[Region_Clean]])</f>
        <v>N. AMERICA</v>
      </c>
      <c r="H673" t="s">
        <v>53</v>
      </c>
      <c r="I673" t="s">
        <v>25</v>
      </c>
      <c r="J673" s="3">
        <v>1</v>
      </c>
      <c r="K673" s="3">
        <v>3986.95</v>
      </c>
      <c r="L673">
        <v>4200</v>
      </c>
      <c r="M673">
        <v>4200</v>
      </c>
      <c r="N673">
        <v>213.05</v>
      </c>
      <c r="O673">
        <v>3986.95</v>
      </c>
      <c r="P673" t="s">
        <v>26</v>
      </c>
      <c r="Q673" t="s">
        <v>54</v>
      </c>
      <c r="R673" t="s">
        <v>28</v>
      </c>
      <c r="S673" t="str">
        <f>TRIM(PROPER(_xlfn.XLOOKUP(Table1[[#This Row],[ProductID_Clean]],Table3[ProductID],Table3[Category],"Missing Value",0)))</f>
        <v>Software</v>
      </c>
      <c r="T673" t="str">
        <f>_xlfn.XLOOKUP(Table1[[#This Row],[CustomerID_Check]],Table2[CustomerID],Table2[CustomerType],"Missing Value",0)</f>
        <v>Key Account</v>
      </c>
    </row>
    <row r="674" spans="1:20">
      <c r="A674" t="s">
        <v>922</v>
      </c>
      <c r="B674" s="1">
        <v>45822</v>
      </c>
      <c r="C674" t="s">
        <v>146</v>
      </c>
      <c r="D674" t="str">
        <f>UPPER(Table1[[#This Row],[ProductID_Clean]])</f>
        <v>P-SI-004</v>
      </c>
      <c r="E674" t="s">
        <v>22</v>
      </c>
      <c r="F674" t="s">
        <v>47</v>
      </c>
      <c r="G674" t="str">
        <f>TRIM(Table1[[#This Row],[Region_Clean]])</f>
        <v>EMEA</v>
      </c>
      <c r="H674" t="s">
        <v>24</v>
      </c>
      <c r="I674" t="s">
        <v>87</v>
      </c>
      <c r="J674" s="3">
        <v>12</v>
      </c>
      <c r="K674" s="3">
        <v>1953.94</v>
      </c>
      <c r="L674">
        <v>2450</v>
      </c>
      <c r="M674">
        <v>29400</v>
      </c>
      <c r="N674">
        <v>5952.72</v>
      </c>
      <c r="O674">
        <v>23447.279999999999</v>
      </c>
      <c r="P674" t="s">
        <v>26</v>
      </c>
      <c r="Q674" t="s">
        <v>35</v>
      </c>
      <c r="R674" t="s">
        <v>44</v>
      </c>
      <c r="S674" t="str">
        <f>TRIM(PROPER(_xlfn.XLOOKUP(Table1[[#This Row],[ProductID_Clean]],Table3[ProductID],Table3[Category],"Missing Value",0)))</f>
        <v>Instruments</v>
      </c>
      <c r="T674" t="str">
        <f>_xlfn.XLOOKUP(Table1[[#This Row],[CustomerID_Check]],Table2[CustomerID],Table2[CustomerType],"Missing Value",0)</f>
        <v>Key Account</v>
      </c>
    </row>
    <row r="675" spans="1:20">
      <c r="A675" t="s">
        <v>923</v>
      </c>
      <c r="B675" s="1">
        <v>45792</v>
      </c>
      <c r="C675" t="s">
        <v>424</v>
      </c>
      <c r="D675" t="str">
        <f>UPPER(Table1[[#This Row],[ProductID_Clean]])</f>
        <v>P-SA-003</v>
      </c>
      <c r="E675" t="s">
        <v>51</v>
      </c>
      <c r="F675" t="s">
        <v>23</v>
      </c>
      <c r="G675" t="str">
        <f>TRIM(Table1[[#This Row],[Region_Clean]])</f>
        <v>N. AMERICA</v>
      </c>
      <c r="H675" t="s">
        <v>53</v>
      </c>
      <c r="I675" t="s">
        <v>34</v>
      </c>
      <c r="J675" s="3">
        <v>1</v>
      </c>
      <c r="K675" s="3">
        <v>2532.9499999999998</v>
      </c>
      <c r="L675">
        <v>2750</v>
      </c>
      <c r="M675">
        <v>2750</v>
      </c>
      <c r="N675">
        <v>217.05000000000018</v>
      </c>
      <c r="O675">
        <v>2532.9499999999998</v>
      </c>
      <c r="P675" t="s">
        <v>126</v>
      </c>
      <c r="Q675" t="s">
        <v>54</v>
      </c>
      <c r="R675" t="s">
        <v>44</v>
      </c>
      <c r="S675" t="str">
        <f>TRIM(PROPER(_xlfn.XLOOKUP(Table1[[#This Row],[ProductID_Clean]],Table3[ProductID],Table3[Category],"Missing Value",0)))</f>
        <v>Software</v>
      </c>
      <c r="T675" t="str">
        <f>_xlfn.XLOOKUP(Table1[[#This Row],[CustomerID_Check]],Table2[CustomerID],Table2[CustomerType],"Missing Value",0)</f>
        <v>Key Account</v>
      </c>
    </row>
    <row r="676" spans="1:20">
      <c r="A676" t="s">
        <v>924</v>
      </c>
      <c r="B676" s="1">
        <v>45746</v>
      </c>
      <c r="C676" t="s">
        <v>42</v>
      </c>
      <c r="D676" t="str">
        <f>UPPER(Table1[[#This Row],[ProductID_Clean]])</f>
        <v>P-FS-001</v>
      </c>
      <c r="E676" t="s">
        <v>133</v>
      </c>
      <c r="F676" t="s">
        <v>32</v>
      </c>
      <c r="G676" t="str">
        <f>TRIM(Table1[[#This Row],[Region_Clean]])</f>
        <v>LATIN AMERICA</v>
      </c>
      <c r="H676" t="s">
        <v>82</v>
      </c>
      <c r="I676" t="s">
        <v>25</v>
      </c>
      <c r="J676" s="3">
        <v>1</v>
      </c>
      <c r="K676" s="3">
        <v>1351.25</v>
      </c>
      <c r="L676">
        <v>1850</v>
      </c>
      <c r="M676">
        <v>1850</v>
      </c>
      <c r="N676">
        <v>498.75</v>
      </c>
      <c r="O676">
        <v>1351.25</v>
      </c>
      <c r="P676" t="s">
        <v>26</v>
      </c>
      <c r="Q676" t="s">
        <v>35</v>
      </c>
      <c r="R676" t="s">
        <v>44</v>
      </c>
      <c r="S676" t="str">
        <f>TRIM(PROPER(_xlfn.XLOOKUP(Table1[[#This Row],[ProductID_Clean]],Table3[ProductID],Table3[Category],"Missing Value",0)))</f>
        <v>Services</v>
      </c>
      <c r="T676" t="str">
        <f>_xlfn.XLOOKUP(Table1[[#This Row],[CustomerID_Check]],Table2[CustomerID],Table2[CustomerType],"Missing Value",0)</f>
        <v>Standard</v>
      </c>
    </row>
    <row r="677" spans="1:20">
      <c r="A677" t="s">
        <v>925</v>
      </c>
      <c r="B677" s="1">
        <v>45821</v>
      </c>
      <c r="C677" t="s">
        <v>370</v>
      </c>
      <c r="D677" t="str">
        <f>UPPER(Table1[[#This Row],[ProductID_Clean]])</f>
        <v>P-SI-001</v>
      </c>
      <c r="E677" t="s">
        <v>72</v>
      </c>
      <c r="F677" t="s">
        <v>58</v>
      </c>
      <c r="G677" t="str">
        <f>TRIM(Table1[[#This Row],[Region_Clean]])</f>
        <v>APAC</v>
      </c>
      <c r="H677" t="s">
        <v>24</v>
      </c>
      <c r="I677" t="s">
        <v>34</v>
      </c>
      <c r="J677" s="3">
        <v>4</v>
      </c>
      <c r="K677" s="3">
        <v>426.67</v>
      </c>
      <c r="L677">
        <v>485</v>
      </c>
      <c r="M677">
        <v>1940</v>
      </c>
      <c r="N677">
        <v>233.32</v>
      </c>
      <c r="O677">
        <v>1706.68</v>
      </c>
      <c r="P677" t="s">
        <v>26</v>
      </c>
      <c r="Q677" t="s">
        <v>27</v>
      </c>
      <c r="R677" t="s">
        <v>59</v>
      </c>
      <c r="S677" t="str">
        <f>TRIM(PROPER(_xlfn.XLOOKUP(Table1[[#This Row],[ProductID_Clean]],Table3[ProductID],Table3[Category],"Missing Value",0)))</f>
        <v>Sensors</v>
      </c>
      <c r="T677" t="str">
        <f>_xlfn.XLOOKUP(Table1[[#This Row],[CustomerID_Check]],Table2[CustomerID],Table2[CustomerType],"Missing Value",0)</f>
        <v>Standard</v>
      </c>
    </row>
    <row r="678" spans="1:20">
      <c r="A678" t="s">
        <v>926</v>
      </c>
      <c r="B678" s="1">
        <v>45704</v>
      </c>
      <c r="C678" t="s">
        <v>410</v>
      </c>
      <c r="D678" t="str">
        <f>UPPER(Table1[[#This Row],[ProductID_Clean]])</f>
        <v>P-SI-003</v>
      </c>
      <c r="E678" t="s">
        <v>39</v>
      </c>
      <c r="F678" t="s">
        <v>23</v>
      </c>
      <c r="G678" t="str">
        <f>TRIM(Table1[[#This Row],[Region_Clean]])</f>
        <v>N. AMERICA</v>
      </c>
      <c r="H678" t="s">
        <v>24</v>
      </c>
      <c r="I678" t="s">
        <v>87</v>
      </c>
      <c r="J678" s="3">
        <v>5</v>
      </c>
      <c r="K678" s="3">
        <v>1660.45</v>
      </c>
      <c r="L678">
        <v>1890</v>
      </c>
      <c r="M678">
        <v>9450</v>
      </c>
      <c r="N678">
        <v>1147.75</v>
      </c>
      <c r="O678">
        <v>8302.25</v>
      </c>
      <c r="P678" t="s">
        <v>26</v>
      </c>
      <c r="Q678" t="s">
        <v>65</v>
      </c>
      <c r="R678" t="s">
        <v>28</v>
      </c>
      <c r="S678" t="str">
        <f>TRIM(PROPER(_xlfn.XLOOKUP(Table1[[#This Row],[ProductID_Clean]],Table3[ProductID],Table3[Category],"Missing Value",0)))</f>
        <v>Instruments</v>
      </c>
      <c r="T678" t="str">
        <f>_xlfn.XLOOKUP(Table1[[#This Row],[CustomerID_Check]],Table2[CustomerID],Table2[CustomerType],"Missing Value",0)</f>
        <v>Key Account</v>
      </c>
    </row>
    <row r="679" spans="1:20">
      <c r="A679" t="s">
        <v>927</v>
      </c>
      <c r="B679" s="1">
        <v>45768</v>
      </c>
      <c r="C679" t="s">
        <v>85</v>
      </c>
      <c r="D679" t="str">
        <f>UPPER(Table1[[#This Row],[ProductID_Clean]])</f>
        <v>P-SI-003</v>
      </c>
      <c r="E679" t="s">
        <v>39</v>
      </c>
      <c r="F679" t="s">
        <v>47</v>
      </c>
      <c r="G679" t="str">
        <f>TRIM(Table1[[#This Row],[Region_Clean]])</f>
        <v>EMEA</v>
      </c>
      <c r="H679" t="s">
        <v>24</v>
      </c>
      <c r="I679" t="s">
        <v>87</v>
      </c>
      <c r="J679" s="3">
        <v>1</v>
      </c>
      <c r="K679" s="3">
        <v>1626.95</v>
      </c>
      <c r="L679">
        <v>1890</v>
      </c>
      <c r="M679">
        <v>1890</v>
      </c>
      <c r="N679">
        <v>263.05</v>
      </c>
      <c r="O679">
        <v>1626.95</v>
      </c>
      <c r="P679" t="s">
        <v>26</v>
      </c>
      <c r="Q679" t="s">
        <v>35</v>
      </c>
      <c r="R679" t="s">
        <v>28</v>
      </c>
      <c r="S679" t="str">
        <f>TRIM(PROPER(_xlfn.XLOOKUP(Table1[[#This Row],[ProductID_Clean]],Table3[ProductID],Table3[Category],"Missing Value",0)))</f>
        <v>Instruments</v>
      </c>
      <c r="T679" t="str">
        <f>_xlfn.XLOOKUP(Table1[[#This Row],[CustomerID_Check]],Table2[CustomerID],Table2[CustomerType],"Missing Value",0)</f>
        <v>Standard</v>
      </c>
    </row>
    <row r="680" spans="1:20">
      <c r="A680" t="s">
        <v>928</v>
      </c>
      <c r="B680" s="1">
        <v>45672</v>
      </c>
      <c r="C680" t="s">
        <v>312</v>
      </c>
      <c r="D680" t="str">
        <f>UPPER(Table1[[#This Row],[ProductID_Clean]])</f>
        <v>P-SI-007</v>
      </c>
      <c r="E680" t="s">
        <v>97</v>
      </c>
      <c r="F680" t="s">
        <v>58</v>
      </c>
      <c r="G680" t="str">
        <f>TRIM(Table1[[#This Row],[Region_Clean]])</f>
        <v>APAC</v>
      </c>
      <c r="H680" t="s">
        <v>24</v>
      </c>
      <c r="I680" t="s">
        <v>25</v>
      </c>
      <c r="J680" s="3">
        <v>2</v>
      </c>
      <c r="K680" s="3">
        <v>898.75</v>
      </c>
      <c r="L680">
        <v>980</v>
      </c>
      <c r="M680">
        <v>1960</v>
      </c>
      <c r="N680">
        <v>162.5</v>
      </c>
      <c r="O680">
        <v>1797.5</v>
      </c>
      <c r="P680" t="s">
        <v>26</v>
      </c>
      <c r="Q680" t="s">
        <v>35</v>
      </c>
      <c r="R680" t="s">
        <v>36</v>
      </c>
      <c r="S680" t="str">
        <f>TRIM(PROPER(_xlfn.XLOOKUP(Table1[[#This Row],[ProductID_Clean]],Table3[ProductID],Table3[Category],"Missing Value",0)))</f>
        <v>Sensors</v>
      </c>
      <c r="T680" t="str">
        <f>_xlfn.XLOOKUP(Table1[[#This Row],[CustomerID_Check]],Table2[CustomerID],Table2[CustomerType],"Missing Value",0)</f>
        <v>Standard</v>
      </c>
    </row>
    <row r="681" spans="1:20">
      <c r="A681" t="s">
        <v>929</v>
      </c>
      <c r="B681" s="1">
        <v>45790</v>
      </c>
      <c r="C681" t="s">
        <v>108</v>
      </c>
      <c r="D681" t="str">
        <f>UPPER(Table1[[#This Row],[ProductID_Clean]])</f>
        <v>P-SI-008</v>
      </c>
      <c r="E681" t="s">
        <v>152</v>
      </c>
      <c r="F681" t="s">
        <v>32</v>
      </c>
      <c r="G681" t="str">
        <f>TRIM(Table1[[#This Row],[Region_Clean]])</f>
        <v>LATIN AMERICA</v>
      </c>
      <c r="H681" t="s">
        <v>24</v>
      </c>
      <c r="I681" t="s">
        <v>34</v>
      </c>
      <c r="J681" s="3">
        <v>1</v>
      </c>
      <c r="K681" s="3">
        <v>810.03</v>
      </c>
      <c r="L681">
        <v>950</v>
      </c>
      <c r="M681">
        <v>950</v>
      </c>
      <c r="N681">
        <v>139.97</v>
      </c>
      <c r="O681">
        <v>810.03</v>
      </c>
      <c r="P681" t="s">
        <v>26</v>
      </c>
      <c r="Q681" t="s">
        <v>27</v>
      </c>
      <c r="R681" t="s">
        <v>36</v>
      </c>
      <c r="S681" t="str">
        <f>TRIM(PROPER(_xlfn.XLOOKUP(Table1[[#This Row],[ProductID_Clean]],Table3[ProductID],Table3[Category],"Missing Value",0)))</f>
        <v>Instruments</v>
      </c>
      <c r="T681" t="str">
        <f>_xlfn.XLOOKUP(Table1[[#This Row],[CustomerID_Check]],Table2[CustomerID],Table2[CustomerType],"Missing Value",0)</f>
        <v>Standard</v>
      </c>
    </row>
    <row r="682" spans="1:20">
      <c r="A682" t="s">
        <v>930</v>
      </c>
      <c r="B682" s="1">
        <v>45735</v>
      </c>
      <c r="C682" t="s">
        <v>118</v>
      </c>
      <c r="D682" t="str">
        <f>UPPER(Table1[[#This Row],[ProductID_Clean]])</f>
        <v>P-FS-001</v>
      </c>
      <c r="E682" t="s">
        <v>133</v>
      </c>
      <c r="F682" t="s">
        <v>23</v>
      </c>
      <c r="G682" t="str">
        <f>TRIM(Table1[[#This Row],[Region_Clean]])</f>
        <v>N. AMERICA</v>
      </c>
      <c r="H682" t="s">
        <v>82</v>
      </c>
      <c r="I682" t="s">
        <v>25</v>
      </c>
      <c r="J682" s="3">
        <v>1</v>
      </c>
      <c r="K682" s="3">
        <v>1538.58</v>
      </c>
      <c r="L682">
        <v>1850</v>
      </c>
      <c r="M682">
        <v>1850</v>
      </c>
      <c r="N682">
        <v>311.42</v>
      </c>
      <c r="O682">
        <v>1538.58</v>
      </c>
      <c r="P682" t="s">
        <v>26</v>
      </c>
      <c r="Q682" t="s">
        <v>65</v>
      </c>
      <c r="R682" t="s">
        <v>59</v>
      </c>
      <c r="S682" t="str">
        <f>TRIM(PROPER(_xlfn.XLOOKUP(Table1[[#This Row],[ProductID_Clean]],Table3[ProductID],Table3[Category],"Missing Value",0)))</f>
        <v>Services</v>
      </c>
      <c r="T682" t="str">
        <f>_xlfn.XLOOKUP(Table1[[#This Row],[CustomerID_Check]],Table2[CustomerID],Table2[CustomerType],"Missing Value",0)</f>
        <v>Key Account</v>
      </c>
    </row>
    <row r="683" spans="1:20">
      <c r="A683" t="s">
        <v>931</v>
      </c>
      <c r="B683" s="1">
        <v>45699</v>
      </c>
      <c r="C683" t="s">
        <v>268</v>
      </c>
      <c r="D683" t="str">
        <f>UPPER(Table1[[#This Row],[ProductID_Clean]])</f>
        <v>P-SI-001</v>
      </c>
      <c r="E683" t="s">
        <v>72</v>
      </c>
      <c r="F683" t="s">
        <v>23</v>
      </c>
      <c r="G683" t="str">
        <f>TRIM(Table1[[#This Row],[Region_Clean]])</f>
        <v>N. AMERICA</v>
      </c>
      <c r="H683" t="s">
        <v>24</v>
      </c>
      <c r="I683" t="s">
        <v>25</v>
      </c>
      <c r="J683" s="3">
        <v>4</v>
      </c>
      <c r="K683" s="3">
        <v>480.83</v>
      </c>
      <c r="L683">
        <v>485</v>
      </c>
      <c r="M683">
        <v>1940</v>
      </c>
      <c r="N683">
        <v>16.68</v>
      </c>
      <c r="O683">
        <v>1923.32</v>
      </c>
      <c r="P683" t="s">
        <v>26</v>
      </c>
      <c r="Q683" t="s">
        <v>35</v>
      </c>
      <c r="R683" t="s">
        <v>48</v>
      </c>
      <c r="S683" t="str">
        <f>TRIM(PROPER(_xlfn.XLOOKUP(Table1[[#This Row],[ProductID_Clean]],Table3[ProductID],Table3[Category],"Missing Value",0)))</f>
        <v>Sensors</v>
      </c>
      <c r="T683" t="str">
        <f>_xlfn.XLOOKUP(Table1[[#This Row],[CustomerID_Check]],Table2[CustomerID],Table2[CustomerType],"Missing Value",0)</f>
        <v>Standard</v>
      </c>
    </row>
    <row r="684" spans="1:20">
      <c r="A684" t="s">
        <v>932</v>
      </c>
      <c r="B684" s="1">
        <v>45730</v>
      </c>
      <c r="C684" t="s">
        <v>125</v>
      </c>
      <c r="D684" t="str">
        <f>UPPER(Table1[[#This Row],[ProductID_Clean]])</f>
        <v>P-SA-001</v>
      </c>
      <c r="E684" t="s">
        <v>68</v>
      </c>
      <c r="F684" t="s">
        <v>58</v>
      </c>
      <c r="G684" t="str">
        <f>TRIM(Table1[[#This Row],[Region_Clean]])</f>
        <v>APAC</v>
      </c>
      <c r="H684" t="s">
        <v>53</v>
      </c>
      <c r="I684" t="s">
        <v>25</v>
      </c>
      <c r="J684" s="3">
        <v>1</v>
      </c>
      <c r="K684" s="3">
        <v>3176.76</v>
      </c>
      <c r="L684">
        <v>4200</v>
      </c>
      <c r="M684">
        <v>4200</v>
      </c>
      <c r="N684">
        <v>1023.24</v>
      </c>
      <c r="O684">
        <v>3176.76</v>
      </c>
      <c r="P684" t="s">
        <v>113</v>
      </c>
      <c r="Q684" t="s">
        <v>54</v>
      </c>
      <c r="R684" t="s">
        <v>36</v>
      </c>
      <c r="S684" t="str">
        <f>TRIM(PROPER(_xlfn.XLOOKUP(Table1[[#This Row],[ProductID_Clean]],Table3[ProductID],Table3[Category],"Missing Value",0)))</f>
        <v>Software</v>
      </c>
      <c r="T684" t="str">
        <f>_xlfn.XLOOKUP(Table1[[#This Row],[CustomerID_Check]],Table2[CustomerID],Table2[CustomerType],"Missing Value",0)</f>
        <v>Strategic</v>
      </c>
    </row>
    <row r="685" spans="1:20">
      <c r="A685" t="s">
        <v>933</v>
      </c>
      <c r="B685" s="1">
        <v>45722</v>
      </c>
      <c r="C685" t="s">
        <v>726</v>
      </c>
      <c r="D685" t="str">
        <f>UPPER(Table1[[#This Row],[ProductID_Clean]])</f>
        <v>P-SI-003</v>
      </c>
      <c r="E685" t="s">
        <v>39</v>
      </c>
      <c r="F685" t="s">
        <v>23</v>
      </c>
      <c r="G685" t="str">
        <f>TRIM(Table1[[#This Row],[Region_Clean]])</f>
        <v>N. AMERICA</v>
      </c>
      <c r="H685" t="s">
        <v>24</v>
      </c>
      <c r="I685" t="s">
        <v>87</v>
      </c>
      <c r="J685" s="3">
        <v>1</v>
      </c>
      <c r="K685" s="3">
        <v>1508.68</v>
      </c>
      <c r="L685">
        <v>1890</v>
      </c>
      <c r="M685">
        <v>1890</v>
      </c>
      <c r="N685">
        <v>381.32</v>
      </c>
      <c r="O685">
        <v>1508.68</v>
      </c>
      <c r="P685" t="s">
        <v>26</v>
      </c>
      <c r="Q685" t="s">
        <v>35</v>
      </c>
      <c r="R685" t="s">
        <v>59</v>
      </c>
      <c r="S685" t="str">
        <f>TRIM(PROPER(_xlfn.XLOOKUP(Table1[[#This Row],[ProductID_Clean]],Table3[ProductID],Table3[Category],"Missing Value",0)))</f>
        <v>Instruments</v>
      </c>
      <c r="T685" t="str">
        <f>_xlfn.XLOOKUP(Table1[[#This Row],[CustomerID_Check]],Table2[CustomerID],Table2[CustomerType],"Missing Value",0)</f>
        <v>Key Account</v>
      </c>
    </row>
    <row r="686" spans="1:20">
      <c r="A686" t="s">
        <v>934</v>
      </c>
      <c r="B686" s="1">
        <v>45820</v>
      </c>
      <c r="C686" t="s">
        <v>279</v>
      </c>
      <c r="D686" t="str">
        <f>UPPER(Table1[[#This Row],[ProductID_Clean]])</f>
        <v>P-SI-002</v>
      </c>
      <c r="E686" t="s">
        <v>31</v>
      </c>
      <c r="F686" t="s">
        <v>47</v>
      </c>
      <c r="G686" t="str">
        <f>TRIM(Table1[[#This Row],[Region_Clean]])</f>
        <v>EMEA</v>
      </c>
      <c r="H686" t="s">
        <v>24</v>
      </c>
      <c r="I686" t="s">
        <v>40</v>
      </c>
      <c r="J686" s="3">
        <v>3</v>
      </c>
      <c r="K686" s="3">
        <v>651.53</v>
      </c>
      <c r="L686">
        <v>725</v>
      </c>
      <c r="M686">
        <v>2175</v>
      </c>
      <c r="N686">
        <v>220.41</v>
      </c>
      <c r="O686">
        <v>1954.59</v>
      </c>
      <c r="P686" t="s">
        <v>26</v>
      </c>
      <c r="Q686" t="s">
        <v>27</v>
      </c>
      <c r="R686" t="s">
        <v>36</v>
      </c>
      <c r="S686" t="str">
        <f>TRIM(PROPER(_xlfn.XLOOKUP(Table1[[#This Row],[ProductID_Clean]],Table3[ProductID],Table3[Category],"Missing Value",0)))</f>
        <v>Sensors</v>
      </c>
      <c r="T686" t="str">
        <f>_xlfn.XLOOKUP(Table1[[#This Row],[CustomerID_Check]],Table2[CustomerID],Table2[CustomerType],"Missing Value",0)</f>
        <v>Key Account</v>
      </c>
    </row>
    <row r="687" spans="1:20">
      <c r="A687" t="s">
        <v>935</v>
      </c>
      <c r="B687" s="1">
        <v>45728</v>
      </c>
      <c r="C687" t="s">
        <v>146</v>
      </c>
      <c r="D687" t="str">
        <f>UPPER(Table1[[#This Row],[ProductID_Clean]])</f>
        <v>P-SI-004</v>
      </c>
      <c r="E687" t="s">
        <v>22</v>
      </c>
      <c r="F687" t="s">
        <v>47</v>
      </c>
      <c r="G687" t="str">
        <f>TRIM(Table1[[#This Row],[Region_Clean]])</f>
        <v>EMEA</v>
      </c>
      <c r="H687" t="s">
        <v>24</v>
      </c>
      <c r="I687" t="s">
        <v>87</v>
      </c>
      <c r="J687" s="3">
        <v>1</v>
      </c>
      <c r="K687" s="3">
        <v>2166.65</v>
      </c>
      <c r="L687">
        <v>2450</v>
      </c>
      <c r="M687">
        <v>2450</v>
      </c>
      <c r="N687">
        <v>283.35000000000002</v>
      </c>
      <c r="O687">
        <v>2166.65</v>
      </c>
      <c r="P687" t="s">
        <v>26</v>
      </c>
      <c r="Q687" t="s">
        <v>35</v>
      </c>
      <c r="R687" t="s">
        <v>44</v>
      </c>
      <c r="S687" t="str">
        <f>TRIM(PROPER(_xlfn.XLOOKUP(Table1[[#This Row],[ProductID_Clean]],Table3[ProductID],Table3[Category],"Missing Value",0)))</f>
        <v>Instruments</v>
      </c>
      <c r="T687" t="str">
        <f>_xlfn.XLOOKUP(Table1[[#This Row],[CustomerID_Check]],Table2[CustomerID],Table2[CustomerType],"Missing Value",0)</f>
        <v>Key Account</v>
      </c>
    </row>
    <row r="688" spans="1:20">
      <c r="A688" t="s">
        <v>936</v>
      </c>
      <c r="B688" s="1">
        <v>45818</v>
      </c>
      <c r="C688" t="s">
        <v>314</v>
      </c>
      <c r="D688" t="str">
        <f>UPPER(Table1[[#This Row],[ProductID_Clean]])</f>
        <v>P-SI-006</v>
      </c>
      <c r="E688" t="s">
        <v>43</v>
      </c>
      <c r="F688" t="s">
        <v>23</v>
      </c>
      <c r="G688" t="str">
        <f>TRIM(Table1[[#This Row],[Region_Clean]])</f>
        <v>N. AMERICA</v>
      </c>
      <c r="H688" t="s">
        <v>24</v>
      </c>
      <c r="I688" t="s">
        <v>87</v>
      </c>
      <c r="J688" s="3">
        <v>1</v>
      </c>
      <c r="K688" s="3">
        <v>165.8</v>
      </c>
      <c r="L688">
        <v>215</v>
      </c>
      <c r="M688">
        <v>215</v>
      </c>
      <c r="N688">
        <v>49.2</v>
      </c>
      <c r="O688">
        <v>165.8</v>
      </c>
      <c r="P688" t="s">
        <v>26</v>
      </c>
      <c r="Q688" t="s">
        <v>35</v>
      </c>
      <c r="R688" t="s">
        <v>44</v>
      </c>
      <c r="S688" t="str">
        <f>TRIM(PROPER(_xlfn.XLOOKUP(Table1[[#This Row],[ProductID_Clean]],Table3[ProductID],Table3[Category],"Missing Value",0)))</f>
        <v>Sensors</v>
      </c>
      <c r="T688" t="str">
        <f>_xlfn.XLOOKUP(Table1[[#This Row],[CustomerID_Check]],Table2[CustomerID],Table2[CustomerType],"Missing Value",0)</f>
        <v>Key Account</v>
      </c>
    </row>
    <row r="689" spans="1:20">
      <c r="A689" t="s">
        <v>937</v>
      </c>
      <c r="B689" s="1">
        <v>45815</v>
      </c>
      <c r="C689" t="s">
        <v>80</v>
      </c>
      <c r="D689" t="str">
        <f>UPPER(Table1[[#This Row],[ProductID_Clean]])</f>
        <v>P-FS-002</v>
      </c>
      <c r="E689" t="s">
        <v>81</v>
      </c>
      <c r="F689" t="s">
        <v>23</v>
      </c>
      <c r="G689" t="str">
        <f>TRIM(Table1[[#This Row],[Region_Clean]])</f>
        <v>N. AMERICA</v>
      </c>
      <c r="H689" t="s">
        <v>82</v>
      </c>
      <c r="I689" t="s">
        <v>25</v>
      </c>
      <c r="J689" s="3">
        <v>1</v>
      </c>
      <c r="K689" s="3">
        <v>2099.7800000000002</v>
      </c>
      <c r="L689">
        <v>2400</v>
      </c>
      <c r="M689">
        <v>2400</v>
      </c>
      <c r="N689">
        <v>300.22000000000003</v>
      </c>
      <c r="O689">
        <v>2099.7800000000002</v>
      </c>
      <c r="P689" t="s">
        <v>26</v>
      </c>
      <c r="Q689" t="s">
        <v>94</v>
      </c>
      <c r="R689" t="s">
        <v>48</v>
      </c>
      <c r="S689" t="str">
        <f>TRIM(PROPER(_xlfn.XLOOKUP(Table1[[#This Row],[ProductID_Clean]],Table3[ProductID],Table3[Category],"Missing Value",0)))</f>
        <v>Services</v>
      </c>
      <c r="T689" t="str">
        <f>_xlfn.XLOOKUP(Table1[[#This Row],[CustomerID_Check]],Table2[CustomerID],Table2[CustomerType],"Missing Value",0)</f>
        <v>Strategic</v>
      </c>
    </row>
    <row r="690" spans="1:20">
      <c r="A690" t="s">
        <v>938</v>
      </c>
      <c r="B690" s="1">
        <v>45681</v>
      </c>
      <c r="C690" t="s">
        <v>557</v>
      </c>
      <c r="D690" t="str">
        <f>UPPER(Table1[[#This Row],[ProductID_Clean]])</f>
        <v>P-SA-001</v>
      </c>
      <c r="E690" t="s">
        <v>68</v>
      </c>
      <c r="F690" t="s">
        <v>23</v>
      </c>
      <c r="G690" t="str">
        <f>TRIM(Table1[[#This Row],[Region_Clean]])</f>
        <v>N. AMERICA</v>
      </c>
      <c r="H690" t="s">
        <v>53</v>
      </c>
      <c r="I690" t="s">
        <v>87</v>
      </c>
      <c r="J690" s="3">
        <v>1</v>
      </c>
      <c r="K690" s="3">
        <v>3699.04</v>
      </c>
      <c r="L690">
        <v>4200</v>
      </c>
      <c r="M690">
        <v>4200</v>
      </c>
      <c r="N690">
        <v>500.96</v>
      </c>
      <c r="O690">
        <v>3699.04</v>
      </c>
      <c r="P690" t="s">
        <v>26</v>
      </c>
      <c r="Q690" t="s">
        <v>40</v>
      </c>
      <c r="R690" t="s">
        <v>36</v>
      </c>
      <c r="S690" t="str">
        <f>TRIM(PROPER(_xlfn.XLOOKUP(Table1[[#This Row],[ProductID_Clean]],Table3[ProductID],Table3[Category],"Missing Value",0)))</f>
        <v>Software</v>
      </c>
      <c r="T690" t="str">
        <f>_xlfn.XLOOKUP(Table1[[#This Row],[CustomerID_Check]],Table2[CustomerID],Table2[CustomerType],"Missing Value",0)</f>
        <v>Standard</v>
      </c>
    </row>
    <row r="691" spans="1:20">
      <c r="A691" t="s">
        <v>939</v>
      </c>
      <c r="B691" s="1">
        <v>45822</v>
      </c>
      <c r="C691" t="s">
        <v>457</v>
      </c>
      <c r="D691" t="str">
        <f>UPPER(Table1[[#This Row],[ProductID_Clean]])</f>
        <v>P-SI-004</v>
      </c>
      <c r="E691" t="s">
        <v>22</v>
      </c>
      <c r="F691" t="s">
        <v>23</v>
      </c>
      <c r="G691" t="str">
        <f>TRIM(Table1[[#This Row],[Region_Clean]])</f>
        <v>N. AMERICA</v>
      </c>
      <c r="H691" t="s">
        <v>24</v>
      </c>
      <c r="I691" t="s">
        <v>34</v>
      </c>
      <c r="J691" s="3">
        <v>4</v>
      </c>
      <c r="K691" s="3">
        <v>1982.98</v>
      </c>
      <c r="L691">
        <v>2450</v>
      </c>
      <c r="M691">
        <v>9800</v>
      </c>
      <c r="N691">
        <v>1868.08</v>
      </c>
      <c r="O691">
        <v>7931.92</v>
      </c>
      <c r="P691" t="s">
        <v>26</v>
      </c>
      <c r="Q691" t="s">
        <v>35</v>
      </c>
      <c r="R691" t="s">
        <v>28</v>
      </c>
      <c r="S691" t="str">
        <f>TRIM(PROPER(_xlfn.XLOOKUP(Table1[[#This Row],[ProductID_Clean]],Table3[ProductID],Table3[Category],"Missing Value",0)))</f>
        <v>Instruments</v>
      </c>
      <c r="T691" t="str">
        <f>_xlfn.XLOOKUP(Table1[[#This Row],[CustomerID_Check]],Table2[CustomerID],Table2[CustomerType],"Missing Value",0)</f>
        <v>Key Account</v>
      </c>
    </row>
    <row r="692" spans="1:20">
      <c r="A692" t="s">
        <v>940</v>
      </c>
      <c r="B692" s="1">
        <v>45809</v>
      </c>
      <c r="C692" t="s">
        <v>135</v>
      </c>
      <c r="D692" t="str">
        <f>UPPER(Table1[[#This Row],[ProductID_Clean]])</f>
        <v>P-SI-006</v>
      </c>
      <c r="E692" t="s">
        <v>43</v>
      </c>
      <c r="F692" t="s">
        <v>58</v>
      </c>
      <c r="G692" t="str">
        <f>TRIM(Table1[[#This Row],[Region_Clean]])</f>
        <v>APAC</v>
      </c>
      <c r="H692" t="s">
        <v>24</v>
      </c>
      <c r="I692" t="s">
        <v>25</v>
      </c>
      <c r="J692" s="3">
        <v>10</v>
      </c>
      <c r="K692" s="3">
        <v>159.38</v>
      </c>
      <c r="L692">
        <v>215</v>
      </c>
      <c r="M692">
        <v>2150</v>
      </c>
      <c r="N692">
        <v>556.20000000000005</v>
      </c>
      <c r="O692">
        <v>1593.8</v>
      </c>
      <c r="P692" t="s">
        <v>26</v>
      </c>
      <c r="Q692" t="s">
        <v>27</v>
      </c>
      <c r="R692" t="s">
        <v>28</v>
      </c>
      <c r="S692" t="str">
        <f>TRIM(PROPER(_xlfn.XLOOKUP(Table1[[#This Row],[ProductID_Clean]],Table3[ProductID],Table3[Category],"Missing Value",0)))</f>
        <v>Sensors</v>
      </c>
      <c r="T692" t="str">
        <f>_xlfn.XLOOKUP(Table1[[#This Row],[CustomerID_Check]],Table2[CustomerID],Table2[CustomerType],"Missing Value",0)</f>
        <v>Strategic</v>
      </c>
    </row>
    <row r="693" spans="1:20">
      <c r="A693" t="s">
        <v>941</v>
      </c>
      <c r="B693" s="1">
        <v>45697</v>
      </c>
      <c r="C693" t="s">
        <v>754</v>
      </c>
      <c r="D693" t="str">
        <f>UPPER(Table1[[#This Row],[ProductID_Clean]])</f>
        <v>P-SI-001</v>
      </c>
      <c r="E693" t="s">
        <v>72</v>
      </c>
      <c r="F693" t="s">
        <v>23</v>
      </c>
      <c r="G693" t="str">
        <f>TRIM(Table1[[#This Row],[Region_Clean]])</f>
        <v>N. AMERICA</v>
      </c>
      <c r="H693" t="s">
        <v>24</v>
      </c>
      <c r="I693" t="s">
        <v>25</v>
      </c>
      <c r="J693" s="3">
        <v>8</v>
      </c>
      <c r="K693" s="3">
        <v>465.05</v>
      </c>
      <c r="L693">
        <v>485</v>
      </c>
      <c r="M693">
        <v>3880</v>
      </c>
      <c r="N693">
        <v>159.6</v>
      </c>
      <c r="O693">
        <v>3720.4</v>
      </c>
      <c r="P693" t="s">
        <v>26</v>
      </c>
      <c r="Q693" t="s">
        <v>27</v>
      </c>
      <c r="R693" t="s">
        <v>59</v>
      </c>
      <c r="S693" t="str">
        <f>TRIM(PROPER(_xlfn.XLOOKUP(Table1[[#This Row],[ProductID_Clean]],Table3[ProductID],Table3[Category],"Missing Value",0)))</f>
        <v>Sensors</v>
      </c>
      <c r="T693" t="str">
        <f>_xlfn.XLOOKUP(Table1[[#This Row],[CustomerID_Check]],Table2[CustomerID],Table2[CustomerType],"Missing Value",0)</f>
        <v>Standard</v>
      </c>
    </row>
    <row r="694" spans="1:20">
      <c r="A694" t="s">
        <v>942</v>
      </c>
      <c r="B694" s="1">
        <v>45826</v>
      </c>
      <c r="C694" t="s">
        <v>114</v>
      </c>
      <c r="D694" t="str">
        <f>UPPER(Table1[[#This Row],[ProductID_Clean]])</f>
        <v>P-SI-006</v>
      </c>
      <c r="E694" t="s">
        <v>43</v>
      </c>
      <c r="F694" t="s">
        <v>47</v>
      </c>
      <c r="G694" t="str">
        <f>TRIM(Table1[[#This Row],[Region_Clean]])</f>
        <v>EMEA</v>
      </c>
      <c r="H694" t="s">
        <v>24</v>
      </c>
      <c r="I694" t="s">
        <v>25</v>
      </c>
      <c r="J694" s="3">
        <v>2</v>
      </c>
      <c r="K694" s="3">
        <v>197.94</v>
      </c>
      <c r="L694">
        <v>215</v>
      </c>
      <c r="M694">
        <v>430</v>
      </c>
      <c r="N694">
        <v>34.119999999999997</v>
      </c>
      <c r="O694">
        <v>395.88</v>
      </c>
      <c r="P694" t="s">
        <v>26</v>
      </c>
      <c r="Q694" t="s">
        <v>27</v>
      </c>
      <c r="R694" t="s">
        <v>36</v>
      </c>
      <c r="S694" t="str">
        <f>TRIM(PROPER(_xlfn.XLOOKUP(Table1[[#This Row],[ProductID_Clean]],Table3[ProductID],Table3[Category],"Missing Value",0)))</f>
        <v>Sensors</v>
      </c>
      <c r="T694" t="str">
        <f>_xlfn.XLOOKUP(Table1[[#This Row],[CustomerID_Check]],Table2[CustomerID],Table2[CustomerType],"Missing Value",0)</f>
        <v>Standard</v>
      </c>
    </row>
    <row r="695" spans="1:20">
      <c r="A695" t="s">
        <v>943</v>
      </c>
      <c r="B695" s="1">
        <v>45812</v>
      </c>
      <c r="C695" t="s">
        <v>190</v>
      </c>
      <c r="D695" t="str">
        <f>UPPER(Table1[[#This Row],[ProductID_Clean]])</f>
        <v>P-SI-008</v>
      </c>
      <c r="E695" t="s">
        <v>152</v>
      </c>
      <c r="F695" t="s">
        <v>47</v>
      </c>
      <c r="G695" t="str">
        <f>TRIM(Table1[[#This Row],[Region_Clean]])</f>
        <v>EMEA</v>
      </c>
      <c r="H695" t="s">
        <v>24</v>
      </c>
      <c r="I695" t="s">
        <v>25</v>
      </c>
      <c r="J695" s="3">
        <v>5</v>
      </c>
      <c r="K695" s="3">
        <v>853.85</v>
      </c>
      <c r="L695">
        <v>950</v>
      </c>
      <c r="M695">
        <v>4750</v>
      </c>
      <c r="N695">
        <v>480.75</v>
      </c>
      <c r="O695">
        <v>4269.25</v>
      </c>
      <c r="P695" t="s">
        <v>113</v>
      </c>
      <c r="Q695" t="s">
        <v>35</v>
      </c>
      <c r="R695" t="s">
        <v>36</v>
      </c>
      <c r="S695" t="str">
        <f>TRIM(PROPER(_xlfn.XLOOKUP(Table1[[#This Row],[ProductID_Clean]],Table3[ProductID],Table3[Category],"Missing Value",0)))</f>
        <v>Instruments</v>
      </c>
      <c r="T695" t="str">
        <f>_xlfn.XLOOKUP(Table1[[#This Row],[CustomerID_Check]],Table2[CustomerID],Table2[CustomerType],"Missing Value",0)</f>
        <v>Strategic</v>
      </c>
    </row>
    <row r="696" spans="1:20">
      <c r="A696" t="s">
        <v>944</v>
      </c>
      <c r="B696" s="1">
        <v>45802</v>
      </c>
      <c r="C696" t="s">
        <v>264</v>
      </c>
      <c r="D696" t="str">
        <f>UPPER(Table1[[#This Row],[ProductID_Clean]])</f>
        <v>P-SI-001</v>
      </c>
      <c r="E696" t="s">
        <v>72</v>
      </c>
      <c r="F696" t="s">
        <v>23</v>
      </c>
      <c r="G696" t="str">
        <f>TRIM(Table1[[#This Row],[Region_Clean]])</f>
        <v>N. AMERICA</v>
      </c>
      <c r="H696" t="s">
        <v>24</v>
      </c>
      <c r="I696" t="s">
        <v>87</v>
      </c>
      <c r="J696" s="3">
        <v>8</v>
      </c>
      <c r="K696" s="3">
        <v>439.84</v>
      </c>
      <c r="L696">
        <v>485</v>
      </c>
      <c r="M696">
        <v>3880</v>
      </c>
      <c r="N696">
        <v>361.28</v>
      </c>
      <c r="O696">
        <v>3518.72</v>
      </c>
      <c r="P696" t="s">
        <v>26</v>
      </c>
      <c r="Q696" t="s">
        <v>35</v>
      </c>
      <c r="R696" t="s">
        <v>48</v>
      </c>
      <c r="S696" t="str">
        <f>TRIM(PROPER(_xlfn.XLOOKUP(Table1[[#This Row],[ProductID_Clean]],Table3[ProductID],Table3[Category],"Missing Value",0)))</f>
        <v>Sensors</v>
      </c>
      <c r="T696" t="str">
        <f>_xlfn.XLOOKUP(Table1[[#This Row],[CustomerID_Check]],Table2[CustomerID],Table2[CustomerType],"Missing Value",0)</f>
        <v>Standard</v>
      </c>
    </row>
    <row r="697" spans="1:20">
      <c r="A697" t="s">
        <v>945</v>
      </c>
      <c r="B697" s="1">
        <v>45665</v>
      </c>
      <c r="C697" t="s">
        <v>256</v>
      </c>
      <c r="D697" t="str">
        <f>UPPER(Table1[[#This Row],[ProductID_Clean]])</f>
        <v>P-FS-004</v>
      </c>
      <c r="E697" t="s">
        <v>432</v>
      </c>
      <c r="F697" t="s">
        <v>47</v>
      </c>
      <c r="G697" t="str">
        <f>TRIM(Table1[[#This Row],[Region_Clean]])</f>
        <v>EMEA</v>
      </c>
      <c r="H697" t="s">
        <v>82</v>
      </c>
      <c r="I697" t="s">
        <v>87</v>
      </c>
      <c r="J697" s="3">
        <v>1</v>
      </c>
      <c r="K697" s="3">
        <v>2461.85</v>
      </c>
      <c r="L697">
        <v>3200</v>
      </c>
      <c r="M697">
        <v>3200</v>
      </c>
      <c r="N697">
        <v>738.15</v>
      </c>
      <c r="O697">
        <v>2461.85</v>
      </c>
      <c r="P697" t="s">
        <v>26</v>
      </c>
      <c r="Q697" t="s">
        <v>65</v>
      </c>
      <c r="R697" t="s">
        <v>44</v>
      </c>
      <c r="S697" t="str">
        <f>TRIM(PROPER(_xlfn.XLOOKUP(Table1[[#This Row],[ProductID_Clean]],Table3[ProductID],Table3[Category],"Missing Value",0)))</f>
        <v>Services</v>
      </c>
      <c r="T697" t="str">
        <f>_xlfn.XLOOKUP(Table1[[#This Row],[CustomerID_Check]],Table2[CustomerID],Table2[CustomerType],"Missing Value",0)</f>
        <v>Strategic</v>
      </c>
    </row>
    <row r="698" spans="1:20">
      <c r="A698" t="s">
        <v>946</v>
      </c>
      <c r="B698" s="1">
        <v>45669</v>
      </c>
      <c r="C698" t="s">
        <v>165</v>
      </c>
      <c r="D698" t="str">
        <f>UPPER(Table1[[#This Row],[ProductID_Clean]])</f>
        <v>P-SA-001</v>
      </c>
      <c r="E698" t="s">
        <v>68</v>
      </c>
      <c r="F698" t="s">
        <v>47</v>
      </c>
      <c r="G698" t="str">
        <f>TRIM(Table1[[#This Row],[Region_Clean]])</f>
        <v>EMEA</v>
      </c>
      <c r="H698" t="s">
        <v>53</v>
      </c>
      <c r="I698" t="s">
        <v>25</v>
      </c>
      <c r="J698" s="3">
        <v>2</v>
      </c>
      <c r="K698" s="3">
        <v>3914.62</v>
      </c>
      <c r="L698">
        <v>4200</v>
      </c>
      <c r="M698">
        <v>8400</v>
      </c>
      <c r="N698">
        <v>570.76</v>
      </c>
      <c r="O698">
        <v>7829.24</v>
      </c>
      <c r="P698" t="s">
        <v>26</v>
      </c>
      <c r="Q698" t="s">
        <v>54</v>
      </c>
      <c r="R698" t="s">
        <v>28</v>
      </c>
      <c r="S698" t="str">
        <f>TRIM(PROPER(_xlfn.XLOOKUP(Table1[[#This Row],[ProductID_Clean]],Table3[ProductID],Table3[Category],"Missing Value",0)))</f>
        <v>Software</v>
      </c>
      <c r="T698" t="str">
        <f>_xlfn.XLOOKUP(Table1[[#This Row],[CustomerID_Check]],Table2[CustomerID],Table2[CustomerType],"Missing Value",0)</f>
        <v>Key Account</v>
      </c>
    </row>
    <row r="699" spans="1:20">
      <c r="A699" t="s">
        <v>947</v>
      </c>
      <c r="B699" s="1">
        <v>45805</v>
      </c>
      <c r="C699" t="s">
        <v>431</v>
      </c>
      <c r="D699" t="str">
        <f>UPPER(Table1[[#This Row],[ProductID_Clean]])</f>
        <v>P-SI-008</v>
      </c>
      <c r="E699" t="s">
        <v>152</v>
      </c>
      <c r="F699" t="s">
        <v>23</v>
      </c>
      <c r="G699" t="str">
        <f>TRIM(Table1[[#This Row],[Region_Clean]])</f>
        <v>N. AMERICA</v>
      </c>
      <c r="H699" t="s">
        <v>24</v>
      </c>
      <c r="I699" t="s">
        <v>184</v>
      </c>
      <c r="J699" s="3">
        <v>5</v>
      </c>
      <c r="K699" s="3">
        <v>793.37</v>
      </c>
      <c r="L699">
        <v>950</v>
      </c>
      <c r="M699">
        <v>4750</v>
      </c>
      <c r="N699">
        <v>783.15</v>
      </c>
      <c r="O699">
        <v>3966.85</v>
      </c>
      <c r="P699" t="s">
        <v>26</v>
      </c>
      <c r="Q699" t="s">
        <v>27</v>
      </c>
      <c r="R699" t="s">
        <v>44</v>
      </c>
      <c r="S699" t="str">
        <f>TRIM(PROPER(_xlfn.XLOOKUP(Table1[[#This Row],[ProductID_Clean]],Table3[ProductID],Table3[Category],"Missing Value",0)))</f>
        <v>Instruments</v>
      </c>
      <c r="T699" t="str">
        <f>_xlfn.XLOOKUP(Table1[[#This Row],[CustomerID_Check]],Table2[CustomerID],Table2[CustomerType],"Missing Value",0)</f>
        <v>Standard</v>
      </c>
    </row>
    <row r="700" spans="1:20">
      <c r="A700" t="s">
        <v>948</v>
      </c>
      <c r="B700" s="1">
        <v>45804</v>
      </c>
      <c r="C700" t="s">
        <v>143</v>
      </c>
      <c r="D700" t="str">
        <f>UPPER(Table1[[#This Row],[ProductID_Clean]])</f>
        <v>P-SI-002</v>
      </c>
      <c r="E700" t="s">
        <v>31</v>
      </c>
      <c r="F700" t="s">
        <v>23</v>
      </c>
      <c r="G700" t="str">
        <f>TRIM(Table1[[#This Row],[Region_Clean]])</f>
        <v>N. AMERICA</v>
      </c>
      <c r="H700" t="s">
        <v>24</v>
      </c>
      <c r="I700" t="s">
        <v>87</v>
      </c>
      <c r="J700" s="3">
        <v>1</v>
      </c>
      <c r="K700" s="3">
        <v>550.67999999999995</v>
      </c>
      <c r="L700">
        <v>725</v>
      </c>
      <c r="M700">
        <v>725</v>
      </c>
      <c r="N700">
        <v>174.32</v>
      </c>
      <c r="O700">
        <v>550.67999999999995</v>
      </c>
      <c r="P700" t="s">
        <v>26</v>
      </c>
      <c r="Q700" t="s">
        <v>35</v>
      </c>
      <c r="R700" t="s">
        <v>28</v>
      </c>
      <c r="S700" t="str">
        <f>TRIM(PROPER(_xlfn.XLOOKUP(Table1[[#This Row],[ProductID_Clean]],Table3[ProductID],Table3[Category],"Missing Value",0)))</f>
        <v>Sensors</v>
      </c>
      <c r="T700" t="str">
        <f>_xlfn.XLOOKUP(Table1[[#This Row],[CustomerID_Check]],Table2[CustomerID],Table2[CustomerType],"Missing Value",0)</f>
        <v>Strategic</v>
      </c>
    </row>
    <row r="701" spans="1:20">
      <c r="A701" t="s">
        <v>949</v>
      </c>
      <c r="B701" s="1">
        <v>45836</v>
      </c>
      <c r="C701" t="s">
        <v>262</v>
      </c>
      <c r="D701" t="str">
        <f>UPPER(Table1[[#This Row],[ProductID_Clean]])</f>
        <v>P-FS-004</v>
      </c>
      <c r="E701" t="s">
        <v>432</v>
      </c>
      <c r="F701" t="s">
        <v>23</v>
      </c>
      <c r="G701" t="str">
        <f>TRIM(Table1[[#This Row],[Region_Clean]])</f>
        <v>N. AMERICA</v>
      </c>
      <c r="H701" t="s">
        <v>82</v>
      </c>
      <c r="I701" t="s">
        <v>25</v>
      </c>
      <c r="J701" s="3">
        <v>1</v>
      </c>
      <c r="K701" s="3">
        <v>3062.98</v>
      </c>
      <c r="L701">
        <v>3200</v>
      </c>
      <c r="M701">
        <v>3200</v>
      </c>
      <c r="N701">
        <v>137.01999999999998</v>
      </c>
      <c r="O701">
        <v>3062.98</v>
      </c>
      <c r="P701" t="s">
        <v>113</v>
      </c>
      <c r="Q701" t="s">
        <v>27</v>
      </c>
      <c r="R701" t="s">
        <v>48</v>
      </c>
      <c r="S701" t="str">
        <f>TRIM(PROPER(_xlfn.XLOOKUP(Table1[[#This Row],[ProductID_Clean]],Table3[ProductID],Table3[Category],"Missing Value",0)))</f>
        <v>Services</v>
      </c>
      <c r="T701" t="str">
        <f>_xlfn.XLOOKUP(Table1[[#This Row],[CustomerID_Check]],Table2[CustomerID],Table2[CustomerType],"Missing Value",0)</f>
        <v>Key Account</v>
      </c>
    </row>
    <row r="702" spans="1:20">
      <c r="A702" t="s">
        <v>950</v>
      </c>
      <c r="B702" s="1">
        <v>45818</v>
      </c>
      <c r="C702" t="s">
        <v>38</v>
      </c>
      <c r="D702" t="str">
        <f>UPPER(Table1[[#This Row],[ProductID_Clean]])</f>
        <v>P-SA-002</v>
      </c>
      <c r="E702" t="s">
        <v>147</v>
      </c>
      <c r="F702" t="s">
        <v>474</v>
      </c>
      <c r="G702" t="str">
        <f>TRIM(Table1[[#This Row],[Region_Clean]])</f>
        <v>LATIN AMERICA</v>
      </c>
      <c r="H702" t="s">
        <v>53</v>
      </c>
      <c r="I702" t="s">
        <v>87</v>
      </c>
      <c r="J702" s="3">
        <v>3</v>
      </c>
      <c r="K702" s="3">
        <v>8087.39</v>
      </c>
      <c r="L702">
        <v>9800</v>
      </c>
      <c r="M702">
        <v>29400</v>
      </c>
      <c r="N702">
        <v>5137.83</v>
      </c>
      <c r="O702">
        <v>24262.17</v>
      </c>
      <c r="P702" t="s">
        <v>26</v>
      </c>
      <c r="Q702" t="s">
        <v>54</v>
      </c>
      <c r="R702" t="s">
        <v>36</v>
      </c>
      <c r="S702" t="str">
        <f>TRIM(PROPER(_xlfn.XLOOKUP(Table1[[#This Row],[ProductID_Clean]],Table3[ProductID],Table3[Category],"Missing Value",0)))</f>
        <v>Software</v>
      </c>
      <c r="T702" t="str">
        <f>_xlfn.XLOOKUP(Table1[[#This Row],[CustomerID_Check]],Table2[CustomerID],Table2[CustomerType],"Missing Value",0)</f>
        <v>Standard</v>
      </c>
    </row>
    <row r="703" spans="1:20">
      <c r="A703" t="s">
        <v>951</v>
      </c>
      <c r="B703" s="1">
        <v>45732</v>
      </c>
      <c r="C703" t="s">
        <v>710</v>
      </c>
      <c r="D703" t="str">
        <f>UPPER(Table1[[#This Row],[ProductID_Clean]])</f>
        <v>P-SA-005</v>
      </c>
      <c r="E703" t="s">
        <v>62</v>
      </c>
      <c r="F703" t="s">
        <v>23</v>
      </c>
      <c r="G703" t="str">
        <f>TRIM(Table1[[#This Row],[Region_Clean]])</f>
        <v>N. AMERICA</v>
      </c>
      <c r="H703" t="s">
        <v>53</v>
      </c>
      <c r="I703" t="s">
        <v>98</v>
      </c>
      <c r="J703" s="3">
        <v>1</v>
      </c>
      <c r="K703" s="3">
        <v>3056.81</v>
      </c>
      <c r="L703">
        <v>3200</v>
      </c>
      <c r="M703">
        <v>3200</v>
      </c>
      <c r="N703">
        <v>143.19</v>
      </c>
      <c r="O703">
        <v>3056.81</v>
      </c>
      <c r="P703" t="s">
        <v>113</v>
      </c>
      <c r="Q703" t="s">
        <v>54</v>
      </c>
      <c r="R703" t="s">
        <v>59</v>
      </c>
      <c r="S703" t="str">
        <f>TRIM(PROPER(_xlfn.XLOOKUP(Table1[[#This Row],[ProductID_Clean]],Table3[ProductID],Table3[Category],"Missing Value",0)))</f>
        <v>Software / Integration</v>
      </c>
      <c r="T703" t="str">
        <f>_xlfn.XLOOKUP(Table1[[#This Row],[CustomerID_Check]],Table2[CustomerID],Table2[CustomerType],"Missing Value",0)</f>
        <v>Standard</v>
      </c>
    </row>
    <row r="704" spans="1:20">
      <c r="A704" t="s">
        <v>952</v>
      </c>
      <c r="B704" s="1">
        <v>45735</v>
      </c>
      <c r="C704" t="s">
        <v>64</v>
      </c>
      <c r="D704" t="str">
        <f>UPPER(Table1[[#This Row],[ProductID_Clean]])</f>
        <v>P-SI-001</v>
      </c>
      <c r="E704" t="s">
        <v>72</v>
      </c>
      <c r="F704" t="s">
        <v>47</v>
      </c>
      <c r="G704" t="str">
        <f>TRIM(Table1[[#This Row],[Region_Clean]])</f>
        <v>EMEA</v>
      </c>
      <c r="H704" t="s">
        <v>24</v>
      </c>
      <c r="I704" t="s">
        <v>25</v>
      </c>
      <c r="J704" s="3">
        <v>8</v>
      </c>
      <c r="K704" s="3">
        <v>459.7</v>
      </c>
      <c r="L704">
        <v>485</v>
      </c>
      <c r="M704">
        <v>3880</v>
      </c>
      <c r="N704">
        <v>202.4</v>
      </c>
      <c r="O704">
        <v>3677.6</v>
      </c>
      <c r="P704" t="s">
        <v>26</v>
      </c>
      <c r="Q704" t="s">
        <v>35</v>
      </c>
      <c r="R704" t="s">
        <v>36</v>
      </c>
      <c r="S704" t="str">
        <f>TRIM(PROPER(_xlfn.XLOOKUP(Table1[[#This Row],[ProductID_Clean]],Table3[ProductID],Table3[Category],"Missing Value",0)))</f>
        <v>Sensors</v>
      </c>
      <c r="T704" t="str">
        <f>_xlfn.XLOOKUP(Table1[[#This Row],[CustomerID_Check]],Table2[CustomerID],Table2[CustomerType],"Missing Value",0)</f>
        <v>Key Account</v>
      </c>
    </row>
    <row r="705" spans="1:20">
      <c r="A705" t="s">
        <v>953</v>
      </c>
      <c r="B705" s="1">
        <v>45720</v>
      </c>
      <c r="C705" t="s">
        <v>442</v>
      </c>
      <c r="D705" t="str">
        <f>UPPER(Table1[[#This Row],[ProductID_Clean]])</f>
        <v>P-SI-002</v>
      </c>
      <c r="E705" t="s">
        <v>31</v>
      </c>
      <c r="F705" t="s">
        <v>23</v>
      </c>
      <c r="G705" t="str">
        <f>TRIM(Table1[[#This Row],[Region_Clean]])</f>
        <v>N. AMERICA</v>
      </c>
      <c r="H705" t="s">
        <v>24</v>
      </c>
      <c r="I705" t="s">
        <v>34</v>
      </c>
      <c r="J705" s="3">
        <v>3</v>
      </c>
      <c r="K705" s="3">
        <v>647.91</v>
      </c>
      <c r="L705">
        <v>725</v>
      </c>
      <c r="M705">
        <v>2175</v>
      </c>
      <c r="N705">
        <v>231.27</v>
      </c>
      <c r="O705">
        <v>1943.73</v>
      </c>
      <c r="P705" t="s">
        <v>26</v>
      </c>
      <c r="Q705" t="s">
        <v>35</v>
      </c>
      <c r="R705" t="s">
        <v>36</v>
      </c>
      <c r="S705" t="str">
        <f>TRIM(PROPER(_xlfn.XLOOKUP(Table1[[#This Row],[ProductID_Clean]],Table3[ProductID],Table3[Category],"Missing Value",0)))</f>
        <v>Sensors</v>
      </c>
      <c r="T705" t="str">
        <f>_xlfn.XLOOKUP(Table1[[#This Row],[CustomerID_Check]],Table2[CustomerID],Table2[CustomerType],"Missing Value",0)</f>
        <v>Standard</v>
      </c>
    </row>
    <row r="706" spans="1:20">
      <c r="A706" t="s">
        <v>954</v>
      </c>
      <c r="B706" s="1">
        <v>45761</v>
      </c>
      <c r="C706" t="s">
        <v>559</v>
      </c>
      <c r="D706" t="str">
        <f>UPPER(Table1[[#This Row],[ProductID_Clean]])</f>
        <v>P-SI-007</v>
      </c>
      <c r="E706" t="s">
        <v>97</v>
      </c>
      <c r="F706" t="s">
        <v>58</v>
      </c>
      <c r="G706" t="str">
        <f>TRIM(Table1[[#This Row],[Region_Clean]])</f>
        <v>APAC</v>
      </c>
      <c r="H706" t="s">
        <v>24</v>
      </c>
      <c r="I706" t="s">
        <v>87</v>
      </c>
      <c r="J706" s="3">
        <v>4</v>
      </c>
      <c r="K706" s="3">
        <v>828.18</v>
      </c>
      <c r="L706">
        <v>980</v>
      </c>
      <c r="M706">
        <v>3920</v>
      </c>
      <c r="N706">
        <v>607.28</v>
      </c>
      <c r="O706">
        <v>3312.72</v>
      </c>
      <c r="P706" t="s">
        <v>26</v>
      </c>
      <c r="Q706" t="s">
        <v>27</v>
      </c>
      <c r="R706" t="s">
        <v>36</v>
      </c>
      <c r="S706" t="str">
        <f>TRIM(PROPER(_xlfn.XLOOKUP(Table1[[#This Row],[ProductID_Clean]],Table3[ProductID],Table3[Category],"Missing Value",0)))</f>
        <v>Sensors</v>
      </c>
      <c r="T706" t="str">
        <f>_xlfn.XLOOKUP(Table1[[#This Row],[CustomerID_Check]],Table2[CustomerID],Table2[CustomerType],"Missing Value",0)</f>
        <v>Standard</v>
      </c>
    </row>
    <row r="707" spans="1:20">
      <c r="A707" t="s">
        <v>955</v>
      </c>
      <c r="B707" s="1">
        <v>45774</v>
      </c>
      <c r="C707" t="s">
        <v>332</v>
      </c>
      <c r="D707" t="str">
        <f>UPPER(Table1[[#This Row],[ProductID_Clean]])</f>
        <v>P-SI-002</v>
      </c>
      <c r="E707" t="s">
        <v>31</v>
      </c>
      <c r="F707" t="s">
        <v>23</v>
      </c>
      <c r="G707" t="str">
        <f>TRIM(Table1[[#This Row],[Region_Clean]])</f>
        <v>N. AMERICA</v>
      </c>
      <c r="H707" t="s">
        <v>24</v>
      </c>
      <c r="I707" t="s">
        <v>25</v>
      </c>
      <c r="J707" s="3">
        <v>20</v>
      </c>
      <c r="K707" s="3">
        <v>686.97</v>
      </c>
      <c r="L707">
        <v>725</v>
      </c>
      <c r="M707">
        <v>14500</v>
      </c>
      <c r="N707">
        <v>760.6</v>
      </c>
      <c r="O707">
        <v>13739.4</v>
      </c>
      <c r="P707" t="s">
        <v>26</v>
      </c>
      <c r="Q707" t="s">
        <v>35</v>
      </c>
      <c r="R707" t="s">
        <v>28</v>
      </c>
      <c r="S707" t="str">
        <f>TRIM(PROPER(_xlfn.XLOOKUP(Table1[[#This Row],[ProductID_Clean]],Table3[ProductID],Table3[Category],"Missing Value",0)))</f>
        <v>Sensors</v>
      </c>
      <c r="T707" t="str">
        <f>_xlfn.XLOOKUP(Table1[[#This Row],[CustomerID_Check]],Table2[CustomerID],Table2[CustomerType],"Missing Value",0)</f>
        <v>Key Account</v>
      </c>
    </row>
    <row r="708" spans="1:20">
      <c r="A708" t="s">
        <v>956</v>
      </c>
      <c r="B708" s="1">
        <v>45698</v>
      </c>
      <c r="C708" t="s">
        <v>208</v>
      </c>
      <c r="D708" t="str">
        <f>UPPER(Table1[[#This Row],[ProductID_Clean]])</f>
        <v>P-SI-008</v>
      </c>
      <c r="E708" t="s">
        <v>152</v>
      </c>
      <c r="F708" t="s">
        <v>47</v>
      </c>
      <c r="G708" t="str">
        <f>TRIM(Table1[[#This Row],[Region_Clean]])</f>
        <v>EMEA</v>
      </c>
      <c r="H708" t="s">
        <v>24</v>
      </c>
      <c r="I708" t="s">
        <v>87</v>
      </c>
      <c r="J708" s="3">
        <v>10</v>
      </c>
      <c r="K708" s="3">
        <v>869.99</v>
      </c>
      <c r="L708">
        <v>950</v>
      </c>
      <c r="M708">
        <v>9500</v>
      </c>
      <c r="N708">
        <v>800.1</v>
      </c>
      <c r="O708">
        <v>8699.9</v>
      </c>
      <c r="P708" t="s">
        <v>26</v>
      </c>
      <c r="Q708" t="s">
        <v>35</v>
      </c>
      <c r="R708" t="s">
        <v>36</v>
      </c>
      <c r="S708" t="str">
        <f>TRIM(PROPER(_xlfn.XLOOKUP(Table1[[#This Row],[ProductID_Clean]],Table3[ProductID],Table3[Category],"Missing Value",0)))</f>
        <v>Instruments</v>
      </c>
      <c r="T708" t="str">
        <f>_xlfn.XLOOKUP(Table1[[#This Row],[CustomerID_Check]],Table2[CustomerID],Table2[CustomerType],"Missing Value",0)</f>
        <v>Standard</v>
      </c>
    </row>
    <row r="709" spans="1:20">
      <c r="A709" t="s">
        <v>957</v>
      </c>
      <c r="B709" s="1">
        <v>45764</v>
      </c>
      <c r="C709" t="s">
        <v>188</v>
      </c>
      <c r="D709" t="str">
        <f>UPPER(Table1[[#This Row],[ProductID_Clean]])</f>
        <v>P-SI-002</v>
      </c>
      <c r="E709" t="s">
        <v>31</v>
      </c>
      <c r="F709" t="s">
        <v>58</v>
      </c>
      <c r="G709" t="str">
        <f>TRIM(Table1[[#This Row],[Region_Clean]])</f>
        <v>APAC</v>
      </c>
      <c r="H709" t="s">
        <v>24</v>
      </c>
      <c r="I709" t="s">
        <v>25</v>
      </c>
      <c r="J709" s="3">
        <v>10</v>
      </c>
      <c r="K709" s="3">
        <v>621.45000000000005</v>
      </c>
      <c r="L709">
        <v>725</v>
      </c>
      <c r="M709">
        <v>7250</v>
      </c>
      <c r="N709">
        <v>1035.5</v>
      </c>
      <c r="O709">
        <v>6214.5</v>
      </c>
      <c r="P709" t="s">
        <v>26</v>
      </c>
      <c r="Q709" t="s">
        <v>27</v>
      </c>
      <c r="R709" t="s">
        <v>44</v>
      </c>
      <c r="S709" t="str">
        <f>TRIM(PROPER(_xlfn.XLOOKUP(Table1[[#This Row],[ProductID_Clean]],Table3[ProductID],Table3[Category],"Missing Value",0)))</f>
        <v>Sensors</v>
      </c>
      <c r="T709" t="str">
        <f>_xlfn.XLOOKUP(Table1[[#This Row],[CustomerID_Check]],Table2[CustomerID],Table2[CustomerType],"Missing Value",0)</f>
        <v>Key Account</v>
      </c>
    </row>
    <row r="710" spans="1:20">
      <c r="A710" t="s">
        <v>958</v>
      </c>
      <c r="B710" s="1">
        <v>45776</v>
      </c>
      <c r="C710" t="s">
        <v>457</v>
      </c>
      <c r="D710" t="str">
        <f>UPPER(Table1[[#This Row],[ProductID_Clean]])</f>
        <v>P-FS-001</v>
      </c>
      <c r="E710" t="s">
        <v>133</v>
      </c>
      <c r="F710" t="s">
        <v>23</v>
      </c>
      <c r="G710" t="str">
        <f>TRIM(Table1[[#This Row],[Region_Clean]])</f>
        <v>N. AMERICA</v>
      </c>
      <c r="H710" t="s">
        <v>82</v>
      </c>
      <c r="I710" t="s">
        <v>87</v>
      </c>
      <c r="J710" s="3">
        <v>1</v>
      </c>
      <c r="K710" s="3">
        <v>1451.95</v>
      </c>
      <c r="L710">
        <v>1850</v>
      </c>
      <c r="M710">
        <v>1850</v>
      </c>
      <c r="N710">
        <v>398.05</v>
      </c>
      <c r="O710">
        <v>1451.95</v>
      </c>
      <c r="P710" t="s">
        <v>113</v>
      </c>
      <c r="Q710" t="s">
        <v>35</v>
      </c>
      <c r="R710" t="s">
        <v>28</v>
      </c>
      <c r="S710" t="str">
        <f>TRIM(PROPER(_xlfn.XLOOKUP(Table1[[#This Row],[ProductID_Clean]],Table3[ProductID],Table3[Category],"Missing Value",0)))</f>
        <v>Services</v>
      </c>
      <c r="T710" t="str">
        <f>_xlfn.XLOOKUP(Table1[[#This Row],[CustomerID_Check]],Table2[CustomerID],Table2[CustomerType],"Missing Value",0)</f>
        <v>Key Account</v>
      </c>
    </row>
    <row r="711" spans="1:20">
      <c r="A711" t="s">
        <v>959</v>
      </c>
      <c r="B711" s="1">
        <v>45694</v>
      </c>
      <c r="C711" t="s">
        <v>488</v>
      </c>
      <c r="D711" t="str">
        <f>UPPER(Table1[[#This Row],[ProductID_Clean]])</f>
        <v>P-SI-007</v>
      </c>
      <c r="E711" t="s">
        <v>97</v>
      </c>
      <c r="F711" t="s">
        <v>32</v>
      </c>
      <c r="G711" t="str">
        <f>TRIM(Table1[[#This Row],[Region_Clean]])</f>
        <v>LATIN AMERICA</v>
      </c>
      <c r="H711" t="s">
        <v>24</v>
      </c>
      <c r="I711" t="s">
        <v>34</v>
      </c>
      <c r="J711" s="3">
        <v>4</v>
      </c>
      <c r="K711" s="3">
        <v>777.03</v>
      </c>
      <c r="L711">
        <v>980</v>
      </c>
      <c r="M711">
        <v>3920</v>
      </c>
      <c r="N711">
        <v>811.88</v>
      </c>
      <c r="O711">
        <v>3108.12</v>
      </c>
      <c r="P711" t="s">
        <v>26</v>
      </c>
      <c r="Q711" t="s">
        <v>27</v>
      </c>
      <c r="R711" t="s">
        <v>36</v>
      </c>
      <c r="S711" t="str">
        <f>TRIM(PROPER(_xlfn.XLOOKUP(Table1[[#This Row],[ProductID_Clean]],Table3[ProductID],Table3[Category],"Missing Value",0)))</f>
        <v>Sensors</v>
      </c>
      <c r="T711" t="str">
        <f>_xlfn.XLOOKUP(Table1[[#This Row],[CustomerID_Check]],Table2[CustomerID],Table2[CustomerType],"Missing Value",0)</f>
        <v>Strategic</v>
      </c>
    </row>
    <row r="712" spans="1:20">
      <c r="A712" t="s">
        <v>960</v>
      </c>
      <c r="B712" s="1">
        <v>45739</v>
      </c>
      <c r="C712" t="s">
        <v>80</v>
      </c>
      <c r="D712" t="str">
        <f>UPPER(Table1[[#This Row],[ProductID_Clean]])</f>
        <v>P-SI-006</v>
      </c>
      <c r="E712" t="s">
        <v>43</v>
      </c>
      <c r="F712" t="s">
        <v>23</v>
      </c>
      <c r="G712" t="str">
        <f>TRIM(Table1[[#This Row],[Region_Clean]])</f>
        <v>N. AMERICA</v>
      </c>
      <c r="H712" t="s">
        <v>24</v>
      </c>
      <c r="I712" t="s">
        <v>25</v>
      </c>
      <c r="J712" s="3">
        <v>2</v>
      </c>
      <c r="K712" s="3">
        <v>177.01</v>
      </c>
      <c r="L712">
        <v>215</v>
      </c>
      <c r="M712">
        <v>430</v>
      </c>
      <c r="N712">
        <v>75.98</v>
      </c>
      <c r="O712">
        <v>354.02</v>
      </c>
      <c r="P712" t="s">
        <v>26</v>
      </c>
      <c r="Q712" t="s">
        <v>35</v>
      </c>
      <c r="R712" t="s">
        <v>48</v>
      </c>
      <c r="S712" t="str">
        <f>TRIM(PROPER(_xlfn.XLOOKUP(Table1[[#This Row],[ProductID_Clean]],Table3[ProductID],Table3[Category],"Missing Value",0)))</f>
        <v>Sensors</v>
      </c>
      <c r="T712" t="str">
        <f>_xlfn.XLOOKUP(Table1[[#This Row],[CustomerID_Check]],Table2[CustomerID],Table2[CustomerType],"Missing Value",0)</f>
        <v>Strategic</v>
      </c>
    </row>
    <row r="713" spans="1:20">
      <c r="A713" t="s">
        <v>961</v>
      </c>
      <c r="B713" s="1">
        <v>45746</v>
      </c>
      <c r="C713" t="s">
        <v>160</v>
      </c>
      <c r="D713" t="str">
        <f>UPPER(Table1[[#This Row],[ProductID_Clean]])</f>
        <v>P-SI-008</v>
      </c>
      <c r="E713" t="s">
        <v>152</v>
      </c>
      <c r="F713" t="s">
        <v>47</v>
      </c>
      <c r="G713" t="str">
        <f>TRIM(Table1[[#This Row],[Region_Clean]])</f>
        <v>EMEA</v>
      </c>
      <c r="H713" t="s">
        <v>24</v>
      </c>
      <c r="I713" t="s">
        <v>25</v>
      </c>
      <c r="J713" s="3">
        <v>1</v>
      </c>
      <c r="K713" s="3">
        <v>899.59</v>
      </c>
      <c r="L713">
        <v>950</v>
      </c>
      <c r="M713">
        <v>950</v>
      </c>
      <c r="N713">
        <v>50.41</v>
      </c>
      <c r="O713">
        <v>899.59</v>
      </c>
      <c r="P713" t="s">
        <v>26</v>
      </c>
      <c r="Q713" t="s">
        <v>27</v>
      </c>
      <c r="R713" t="s">
        <v>59</v>
      </c>
      <c r="S713" t="str">
        <f>TRIM(PROPER(_xlfn.XLOOKUP(Table1[[#This Row],[ProductID_Clean]],Table3[ProductID],Table3[Category],"Missing Value",0)))</f>
        <v>Instruments</v>
      </c>
      <c r="T713" t="str">
        <f>_xlfn.XLOOKUP(Table1[[#This Row],[CustomerID_Check]],Table2[CustomerID],Table2[CustomerType],"Missing Value",0)</f>
        <v>Key Account</v>
      </c>
    </row>
    <row r="714" spans="1:20">
      <c r="A714" t="s">
        <v>962</v>
      </c>
      <c r="B714" s="1">
        <v>45752</v>
      </c>
      <c r="C714" t="s">
        <v>157</v>
      </c>
      <c r="D714" t="str">
        <f>UPPER(Table1[[#This Row],[ProductID_Clean]])</f>
        <v>P-SA-001</v>
      </c>
      <c r="E714" t="s">
        <v>68</v>
      </c>
      <c r="F714" t="s">
        <v>23</v>
      </c>
      <c r="G714" t="str">
        <f>TRIM(Table1[[#This Row],[Region_Clean]])</f>
        <v>N. AMERICA</v>
      </c>
      <c r="H714" t="s">
        <v>53</v>
      </c>
      <c r="I714" t="s">
        <v>25</v>
      </c>
      <c r="J714" s="3">
        <v>1</v>
      </c>
      <c r="K714" s="3">
        <v>3738.32</v>
      </c>
      <c r="L714">
        <v>4200</v>
      </c>
      <c r="M714">
        <v>4200</v>
      </c>
      <c r="N714">
        <v>461.68</v>
      </c>
      <c r="O714">
        <v>3738.32</v>
      </c>
      <c r="P714" t="s">
        <v>26</v>
      </c>
      <c r="Q714" t="s">
        <v>88</v>
      </c>
      <c r="R714" t="s">
        <v>36</v>
      </c>
      <c r="S714" t="str">
        <f>TRIM(PROPER(_xlfn.XLOOKUP(Table1[[#This Row],[ProductID_Clean]],Table3[ProductID],Table3[Category],"Missing Value",0)))</f>
        <v>Software</v>
      </c>
      <c r="T714" t="str">
        <f>_xlfn.XLOOKUP(Table1[[#This Row],[CustomerID_Check]],Table2[CustomerID],Table2[CustomerType],"Missing Value",0)</f>
        <v>Key Account</v>
      </c>
    </row>
    <row r="715" spans="1:20">
      <c r="A715" t="s">
        <v>963</v>
      </c>
      <c r="B715" s="1">
        <v>45712</v>
      </c>
      <c r="C715" t="s">
        <v>252</v>
      </c>
      <c r="D715" t="str">
        <f>UPPER(Table1[[#This Row],[ProductID_Clean]])</f>
        <v>P-FS-001</v>
      </c>
      <c r="E715" t="s">
        <v>133</v>
      </c>
      <c r="F715" t="s">
        <v>23</v>
      </c>
      <c r="G715" t="str">
        <f>TRIM(Table1[[#This Row],[Region_Clean]])</f>
        <v>N. AMERICA</v>
      </c>
      <c r="H715" t="s">
        <v>82</v>
      </c>
      <c r="I715" t="s">
        <v>25</v>
      </c>
      <c r="J715" s="3">
        <v>1</v>
      </c>
      <c r="K715" s="3">
        <v>1353.7</v>
      </c>
      <c r="L715">
        <v>1850</v>
      </c>
      <c r="M715">
        <v>1850</v>
      </c>
      <c r="N715">
        <v>496.29999999999995</v>
      </c>
      <c r="O715">
        <v>1353.7</v>
      </c>
      <c r="P715" t="s">
        <v>26</v>
      </c>
      <c r="Q715" t="s">
        <v>35</v>
      </c>
      <c r="R715" t="s">
        <v>44</v>
      </c>
      <c r="S715" t="str">
        <f>TRIM(PROPER(_xlfn.XLOOKUP(Table1[[#This Row],[ProductID_Clean]],Table3[ProductID],Table3[Category],"Missing Value",0)))</f>
        <v>Services</v>
      </c>
      <c r="T715" t="str">
        <f>_xlfn.XLOOKUP(Table1[[#This Row],[CustomerID_Check]],Table2[CustomerID],Table2[CustomerType],"Missing Value",0)</f>
        <v>Strategic</v>
      </c>
    </row>
    <row r="716" spans="1:20">
      <c r="A716" t="s">
        <v>964</v>
      </c>
      <c r="B716" s="1">
        <v>45739</v>
      </c>
      <c r="C716" t="s">
        <v>30</v>
      </c>
      <c r="D716" t="str">
        <f>UPPER(Table1[[#This Row],[ProductID_Clean]])</f>
        <v>P-SI-008</v>
      </c>
      <c r="E716" t="s">
        <v>152</v>
      </c>
      <c r="F716" t="s">
        <v>32</v>
      </c>
      <c r="G716" t="str">
        <f>TRIM(Table1[[#This Row],[Region_Clean]])</f>
        <v>LATIN AMERICA</v>
      </c>
      <c r="H716" t="s">
        <v>24</v>
      </c>
      <c r="I716" t="s">
        <v>25</v>
      </c>
      <c r="J716" s="3">
        <v>5</v>
      </c>
      <c r="K716" s="3">
        <v>736.32</v>
      </c>
      <c r="L716">
        <v>950</v>
      </c>
      <c r="M716">
        <v>4750</v>
      </c>
      <c r="N716">
        <v>1068.4000000000001</v>
      </c>
      <c r="O716">
        <v>3681.6</v>
      </c>
      <c r="P716" t="s">
        <v>26</v>
      </c>
      <c r="Q716" t="s">
        <v>35</v>
      </c>
      <c r="R716" t="s">
        <v>36</v>
      </c>
      <c r="S716" t="str">
        <f>TRIM(PROPER(_xlfn.XLOOKUP(Table1[[#This Row],[ProductID_Clean]],Table3[ProductID],Table3[Category],"Missing Value",0)))</f>
        <v>Instruments</v>
      </c>
      <c r="T716" t="str">
        <f>_xlfn.XLOOKUP(Table1[[#This Row],[CustomerID_Check]],Table2[CustomerID],Table2[CustomerType],"Missing Value",0)</f>
        <v>Strategic</v>
      </c>
    </row>
    <row r="717" spans="1:20">
      <c r="A717" t="s">
        <v>965</v>
      </c>
      <c r="B717" s="1">
        <v>45777</v>
      </c>
      <c r="C717" t="s">
        <v>135</v>
      </c>
      <c r="D717" t="str">
        <f>UPPER(Table1[[#This Row],[ProductID_Clean]])</f>
        <v>P-SI-001</v>
      </c>
      <c r="E717" t="s">
        <v>72</v>
      </c>
      <c r="F717" t="s">
        <v>58</v>
      </c>
      <c r="G717" t="str">
        <f>TRIM(Table1[[#This Row],[Region_Clean]])</f>
        <v>APAC</v>
      </c>
      <c r="H717" t="s">
        <v>24</v>
      </c>
      <c r="I717" t="s">
        <v>25</v>
      </c>
      <c r="J717" s="3">
        <v>5</v>
      </c>
      <c r="K717" s="3">
        <v>381.94</v>
      </c>
      <c r="L717">
        <v>485</v>
      </c>
      <c r="M717">
        <v>2425</v>
      </c>
      <c r="N717">
        <v>515.29999999999995</v>
      </c>
      <c r="O717">
        <v>1909.7</v>
      </c>
      <c r="P717" t="s">
        <v>113</v>
      </c>
      <c r="Q717" t="s">
        <v>35</v>
      </c>
      <c r="R717" t="s">
        <v>28</v>
      </c>
      <c r="S717" t="str">
        <f>TRIM(PROPER(_xlfn.XLOOKUP(Table1[[#This Row],[ProductID_Clean]],Table3[ProductID],Table3[Category],"Missing Value",0)))</f>
        <v>Sensors</v>
      </c>
      <c r="T717" t="str">
        <f>_xlfn.XLOOKUP(Table1[[#This Row],[CustomerID_Check]],Table2[CustomerID],Table2[CustomerType],"Missing Value",0)</f>
        <v>Strategic</v>
      </c>
    </row>
    <row r="718" spans="1:20">
      <c r="A718" t="s">
        <v>966</v>
      </c>
      <c r="B718" s="1">
        <v>45721</v>
      </c>
      <c r="C718" t="s">
        <v>237</v>
      </c>
      <c r="D718" t="str">
        <f>UPPER(Table1[[#This Row],[ProductID_Clean]])</f>
        <v>P-SI-008</v>
      </c>
      <c r="E718" t="s">
        <v>152</v>
      </c>
      <c r="F718" t="s">
        <v>47</v>
      </c>
      <c r="G718" t="str">
        <f>TRIM(Table1[[#This Row],[Region_Clean]])</f>
        <v>EMEA</v>
      </c>
      <c r="H718" t="s">
        <v>24</v>
      </c>
      <c r="I718" t="s">
        <v>25</v>
      </c>
      <c r="J718" s="3">
        <v>10</v>
      </c>
      <c r="K718" s="3">
        <v>854</v>
      </c>
      <c r="L718">
        <v>950</v>
      </c>
      <c r="M718">
        <v>9500</v>
      </c>
      <c r="N718">
        <v>960</v>
      </c>
      <c r="O718">
        <v>8540</v>
      </c>
      <c r="P718" t="s">
        <v>26</v>
      </c>
      <c r="Q718" t="s">
        <v>35</v>
      </c>
      <c r="R718" t="s">
        <v>28</v>
      </c>
      <c r="S718" t="str">
        <f>TRIM(PROPER(_xlfn.XLOOKUP(Table1[[#This Row],[ProductID_Clean]],Table3[ProductID],Table3[Category],"Missing Value",0)))</f>
        <v>Instruments</v>
      </c>
      <c r="T718" t="str">
        <f>_xlfn.XLOOKUP(Table1[[#This Row],[CustomerID_Check]],Table2[CustomerID],Table2[CustomerType],"Missing Value",0)</f>
        <v>Standard</v>
      </c>
    </row>
    <row r="719" spans="1:20">
      <c r="A719" t="s">
        <v>967</v>
      </c>
      <c r="B719" s="1">
        <v>45682</v>
      </c>
      <c r="C719" t="s">
        <v>408</v>
      </c>
      <c r="D719" t="str">
        <f>UPPER(Table1[[#This Row],[ProductID_Clean]])</f>
        <v>P-SA-003</v>
      </c>
      <c r="E719" t="s">
        <v>51</v>
      </c>
      <c r="F719" t="s">
        <v>23</v>
      </c>
      <c r="G719" t="str">
        <f>TRIM(Table1[[#This Row],[Region_Clean]])</f>
        <v>N. AMERICA</v>
      </c>
      <c r="H719" t="s">
        <v>53</v>
      </c>
      <c r="I719" t="s">
        <v>25</v>
      </c>
      <c r="J719" s="3">
        <v>1</v>
      </c>
      <c r="K719" s="3">
        <v>2494.61</v>
      </c>
      <c r="L719">
        <v>2750</v>
      </c>
      <c r="M719">
        <v>2750</v>
      </c>
      <c r="N719">
        <v>255.39</v>
      </c>
      <c r="O719">
        <v>2494.61</v>
      </c>
      <c r="P719" t="s">
        <v>26</v>
      </c>
      <c r="Q719" t="s">
        <v>189</v>
      </c>
      <c r="R719" t="s">
        <v>44</v>
      </c>
      <c r="S719" t="str">
        <f>TRIM(PROPER(_xlfn.XLOOKUP(Table1[[#This Row],[ProductID_Clean]],Table3[ProductID],Table3[Category],"Missing Value",0)))</f>
        <v>Software</v>
      </c>
      <c r="T719" t="str">
        <f>_xlfn.XLOOKUP(Table1[[#This Row],[CustomerID_Check]],Table2[CustomerID],Table2[CustomerType],"Missing Value",0)</f>
        <v>Emerging</v>
      </c>
    </row>
    <row r="720" spans="1:20">
      <c r="A720" t="s">
        <v>968</v>
      </c>
      <c r="B720" s="1">
        <v>45732</v>
      </c>
      <c r="C720" t="s">
        <v>118</v>
      </c>
      <c r="D720" t="str">
        <f>UPPER(Table1[[#This Row],[ProductID_Clean]])</f>
        <v>P-FS-001</v>
      </c>
      <c r="E720" t="s">
        <v>133</v>
      </c>
      <c r="F720" t="s">
        <v>23</v>
      </c>
      <c r="G720" t="str">
        <f>TRIM(Table1[[#This Row],[Region_Clean]])</f>
        <v>N. AMERICA</v>
      </c>
      <c r="H720" t="s">
        <v>82</v>
      </c>
      <c r="I720" t="s">
        <v>25</v>
      </c>
      <c r="J720" s="3">
        <v>1</v>
      </c>
      <c r="K720" s="3">
        <v>1549.27</v>
      </c>
      <c r="L720">
        <v>1850</v>
      </c>
      <c r="M720">
        <v>1850</v>
      </c>
      <c r="N720">
        <v>300.73</v>
      </c>
      <c r="O720">
        <v>1549.27</v>
      </c>
      <c r="P720" t="s">
        <v>26</v>
      </c>
      <c r="Q720" t="s">
        <v>65</v>
      </c>
      <c r="R720" t="s">
        <v>59</v>
      </c>
      <c r="S720" t="str">
        <f>TRIM(PROPER(_xlfn.XLOOKUP(Table1[[#This Row],[ProductID_Clean]],Table3[ProductID],Table3[Category],"Missing Value",0)))</f>
        <v>Services</v>
      </c>
      <c r="T720" t="str">
        <f>_xlfn.XLOOKUP(Table1[[#This Row],[CustomerID_Check]],Table2[CustomerID],Table2[CustomerType],"Missing Value",0)</f>
        <v>Key Account</v>
      </c>
    </row>
    <row r="721" spans="1:20">
      <c r="A721" t="s">
        <v>969</v>
      </c>
      <c r="B721" s="1">
        <v>45815</v>
      </c>
      <c r="C721" t="s">
        <v>64</v>
      </c>
      <c r="D721" t="str">
        <f>UPPER(Table1[[#This Row],[ProductID_Clean]])</f>
        <v>P-SI-006</v>
      </c>
      <c r="E721" t="s">
        <v>43</v>
      </c>
      <c r="F721" t="s">
        <v>47</v>
      </c>
      <c r="G721" t="str">
        <f>TRIM(Table1[[#This Row],[Region_Clean]])</f>
        <v>EMEA</v>
      </c>
      <c r="H721" t="s">
        <v>24</v>
      </c>
      <c r="I721" t="s">
        <v>166</v>
      </c>
      <c r="J721" s="3">
        <v>15</v>
      </c>
      <c r="K721" s="3">
        <v>173.01</v>
      </c>
      <c r="L721">
        <v>215</v>
      </c>
      <c r="M721">
        <v>3225</v>
      </c>
      <c r="N721">
        <v>629.85</v>
      </c>
      <c r="O721">
        <v>2595.15</v>
      </c>
      <c r="P721" t="s">
        <v>26</v>
      </c>
      <c r="Q721" t="s">
        <v>35</v>
      </c>
      <c r="R721" t="s">
        <v>36</v>
      </c>
      <c r="S721" t="str">
        <f>TRIM(PROPER(_xlfn.XLOOKUP(Table1[[#This Row],[ProductID_Clean]],Table3[ProductID],Table3[Category],"Missing Value",0)))</f>
        <v>Sensors</v>
      </c>
      <c r="T721" t="str">
        <f>_xlfn.XLOOKUP(Table1[[#This Row],[CustomerID_Check]],Table2[CustomerID],Table2[CustomerType],"Missing Value",0)</f>
        <v>Key Account</v>
      </c>
    </row>
    <row r="722" spans="1:20">
      <c r="A722" t="s">
        <v>970</v>
      </c>
      <c r="B722" s="1">
        <v>45721</v>
      </c>
      <c r="C722" t="s">
        <v>125</v>
      </c>
      <c r="D722" t="str">
        <f>UPPER(Table1[[#This Row],[ProductID_Clean]])</f>
        <v>P-FS-004</v>
      </c>
      <c r="E722" t="s">
        <v>432</v>
      </c>
      <c r="F722" t="s">
        <v>58</v>
      </c>
      <c r="G722" t="str">
        <f>TRIM(Table1[[#This Row],[Region_Clean]])</f>
        <v>APAC</v>
      </c>
      <c r="H722" t="s">
        <v>82</v>
      </c>
      <c r="I722" t="s">
        <v>25</v>
      </c>
      <c r="J722" s="3">
        <v>1</v>
      </c>
      <c r="K722" s="3">
        <v>2676.34</v>
      </c>
      <c r="L722">
        <v>3200</v>
      </c>
      <c r="M722">
        <v>3200</v>
      </c>
      <c r="N722">
        <v>523.66</v>
      </c>
      <c r="O722">
        <v>2676.34</v>
      </c>
      <c r="P722" t="s">
        <v>26</v>
      </c>
      <c r="Q722" t="s">
        <v>40</v>
      </c>
      <c r="R722" t="s">
        <v>36</v>
      </c>
      <c r="S722" t="str">
        <f>TRIM(PROPER(_xlfn.XLOOKUP(Table1[[#This Row],[ProductID_Clean]],Table3[ProductID],Table3[Category],"Missing Value",0)))</f>
        <v>Services</v>
      </c>
      <c r="T722" t="str">
        <f>_xlfn.XLOOKUP(Table1[[#This Row],[CustomerID_Check]],Table2[CustomerID],Table2[CustomerType],"Missing Value",0)</f>
        <v>Strategic</v>
      </c>
    </row>
    <row r="723" spans="1:20">
      <c r="A723" t="s">
        <v>971</v>
      </c>
      <c r="B723" s="1">
        <v>45741</v>
      </c>
      <c r="C723" t="s">
        <v>42</v>
      </c>
      <c r="D723" t="str">
        <f>UPPER(Table1[[#This Row],[ProductID_Clean]])</f>
        <v>P-SI-003</v>
      </c>
      <c r="E723" t="s">
        <v>39</v>
      </c>
      <c r="F723" t="s">
        <v>32</v>
      </c>
      <c r="G723" t="str">
        <f>TRIM(Table1[[#This Row],[Region_Clean]])</f>
        <v>LATIN AMERICA</v>
      </c>
      <c r="H723" t="s">
        <v>24</v>
      </c>
      <c r="I723" t="s">
        <v>87</v>
      </c>
      <c r="J723" s="3">
        <v>4</v>
      </c>
      <c r="K723" s="3">
        <v>1549.66</v>
      </c>
      <c r="L723">
        <v>1890</v>
      </c>
      <c r="M723">
        <v>7560</v>
      </c>
      <c r="N723">
        <v>1361.36</v>
      </c>
      <c r="O723">
        <v>6198.64</v>
      </c>
      <c r="P723" t="s">
        <v>26</v>
      </c>
      <c r="Q723" t="s">
        <v>35</v>
      </c>
      <c r="R723" t="s">
        <v>44</v>
      </c>
      <c r="S723" t="str">
        <f>TRIM(PROPER(_xlfn.XLOOKUP(Table1[[#This Row],[ProductID_Clean]],Table3[ProductID],Table3[Category],"Missing Value",0)))</f>
        <v>Instruments</v>
      </c>
      <c r="T723" t="str">
        <f>_xlfn.XLOOKUP(Table1[[#This Row],[CustomerID_Check]],Table2[CustomerID],Table2[CustomerType],"Missing Value",0)</f>
        <v>Standard</v>
      </c>
    </row>
    <row r="724" spans="1:20">
      <c r="A724" t="s">
        <v>972</v>
      </c>
      <c r="B724" s="1">
        <v>45738</v>
      </c>
      <c r="C724" t="s">
        <v>591</v>
      </c>
      <c r="D724" t="str">
        <f>UPPER(Table1[[#This Row],[ProductID_Clean]])</f>
        <v>P-SA-003</v>
      </c>
      <c r="E724" t="s">
        <v>51</v>
      </c>
      <c r="F724" t="s">
        <v>47</v>
      </c>
      <c r="G724" t="str">
        <f>TRIM(Table1[[#This Row],[Region_Clean]])</f>
        <v>EMEA</v>
      </c>
      <c r="H724" t="s">
        <v>53</v>
      </c>
      <c r="I724" t="s">
        <v>25</v>
      </c>
      <c r="J724" s="3">
        <v>1</v>
      </c>
      <c r="K724" s="3">
        <v>2476.34</v>
      </c>
      <c r="L724">
        <v>2750</v>
      </c>
      <c r="M724">
        <v>2750</v>
      </c>
      <c r="N724">
        <v>273.66000000000003</v>
      </c>
      <c r="O724">
        <v>2476.34</v>
      </c>
      <c r="P724" t="s">
        <v>26</v>
      </c>
      <c r="Q724" t="s">
        <v>54</v>
      </c>
      <c r="R724" t="s">
        <v>44</v>
      </c>
      <c r="S724" t="str">
        <f>TRIM(PROPER(_xlfn.XLOOKUP(Table1[[#This Row],[ProductID_Clean]],Table3[ProductID],Table3[Category],"Missing Value",0)))</f>
        <v>Software</v>
      </c>
      <c r="T724" t="str">
        <f>_xlfn.XLOOKUP(Table1[[#This Row],[CustomerID_Check]],Table2[CustomerID],Table2[CustomerType],"Missing Value",0)</f>
        <v>Standard</v>
      </c>
    </row>
    <row r="725" spans="1:20">
      <c r="A725" t="s">
        <v>973</v>
      </c>
      <c r="B725" s="1">
        <v>45698</v>
      </c>
      <c r="C725" t="s">
        <v>61</v>
      </c>
      <c r="D725" t="str">
        <f>UPPER(Table1[[#This Row],[ProductID_Clean]])</f>
        <v>P-SA-003</v>
      </c>
      <c r="E725" t="s">
        <v>51</v>
      </c>
      <c r="F725" t="s">
        <v>47</v>
      </c>
      <c r="G725" t="str">
        <f>TRIM(Table1[[#This Row],[Region_Clean]])</f>
        <v>EMEA</v>
      </c>
      <c r="H725" t="s">
        <v>53</v>
      </c>
      <c r="I725" t="s">
        <v>34</v>
      </c>
      <c r="J725" s="3">
        <v>1</v>
      </c>
      <c r="K725" s="3">
        <v>2118.13</v>
      </c>
      <c r="L725">
        <v>2750</v>
      </c>
      <c r="M725">
        <v>2750</v>
      </c>
      <c r="N725">
        <v>631.87</v>
      </c>
      <c r="O725">
        <v>2118.13</v>
      </c>
      <c r="P725" t="s">
        <v>26</v>
      </c>
      <c r="Q725" t="s">
        <v>54</v>
      </c>
      <c r="R725" t="s">
        <v>48</v>
      </c>
      <c r="S725" t="str">
        <f>TRIM(PROPER(_xlfn.XLOOKUP(Table1[[#This Row],[ProductID_Clean]],Table3[ProductID],Table3[Category],"Missing Value",0)))</f>
        <v>Software</v>
      </c>
      <c r="T725" t="str">
        <f>_xlfn.XLOOKUP(Table1[[#This Row],[CustomerID_Check]],Table2[CustomerID],Table2[CustomerType],"Missing Value",0)</f>
        <v>Strategic</v>
      </c>
    </row>
    <row r="726" spans="1:20">
      <c r="A726" t="s">
        <v>974</v>
      </c>
      <c r="B726" s="1">
        <v>45789</v>
      </c>
      <c r="C726" t="s">
        <v>157</v>
      </c>
      <c r="D726" t="str">
        <f>UPPER(Table1[[#This Row],[ProductID_Clean]])</f>
        <v>P-SA-001</v>
      </c>
      <c r="E726" t="s">
        <v>68</v>
      </c>
      <c r="F726" t="s">
        <v>23</v>
      </c>
      <c r="G726" t="str">
        <f>TRIM(Table1[[#This Row],[Region_Clean]])</f>
        <v>N. AMERICA</v>
      </c>
      <c r="H726" t="s">
        <v>53</v>
      </c>
      <c r="I726" t="s">
        <v>25</v>
      </c>
      <c r="J726" s="3">
        <v>1</v>
      </c>
      <c r="K726" s="3">
        <v>3809.85</v>
      </c>
      <c r="L726">
        <v>4200</v>
      </c>
      <c r="M726">
        <v>4200</v>
      </c>
      <c r="N726">
        <v>390.15</v>
      </c>
      <c r="O726">
        <v>3809.85</v>
      </c>
      <c r="P726" t="s">
        <v>26</v>
      </c>
      <c r="Q726" t="s">
        <v>88</v>
      </c>
      <c r="R726" t="s">
        <v>36</v>
      </c>
      <c r="S726" t="str">
        <f>TRIM(PROPER(_xlfn.XLOOKUP(Table1[[#This Row],[ProductID_Clean]],Table3[ProductID],Table3[Category],"Missing Value",0)))</f>
        <v>Software</v>
      </c>
      <c r="T726" t="str">
        <f>_xlfn.XLOOKUP(Table1[[#This Row],[CustomerID_Check]],Table2[CustomerID],Table2[CustomerType],"Missing Value",0)</f>
        <v>Key Account</v>
      </c>
    </row>
    <row r="727" spans="1:20">
      <c r="A727" t="s">
        <v>975</v>
      </c>
      <c r="B727" s="1">
        <v>45785</v>
      </c>
      <c r="C727" t="s">
        <v>212</v>
      </c>
      <c r="D727" t="str">
        <f>UPPER(Table1[[#This Row],[ProductID_Clean]])</f>
        <v>P-SI-003</v>
      </c>
      <c r="E727" t="s">
        <v>39</v>
      </c>
      <c r="F727" t="s">
        <v>47</v>
      </c>
      <c r="G727" t="str">
        <f>TRIM(Table1[[#This Row],[Region_Clean]])</f>
        <v>EMEA</v>
      </c>
      <c r="H727" t="s">
        <v>24</v>
      </c>
      <c r="I727" t="s">
        <v>25</v>
      </c>
      <c r="J727" s="3">
        <v>2</v>
      </c>
      <c r="K727" s="3">
        <v>1721.32</v>
      </c>
      <c r="L727">
        <v>1890</v>
      </c>
      <c r="M727">
        <v>3780</v>
      </c>
      <c r="N727">
        <v>337.36</v>
      </c>
      <c r="O727">
        <v>3442.64</v>
      </c>
      <c r="P727" t="s">
        <v>113</v>
      </c>
      <c r="Q727" t="s">
        <v>27</v>
      </c>
      <c r="R727" t="s">
        <v>44</v>
      </c>
      <c r="S727" t="str">
        <f>TRIM(PROPER(_xlfn.XLOOKUP(Table1[[#This Row],[ProductID_Clean]],Table3[ProductID],Table3[Category],"Missing Value",0)))</f>
        <v>Instruments</v>
      </c>
      <c r="T727" t="str">
        <f>_xlfn.XLOOKUP(Table1[[#This Row],[CustomerID_Check]],Table2[CustomerID],Table2[CustomerType],"Missing Value",0)</f>
        <v>Key Account</v>
      </c>
    </row>
    <row r="728" spans="1:20">
      <c r="A728" t="s">
        <v>976</v>
      </c>
      <c r="B728" s="1">
        <v>45785</v>
      </c>
      <c r="C728" t="s">
        <v>30</v>
      </c>
      <c r="D728" t="str">
        <f>UPPER(Table1[[#This Row],[ProductID_Clean]])</f>
        <v>P-SI-006</v>
      </c>
      <c r="E728" t="s">
        <v>43</v>
      </c>
      <c r="F728" t="s">
        <v>32</v>
      </c>
      <c r="G728" t="str">
        <f>TRIM(Table1[[#This Row],[Region_Clean]])</f>
        <v>LATIN AMERICA</v>
      </c>
      <c r="H728" t="s">
        <v>24</v>
      </c>
      <c r="I728" t="s">
        <v>25</v>
      </c>
      <c r="J728" s="3">
        <v>1</v>
      </c>
      <c r="K728" s="3">
        <v>140.13999999999999</v>
      </c>
      <c r="L728">
        <v>215</v>
      </c>
      <c r="M728">
        <v>215</v>
      </c>
      <c r="N728">
        <v>74.86</v>
      </c>
      <c r="O728">
        <v>140.13999999999999</v>
      </c>
      <c r="P728" t="s">
        <v>26</v>
      </c>
      <c r="Q728" t="s">
        <v>65</v>
      </c>
      <c r="R728" t="s">
        <v>36</v>
      </c>
      <c r="S728" t="str">
        <f>TRIM(PROPER(_xlfn.XLOOKUP(Table1[[#This Row],[ProductID_Clean]],Table3[ProductID],Table3[Category],"Missing Value",0)))</f>
        <v>Sensors</v>
      </c>
      <c r="T728" t="str">
        <f>_xlfn.XLOOKUP(Table1[[#This Row],[CustomerID_Check]],Table2[CustomerID],Table2[CustomerType],"Missing Value",0)</f>
        <v>Strategic</v>
      </c>
    </row>
    <row r="729" spans="1:20">
      <c r="A729" t="s">
        <v>977</v>
      </c>
      <c r="B729" s="1">
        <v>45681</v>
      </c>
      <c r="C729" t="s">
        <v>424</v>
      </c>
      <c r="D729" t="str">
        <f>UPPER(Table1[[#This Row],[ProductID_Clean]])</f>
        <v>P-SI-008</v>
      </c>
      <c r="E729" t="s">
        <v>152</v>
      </c>
      <c r="F729" t="s">
        <v>23</v>
      </c>
      <c r="G729" t="str">
        <f>TRIM(Table1[[#This Row],[Region_Clean]])</f>
        <v>N. AMERICA</v>
      </c>
      <c r="H729" t="s">
        <v>24</v>
      </c>
      <c r="I729" t="s">
        <v>184</v>
      </c>
      <c r="J729" s="3">
        <v>1</v>
      </c>
      <c r="K729" s="3">
        <v>750.61</v>
      </c>
      <c r="L729">
        <v>950</v>
      </c>
      <c r="M729">
        <v>950</v>
      </c>
      <c r="N729">
        <v>199.39</v>
      </c>
      <c r="O729">
        <v>750.61</v>
      </c>
      <c r="P729" t="s">
        <v>26</v>
      </c>
      <c r="Q729" t="s">
        <v>65</v>
      </c>
      <c r="R729" t="s">
        <v>44</v>
      </c>
      <c r="S729" t="str">
        <f>TRIM(PROPER(_xlfn.XLOOKUP(Table1[[#This Row],[ProductID_Clean]],Table3[ProductID],Table3[Category],"Missing Value",0)))</f>
        <v>Instruments</v>
      </c>
      <c r="T729" t="str">
        <f>_xlfn.XLOOKUP(Table1[[#This Row],[CustomerID_Check]],Table2[CustomerID],Table2[CustomerType],"Missing Value",0)</f>
        <v>Key Account</v>
      </c>
    </row>
    <row r="730" spans="1:20">
      <c r="A730" t="s">
        <v>978</v>
      </c>
      <c r="B730" s="1">
        <v>45787</v>
      </c>
      <c r="C730" t="s">
        <v>204</v>
      </c>
      <c r="D730" t="str">
        <f>UPPER(Table1[[#This Row],[ProductID_Clean]])</f>
        <v>P-SI-004</v>
      </c>
      <c r="E730" t="s">
        <v>22</v>
      </c>
      <c r="F730" t="s">
        <v>47</v>
      </c>
      <c r="G730" t="str">
        <f>TRIM(Table1[[#This Row],[Region_Clean]])</f>
        <v>EMEA</v>
      </c>
      <c r="H730" t="s">
        <v>24</v>
      </c>
      <c r="I730" t="s">
        <v>34</v>
      </c>
      <c r="J730" s="3">
        <v>1</v>
      </c>
      <c r="K730" s="3">
        <v>2302.29</v>
      </c>
      <c r="L730">
        <v>2450</v>
      </c>
      <c r="M730">
        <v>2450</v>
      </c>
      <c r="N730">
        <v>147.71</v>
      </c>
      <c r="O730">
        <v>2302.29</v>
      </c>
      <c r="P730" t="s">
        <v>26</v>
      </c>
      <c r="Q730" t="s">
        <v>35</v>
      </c>
      <c r="R730" t="s">
        <v>48</v>
      </c>
      <c r="S730" t="str">
        <f>TRIM(PROPER(_xlfn.XLOOKUP(Table1[[#This Row],[ProductID_Clean]],Table3[ProductID],Table3[Category],"Missing Value",0)))</f>
        <v>Instruments</v>
      </c>
      <c r="T730" t="str">
        <f>_xlfn.XLOOKUP(Table1[[#This Row],[CustomerID_Check]],Table2[CustomerID],Table2[CustomerType],"Missing Value",0)</f>
        <v>Standard</v>
      </c>
    </row>
    <row r="731" spans="1:20">
      <c r="A731" t="s">
        <v>979</v>
      </c>
      <c r="B731" s="1">
        <v>45694</v>
      </c>
      <c r="C731" t="s">
        <v>225</v>
      </c>
      <c r="D731" t="str">
        <f>UPPER(Table1[[#This Row],[ProductID_Clean]])</f>
        <v>P-SI-001</v>
      </c>
      <c r="E731" t="s">
        <v>72</v>
      </c>
      <c r="F731" t="s">
        <v>23</v>
      </c>
      <c r="G731" t="str">
        <f>TRIM(Table1[[#This Row],[Region_Clean]])</f>
        <v>N. AMERICA</v>
      </c>
      <c r="H731" t="s">
        <v>24</v>
      </c>
      <c r="I731" t="s">
        <v>25</v>
      </c>
      <c r="J731" s="3">
        <v>1</v>
      </c>
      <c r="K731" s="3">
        <v>453.19</v>
      </c>
      <c r="L731">
        <v>485</v>
      </c>
      <c r="M731">
        <v>485</v>
      </c>
      <c r="N731">
        <v>31.810000000000002</v>
      </c>
      <c r="O731">
        <v>453.19</v>
      </c>
      <c r="P731" t="s">
        <v>26</v>
      </c>
      <c r="Q731" t="s">
        <v>35</v>
      </c>
      <c r="R731" t="s">
        <v>36</v>
      </c>
      <c r="S731" t="str">
        <f>TRIM(PROPER(_xlfn.XLOOKUP(Table1[[#This Row],[ProductID_Clean]],Table3[ProductID],Table3[Category],"Missing Value",0)))</f>
        <v>Sensors</v>
      </c>
      <c r="T731" t="str">
        <f>_xlfn.XLOOKUP(Table1[[#This Row],[CustomerID_Check]],Table2[CustomerID],Table2[CustomerType],"Missing Value",0)</f>
        <v>Key Account</v>
      </c>
    </row>
    <row r="732" spans="1:20">
      <c r="A732" t="s">
        <v>980</v>
      </c>
      <c r="B732" s="1">
        <v>45807</v>
      </c>
      <c r="C732" t="s">
        <v>30</v>
      </c>
      <c r="D732" t="str">
        <f>UPPER(Table1[[#This Row],[ProductID_Clean]])</f>
        <v>P-SI-003</v>
      </c>
      <c r="E732" t="s">
        <v>39</v>
      </c>
      <c r="F732" t="s">
        <v>32</v>
      </c>
      <c r="G732" t="str">
        <f>TRIM(Table1[[#This Row],[Region_Clean]])</f>
        <v>LATIN AMERICA</v>
      </c>
      <c r="H732" t="s">
        <v>24</v>
      </c>
      <c r="I732" t="s">
        <v>87</v>
      </c>
      <c r="J732" s="3">
        <v>12</v>
      </c>
      <c r="K732" s="3">
        <v>1272.17</v>
      </c>
      <c r="L732">
        <v>1890</v>
      </c>
      <c r="M732">
        <v>22680</v>
      </c>
      <c r="N732">
        <v>7413.96</v>
      </c>
      <c r="O732">
        <v>15266.04</v>
      </c>
      <c r="P732" t="s">
        <v>26</v>
      </c>
      <c r="Q732" t="s">
        <v>27</v>
      </c>
      <c r="R732" t="s">
        <v>36</v>
      </c>
      <c r="S732" t="str">
        <f>TRIM(PROPER(_xlfn.XLOOKUP(Table1[[#This Row],[ProductID_Clean]],Table3[ProductID],Table3[Category],"Missing Value",0)))</f>
        <v>Instruments</v>
      </c>
      <c r="T732" t="str">
        <f>_xlfn.XLOOKUP(Table1[[#This Row],[CustomerID_Check]],Table2[CustomerID],Table2[CustomerType],"Missing Value",0)</f>
        <v>Strategic</v>
      </c>
    </row>
    <row r="733" spans="1:20">
      <c r="A733" t="s">
        <v>981</v>
      </c>
      <c r="B733" s="1">
        <v>45730</v>
      </c>
      <c r="C733" t="s">
        <v>307</v>
      </c>
      <c r="D733" t="str">
        <f>UPPER(Table1[[#This Row],[ProductID_Clean]])</f>
        <v>P-FS-004</v>
      </c>
      <c r="E733" t="s">
        <v>432</v>
      </c>
      <c r="F733" t="s">
        <v>23</v>
      </c>
      <c r="G733" t="str">
        <f>TRIM(Table1[[#This Row],[Region_Clean]])</f>
        <v>N. AMERICA</v>
      </c>
      <c r="H733" t="s">
        <v>82</v>
      </c>
      <c r="I733" t="s">
        <v>25</v>
      </c>
      <c r="J733" s="3">
        <v>1</v>
      </c>
      <c r="K733" s="3">
        <v>3019.84</v>
      </c>
      <c r="L733">
        <v>3200</v>
      </c>
      <c r="M733">
        <v>3200</v>
      </c>
      <c r="N733">
        <v>180.16</v>
      </c>
      <c r="O733">
        <v>3019.84</v>
      </c>
      <c r="P733" t="s">
        <v>26</v>
      </c>
      <c r="Q733" t="s">
        <v>35</v>
      </c>
      <c r="R733" t="s">
        <v>36</v>
      </c>
      <c r="S733" t="str">
        <f>TRIM(PROPER(_xlfn.XLOOKUP(Table1[[#This Row],[ProductID_Clean]],Table3[ProductID],Table3[Category],"Missing Value",0)))</f>
        <v>Services</v>
      </c>
      <c r="T733" t="str">
        <f>_xlfn.XLOOKUP(Table1[[#This Row],[CustomerID_Check]],Table2[CustomerID],Table2[CustomerType],"Missing Value",0)</f>
        <v>Standard</v>
      </c>
    </row>
    <row r="734" spans="1:20">
      <c r="A734" t="s">
        <v>982</v>
      </c>
      <c r="B734" s="1">
        <v>45810</v>
      </c>
      <c r="C734" t="s">
        <v>259</v>
      </c>
      <c r="D734" t="str">
        <f>UPPER(Table1[[#This Row],[ProductID_Clean]])</f>
        <v>P-SI-002</v>
      </c>
      <c r="E734" t="s">
        <v>31</v>
      </c>
      <c r="F734" t="s">
        <v>23</v>
      </c>
      <c r="G734" t="str">
        <f>TRIM(Table1[[#This Row],[Region_Clean]])</f>
        <v>N. AMERICA</v>
      </c>
      <c r="H734" t="s">
        <v>24</v>
      </c>
      <c r="I734" t="s">
        <v>184</v>
      </c>
      <c r="J734" s="3">
        <v>3</v>
      </c>
      <c r="K734" s="3">
        <v>643.54</v>
      </c>
      <c r="L734">
        <v>725</v>
      </c>
      <c r="M734">
        <v>2175</v>
      </c>
      <c r="N734">
        <v>244.38</v>
      </c>
      <c r="O734">
        <v>1930.62</v>
      </c>
      <c r="P734" t="s">
        <v>26</v>
      </c>
      <c r="Q734" t="s">
        <v>35</v>
      </c>
      <c r="R734" t="s">
        <v>48</v>
      </c>
      <c r="S734" t="str">
        <f>TRIM(PROPER(_xlfn.XLOOKUP(Table1[[#This Row],[ProductID_Clean]],Table3[ProductID],Table3[Category],"Missing Value",0)))</f>
        <v>Sensors</v>
      </c>
      <c r="T734" t="str">
        <f>_xlfn.XLOOKUP(Table1[[#This Row],[CustomerID_Check]],Table2[CustomerID],Table2[CustomerType],"Missing Value",0)</f>
        <v>Standard</v>
      </c>
    </row>
    <row r="735" spans="1:20">
      <c r="A735" t="s">
        <v>983</v>
      </c>
      <c r="B735" s="1">
        <v>45731</v>
      </c>
      <c r="C735" t="s">
        <v>218</v>
      </c>
      <c r="D735" t="str">
        <f>UPPER(Table1[[#This Row],[ProductID_Clean]])</f>
        <v>P-SI-004</v>
      </c>
      <c r="E735" t="s">
        <v>22</v>
      </c>
      <c r="F735" t="s">
        <v>52</v>
      </c>
      <c r="G735" t="str">
        <f>TRIM(Table1[[#This Row],[Region_Clean]])</f>
        <v>N. AMERICA</v>
      </c>
      <c r="H735" t="s">
        <v>24</v>
      </c>
      <c r="I735" t="s">
        <v>25</v>
      </c>
      <c r="J735" s="3">
        <v>3</v>
      </c>
      <c r="K735" s="3">
        <v>2342.02</v>
      </c>
      <c r="L735">
        <v>2450</v>
      </c>
      <c r="M735">
        <v>7350</v>
      </c>
      <c r="N735">
        <v>323.94</v>
      </c>
      <c r="O735">
        <v>7026.06</v>
      </c>
      <c r="P735" t="s">
        <v>26</v>
      </c>
      <c r="Q735" t="s">
        <v>35</v>
      </c>
      <c r="R735" t="s">
        <v>59</v>
      </c>
      <c r="S735" t="str">
        <f>TRIM(PROPER(_xlfn.XLOOKUP(Table1[[#This Row],[ProductID_Clean]],Table3[ProductID],Table3[Category],"Missing Value",0)))</f>
        <v>Instruments</v>
      </c>
      <c r="T735" t="str">
        <f>_xlfn.XLOOKUP(Table1[[#This Row],[CustomerID_Check]],Table2[CustomerID],Table2[CustomerType],"Missing Value",0)</f>
        <v>Standard</v>
      </c>
    </row>
    <row r="736" spans="1:20">
      <c r="A736" t="s">
        <v>984</v>
      </c>
      <c r="B736" s="1">
        <v>45660</v>
      </c>
      <c r="C736" t="s">
        <v>100</v>
      </c>
      <c r="D736" t="str">
        <f>UPPER(Table1[[#This Row],[ProductID_Clean]])</f>
        <v>P-SI-003</v>
      </c>
      <c r="E736" t="s">
        <v>39</v>
      </c>
      <c r="F736" t="s">
        <v>47</v>
      </c>
      <c r="G736" t="str">
        <f>TRIM(Table1[[#This Row],[Region_Clean]])</f>
        <v>EMEA</v>
      </c>
      <c r="H736" t="s">
        <v>24</v>
      </c>
      <c r="I736" t="s">
        <v>25</v>
      </c>
      <c r="J736" s="3">
        <v>1</v>
      </c>
      <c r="K736" s="3">
        <v>1602.59</v>
      </c>
      <c r="L736">
        <v>1890</v>
      </c>
      <c r="M736">
        <v>1890</v>
      </c>
      <c r="N736">
        <v>287.41000000000003</v>
      </c>
      <c r="O736">
        <v>1602.59</v>
      </c>
      <c r="P736" t="s">
        <v>26</v>
      </c>
      <c r="Q736" t="s">
        <v>35</v>
      </c>
      <c r="R736" t="s">
        <v>36</v>
      </c>
      <c r="S736" t="str">
        <f>TRIM(PROPER(_xlfn.XLOOKUP(Table1[[#This Row],[ProductID_Clean]],Table3[ProductID],Table3[Category],"Missing Value",0)))</f>
        <v>Instruments</v>
      </c>
      <c r="T736" t="str">
        <f>_xlfn.XLOOKUP(Table1[[#This Row],[CustomerID_Check]],Table2[CustomerID],Table2[CustomerType],"Missing Value",0)</f>
        <v>Strategic</v>
      </c>
    </row>
    <row r="737" spans="1:20">
      <c r="A737" t="s">
        <v>985</v>
      </c>
      <c r="B737" s="1">
        <v>45768</v>
      </c>
      <c r="C737" t="s">
        <v>89</v>
      </c>
      <c r="D737" t="str">
        <f>UPPER(Table1[[#This Row],[ProductID_Clean]])</f>
        <v>P-SI-001</v>
      </c>
      <c r="E737" t="s">
        <v>72</v>
      </c>
      <c r="F737" t="s">
        <v>58</v>
      </c>
      <c r="G737" t="str">
        <f>TRIM(Table1[[#This Row],[Region_Clean]])</f>
        <v>APAC</v>
      </c>
      <c r="H737" t="s">
        <v>24</v>
      </c>
      <c r="I737" t="s">
        <v>34</v>
      </c>
      <c r="J737" s="3">
        <v>8</v>
      </c>
      <c r="K737" s="3">
        <v>388.09</v>
      </c>
      <c r="L737">
        <v>485</v>
      </c>
      <c r="M737">
        <v>3880</v>
      </c>
      <c r="N737">
        <v>775.28</v>
      </c>
      <c r="O737">
        <v>3104.72</v>
      </c>
      <c r="P737" t="s">
        <v>26</v>
      </c>
      <c r="Q737" t="s">
        <v>27</v>
      </c>
      <c r="R737" t="s">
        <v>44</v>
      </c>
      <c r="S737" t="str">
        <f>TRIM(PROPER(_xlfn.XLOOKUP(Table1[[#This Row],[ProductID_Clean]],Table3[ProductID],Table3[Category],"Missing Value",0)))</f>
        <v>Sensors</v>
      </c>
      <c r="T737" t="str">
        <f>_xlfn.XLOOKUP(Table1[[#This Row],[CustomerID_Check]],Table2[CustomerID],Table2[CustomerType],"Missing Value",0)</f>
        <v>Strategic</v>
      </c>
    </row>
    <row r="738" spans="1:20">
      <c r="A738" t="s">
        <v>986</v>
      </c>
      <c r="B738" s="1">
        <v>45751</v>
      </c>
      <c r="C738" t="s">
        <v>504</v>
      </c>
      <c r="D738" t="str">
        <f>UPPER(Table1[[#This Row],[ProductID_Clean]])</f>
        <v>P-SI-006</v>
      </c>
      <c r="E738" t="s">
        <v>43</v>
      </c>
      <c r="F738" t="s">
        <v>23</v>
      </c>
      <c r="G738" t="str">
        <f>TRIM(Table1[[#This Row],[Region_Clean]])</f>
        <v>N. AMERICA</v>
      </c>
      <c r="H738" t="s">
        <v>24</v>
      </c>
      <c r="I738" t="s">
        <v>25</v>
      </c>
      <c r="J738" s="3">
        <v>2</v>
      </c>
      <c r="K738" s="3">
        <v>185.99</v>
      </c>
      <c r="L738">
        <v>215</v>
      </c>
      <c r="M738">
        <v>430</v>
      </c>
      <c r="N738">
        <v>58.02</v>
      </c>
      <c r="O738">
        <v>371.98</v>
      </c>
      <c r="P738" t="s">
        <v>26</v>
      </c>
      <c r="Q738" t="s">
        <v>40</v>
      </c>
      <c r="R738" t="s">
        <v>44</v>
      </c>
      <c r="S738" t="str">
        <f>TRIM(PROPER(_xlfn.XLOOKUP(Table1[[#This Row],[ProductID_Clean]],Table3[ProductID],Table3[Category],"Missing Value",0)))</f>
        <v>Sensors</v>
      </c>
      <c r="T738" t="str">
        <f>_xlfn.XLOOKUP(Table1[[#This Row],[CustomerID_Check]],Table2[CustomerID],Table2[CustomerType],"Missing Value",0)</f>
        <v>Emerging</v>
      </c>
    </row>
    <row r="739" spans="1:20">
      <c r="A739" t="s">
        <v>987</v>
      </c>
      <c r="B739" s="1">
        <v>45751</v>
      </c>
      <c r="C739" t="s">
        <v>112</v>
      </c>
      <c r="D739" t="str">
        <f>UPPER(Table1[[#This Row],[ProductID_Clean]])</f>
        <v>P-SA-002</v>
      </c>
      <c r="E739" t="s">
        <v>147</v>
      </c>
      <c r="F739" t="s">
        <v>58</v>
      </c>
      <c r="G739" t="str">
        <f>TRIM(Table1[[#This Row],[Region_Clean]])</f>
        <v>APAC</v>
      </c>
      <c r="H739" t="s">
        <v>53</v>
      </c>
      <c r="I739" t="s">
        <v>34</v>
      </c>
      <c r="J739" s="3">
        <v>1</v>
      </c>
      <c r="K739" s="3">
        <v>8176.47</v>
      </c>
      <c r="L739">
        <v>9800</v>
      </c>
      <c r="M739">
        <v>9800</v>
      </c>
      <c r="N739">
        <v>1623.53</v>
      </c>
      <c r="O739">
        <v>8176.47</v>
      </c>
      <c r="P739" t="s">
        <v>26</v>
      </c>
      <c r="Q739" t="s">
        <v>88</v>
      </c>
      <c r="R739" t="s">
        <v>36</v>
      </c>
      <c r="S739" t="str">
        <f>TRIM(PROPER(_xlfn.XLOOKUP(Table1[[#This Row],[ProductID_Clean]],Table3[ProductID],Table3[Category],"Missing Value",0)))</f>
        <v>Software</v>
      </c>
      <c r="T739" t="str">
        <f>_xlfn.XLOOKUP(Table1[[#This Row],[CustomerID_Check]],Table2[CustomerID],Table2[CustomerType],"Missing Value",0)</f>
        <v>Key Account</v>
      </c>
    </row>
    <row r="740" spans="1:20">
      <c r="A740" t="s">
        <v>988</v>
      </c>
      <c r="B740" s="1">
        <v>45760</v>
      </c>
      <c r="C740" t="s">
        <v>370</v>
      </c>
      <c r="D740" t="str">
        <f>UPPER(Table1[[#This Row],[ProductID_Clean]])</f>
        <v>P-SI-002</v>
      </c>
      <c r="E740" t="s">
        <v>31</v>
      </c>
      <c r="F740" t="s">
        <v>58</v>
      </c>
      <c r="G740" t="str">
        <f>TRIM(Table1[[#This Row],[Region_Clean]])</f>
        <v>APAC</v>
      </c>
      <c r="H740" t="s">
        <v>24</v>
      </c>
      <c r="I740" t="s">
        <v>25</v>
      </c>
      <c r="J740" s="3">
        <v>5</v>
      </c>
      <c r="K740" s="3">
        <v>647.03</v>
      </c>
      <c r="L740">
        <v>725</v>
      </c>
      <c r="M740">
        <v>3625</v>
      </c>
      <c r="N740">
        <v>389.85</v>
      </c>
      <c r="O740">
        <v>3235.15</v>
      </c>
      <c r="P740" t="s">
        <v>26</v>
      </c>
      <c r="Q740" t="s">
        <v>35</v>
      </c>
      <c r="R740" t="s">
        <v>59</v>
      </c>
      <c r="S740" t="str">
        <f>TRIM(PROPER(_xlfn.XLOOKUP(Table1[[#This Row],[ProductID_Clean]],Table3[ProductID],Table3[Category],"Missing Value",0)))</f>
        <v>Sensors</v>
      </c>
      <c r="T740" t="str">
        <f>_xlfn.XLOOKUP(Table1[[#This Row],[CustomerID_Check]],Table2[CustomerID],Table2[CustomerType],"Missing Value",0)</f>
        <v>Standard</v>
      </c>
    </row>
    <row r="741" spans="1:20">
      <c r="A741" t="s">
        <v>990</v>
      </c>
      <c r="B741" s="1">
        <v>45799</v>
      </c>
      <c r="C741" t="s">
        <v>264</v>
      </c>
      <c r="D741" t="str">
        <f>UPPER(Table1[[#This Row],[ProductID_Clean]])</f>
        <v>P-FS-004</v>
      </c>
      <c r="E741" t="s">
        <v>432</v>
      </c>
      <c r="F741" t="s">
        <v>23</v>
      </c>
      <c r="G741" t="str">
        <f>TRIM(Table1[[#This Row],[Region_Clean]])</f>
        <v>N. AMERICA</v>
      </c>
      <c r="H741" t="s">
        <v>82</v>
      </c>
      <c r="I741" t="s">
        <v>34</v>
      </c>
      <c r="J741" s="3">
        <v>1</v>
      </c>
      <c r="K741" s="3">
        <v>2756.93</v>
      </c>
      <c r="L741">
        <v>3200</v>
      </c>
      <c r="M741">
        <v>3200</v>
      </c>
      <c r="N741">
        <v>443.07</v>
      </c>
      <c r="O741">
        <v>2756.93</v>
      </c>
      <c r="P741" t="s">
        <v>26</v>
      </c>
      <c r="Q741" t="s">
        <v>27</v>
      </c>
      <c r="R741" t="s">
        <v>48</v>
      </c>
      <c r="S741" t="str">
        <f>TRIM(PROPER(_xlfn.XLOOKUP(Table1[[#This Row],[ProductID_Clean]],Table3[ProductID],Table3[Category],"Missing Value",0)))</f>
        <v>Services</v>
      </c>
      <c r="T741" t="str">
        <f>_xlfn.XLOOKUP(Table1[[#This Row],[CustomerID_Check]],Table2[CustomerID],Table2[CustomerType],"Missing Value",0)</f>
        <v>Standard</v>
      </c>
    </row>
    <row r="742" spans="1:20">
      <c r="A742" t="s">
        <v>991</v>
      </c>
      <c r="B742" s="1">
        <v>45676</v>
      </c>
      <c r="C742" t="s">
        <v>56</v>
      </c>
      <c r="D742" t="str">
        <f>UPPER(Table1[[#This Row],[ProductID_Clean]])</f>
        <v>P-SI-005</v>
      </c>
      <c r="E742" t="s">
        <v>57</v>
      </c>
      <c r="F742" t="s">
        <v>58</v>
      </c>
      <c r="G742" t="str">
        <f>TRIM(Table1[[#This Row],[Region_Clean]])</f>
        <v>APAC</v>
      </c>
      <c r="H742" t="s">
        <v>24</v>
      </c>
      <c r="I742" t="s">
        <v>25</v>
      </c>
      <c r="J742" s="3">
        <v>2</v>
      </c>
      <c r="K742" s="3">
        <v>983.06</v>
      </c>
      <c r="L742">
        <v>1120</v>
      </c>
      <c r="M742">
        <v>2240</v>
      </c>
      <c r="N742">
        <v>273.88</v>
      </c>
      <c r="O742">
        <v>1966.12</v>
      </c>
      <c r="P742" t="s">
        <v>26</v>
      </c>
      <c r="Q742" t="s">
        <v>35</v>
      </c>
      <c r="R742" t="s">
        <v>59</v>
      </c>
      <c r="S742" t="str">
        <f>TRIM(PROPER(_xlfn.XLOOKUP(Table1[[#This Row],[ProductID_Clean]],Table3[ProductID],Table3[Category],"Missing Value",0)))</f>
        <v>Sensors</v>
      </c>
      <c r="T742" t="str">
        <f>_xlfn.XLOOKUP(Table1[[#This Row],[CustomerID_Check]],Table2[CustomerID],Table2[CustomerType],"Missing Value",0)</f>
        <v>Key Account</v>
      </c>
    </row>
    <row r="743" spans="1:20">
      <c r="A743" t="s">
        <v>992</v>
      </c>
      <c r="B743" s="1">
        <v>45787</v>
      </c>
      <c r="C743" t="s">
        <v>220</v>
      </c>
      <c r="D743" t="str">
        <f>UPPER(Table1[[#This Row],[ProductID_Clean]])</f>
        <v>P-FS-002</v>
      </c>
      <c r="E743" t="s">
        <v>81</v>
      </c>
      <c r="F743" t="s">
        <v>23</v>
      </c>
      <c r="G743" t="str">
        <f>TRIM(Table1[[#This Row],[Region_Clean]])</f>
        <v>N. AMERICA</v>
      </c>
      <c r="H743" t="s">
        <v>82</v>
      </c>
      <c r="I743" t="s">
        <v>25</v>
      </c>
      <c r="J743" s="3">
        <v>1</v>
      </c>
      <c r="K743" s="3">
        <v>2338.4</v>
      </c>
      <c r="L743">
        <v>2400</v>
      </c>
      <c r="M743">
        <v>2400</v>
      </c>
      <c r="N743">
        <v>61.6</v>
      </c>
      <c r="O743">
        <v>2338.4</v>
      </c>
      <c r="P743" t="s">
        <v>126</v>
      </c>
      <c r="Q743" t="s">
        <v>83</v>
      </c>
      <c r="R743" t="s">
        <v>59</v>
      </c>
      <c r="S743" t="str">
        <f>TRIM(PROPER(_xlfn.XLOOKUP(Table1[[#This Row],[ProductID_Clean]],Table3[ProductID],Table3[Category],"Missing Value",0)))</f>
        <v>Services</v>
      </c>
      <c r="T743" t="str">
        <f>_xlfn.XLOOKUP(Table1[[#This Row],[CustomerID_Check]],Table2[CustomerID],Table2[CustomerType],"Missing Value",0)</f>
        <v>Emerging</v>
      </c>
    </row>
    <row r="744" spans="1:20">
      <c r="A744" t="s">
        <v>993</v>
      </c>
      <c r="B744" s="1">
        <v>45810</v>
      </c>
      <c r="C744" t="s">
        <v>353</v>
      </c>
      <c r="D744" t="str">
        <f>UPPER(Table1[[#This Row],[ProductID_Clean]])</f>
        <v>P-SI-008</v>
      </c>
      <c r="E744" t="s">
        <v>152</v>
      </c>
      <c r="F744" t="s">
        <v>23</v>
      </c>
      <c r="G744" t="str">
        <f>TRIM(Table1[[#This Row],[Region_Clean]])</f>
        <v>N. AMERICA</v>
      </c>
      <c r="H744" t="s">
        <v>24</v>
      </c>
      <c r="I744" t="s">
        <v>87</v>
      </c>
      <c r="J744" s="3">
        <v>1</v>
      </c>
      <c r="K744" s="3">
        <v>772.84</v>
      </c>
      <c r="L744">
        <v>950</v>
      </c>
      <c r="M744">
        <v>950</v>
      </c>
      <c r="N744">
        <v>177.15999999999997</v>
      </c>
      <c r="O744">
        <v>772.84</v>
      </c>
      <c r="P744" t="s">
        <v>26</v>
      </c>
      <c r="Q744" t="s">
        <v>35</v>
      </c>
      <c r="R744" t="s">
        <v>48</v>
      </c>
      <c r="S744" t="str">
        <f>TRIM(PROPER(_xlfn.XLOOKUP(Table1[[#This Row],[ProductID_Clean]],Table3[ProductID],Table3[Category],"Missing Value",0)))</f>
        <v>Instruments</v>
      </c>
      <c r="T744" t="str">
        <f>_xlfn.XLOOKUP(Table1[[#This Row],[CustomerID_Check]],Table2[CustomerID],Table2[CustomerType],"Missing Value",0)</f>
        <v>Key Account</v>
      </c>
    </row>
    <row r="745" spans="1:20">
      <c r="A745" t="s">
        <v>994</v>
      </c>
      <c r="B745" s="1">
        <v>45817</v>
      </c>
      <c r="C745" t="s">
        <v>163</v>
      </c>
      <c r="D745" t="str">
        <f>UPPER(Table1[[#This Row],[ProductID_Clean]])</f>
        <v>P-FS-002</v>
      </c>
      <c r="E745" t="s">
        <v>81</v>
      </c>
      <c r="F745" t="s">
        <v>23</v>
      </c>
      <c r="G745" t="str">
        <f>TRIM(Table1[[#This Row],[Region_Clean]])</f>
        <v>N. AMERICA</v>
      </c>
      <c r="H745" t="s">
        <v>82</v>
      </c>
      <c r="I745" t="s">
        <v>25</v>
      </c>
      <c r="J745" s="3">
        <v>1</v>
      </c>
      <c r="K745" s="3">
        <v>2173.1799999999998</v>
      </c>
      <c r="L745">
        <v>2400</v>
      </c>
      <c r="M745">
        <v>2400</v>
      </c>
      <c r="N745">
        <v>226.82</v>
      </c>
      <c r="O745">
        <v>2173.1799999999998</v>
      </c>
      <c r="P745" t="s">
        <v>26</v>
      </c>
      <c r="Q745" t="s">
        <v>94</v>
      </c>
      <c r="R745" t="s">
        <v>28</v>
      </c>
      <c r="S745" t="str">
        <f>TRIM(PROPER(_xlfn.XLOOKUP(Table1[[#This Row],[ProductID_Clean]],Table3[ProductID],Table3[Category],"Missing Value",0)))</f>
        <v>Services</v>
      </c>
      <c r="T745" t="str">
        <f>_xlfn.XLOOKUP(Table1[[#This Row],[CustomerID_Check]],Table2[CustomerID],Table2[CustomerType],"Missing Value",0)</f>
        <v>Strategic</v>
      </c>
    </row>
    <row r="746" spans="1:20">
      <c r="A746" t="s">
        <v>995</v>
      </c>
      <c r="B746" s="1">
        <v>45690</v>
      </c>
      <c r="C746" t="s">
        <v>178</v>
      </c>
      <c r="D746" t="str">
        <f>UPPER(Table1[[#This Row],[ProductID_Clean]])</f>
        <v>P-SA-003</v>
      </c>
      <c r="E746" t="s">
        <v>51</v>
      </c>
      <c r="F746" t="s">
        <v>23</v>
      </c>
      <c r="G746" t="str">
        <f>TRIM(Table1[[#This Row],[Region_Clean]])</f>
        <v>N. AMERICA</v>
      </c>
      <c r="H746" t="s">
        <v>53</v>
      </c>
      <c r="I746" t="s">
        <v>25</v>
      </c>
      <c r="J746" s="3">
        <v>1</v>
      </c>
      <c r="K746" s="3">
        <v>2576.67</v>
      </c>
      <c r="L746">
        <v>2750</v>
      </c>
      <c r="M746">
        <v>2750</v>
      </c>
      <c r="N746">
        <v>173.33</v>
      </c>
      <c r="O746">
        <v>2576.67</v>
      </c>
      <c r="P746" t="s">
        <v>26</v>
      </c>
      <c r="Q746" t="s">
        <v>54</v>
      </c>
      <c r="R746" t="s">
        <v>28</v>
      </c>
      <c r="S746" t="str">
        <f>TRIM(PROPER(_xlfn.XLOOKUP(Table1[[#This Row],[ProductID_Clean]],Table3[ProductID],Table3[Category],"Missing Value",0)))</f>
        <v>Software</v>
      </c>
      <c r="T746" t="str">
        <f>_xlfn.XLOOKUP(Table1[[#This Row],[CustomerID_Check]],Table2[CustomerID],Table2[CustomerType],"Missing Value",0)</f>
        <v>Key Account</v>
      </c>
    </row>
    <row r="747" spans="1:20">
      <c r="A747" t="s">
        <v>996</v>
      </c>
      <c r="B747" s="1">
        <v>45758</v>
      </c>
      <c r="C747" t="s">
        <v>372</v>
      </c>
      <c r="D747" t="str">
        <f>UPPER(Table1[[#This Row],[ProductID_Clean]])</f>
        <v>P-SA-004</v>
      </c>
      <c r="E747" t="s">
        <v>86</v>
      </c>
      <c r="F747" t="s">
        <v>23</v>
      </c>
      <c r="G747" t="str">
        <f>TRIM(Table1[[#This Row],[Region_Clean]])</f>
        <v>N. AMERICA</v>
      </c>
      <c r="H747" t="s">
        <v>53</v>
      </c>
      <c r="I747" t="s">
        <v>87</v>
      </c>
      <c r="J747" s="3">
        <v>1</v>
      </c>
      <c r="K747" s="3">
        <v>1264.77</v>
      </c>
      <c r="L747">
        <v>1650</v>
      </c>
      <c r="M747">
        <v>1650</v>
      </c>
      <c r="N747">
        <v>385.23</v>
      </c>
      <c r="O747">
        <v>1264.77</v>
      </c>
      <c r="P747" t="s">
        <v>26</v>
      </c>
      <c r="Q747" t="s">
        <v>54</v>
      </c>
      <c r="R747" t="s">
        <v>44</v>
      </c>
      <c r="S747" t="str">
        <f>TRIM(PROPER(_xlfn.XLOOKUP(Table1[[#This Row],[ProductID_Clean]],Table3[ProductID],Table3[Category],"Missing Value",0)))</f>
        <v>Software</v>
      </c>
      <c r="T747" t="str">
        <f>_xlfn.XLOOKUP(Table1[[#This Row],[CustomerID_Check]],Table2[CustomerID],Table2[CustomerType],"Missing Value",0)</f>
        <v>Key Account</v>
      </c>
    </row>
    <row r="748" spans="1:20">
      <c r="A748" t="s">
        <v>997</v>
      </c>
      <c r="B748" s="1">
        <v>45744</v>
      </c>
      <c r="C748" t="s">
        <v>559</v>
      </c>
      <c r="D748" t="str">
        <f>UPPER(Table1[[#This Row],[ProductID_Clean]])</f>
        <v>P-SI-004</v>
      </c>
      <c r="E748" t="s">
        <v>22</v>
      </c>
      <c r="F748" t="s">
        <v>58</v>
      </c>
      <c r="G748" t="str">
        <f>TRIM(Table1[[#This Row],[Region_Clean]])</f>
        <v>APAC</v>
      </c>
      <c r="H748" t="s">
        <v>24</v>
      </c>
      <c r="I748" t="s">
        <v>34</v>
      </c>
      <c r="J748" s="3">
        <v>1</v>
      </c>
      <c r="K748" s="3">
        <v>2160.14</v>
      </c>
      <c r="L748">
        <v>2450</v>
      </c>
      <c r="M748">
        <v>2450</v>
      </c>
      <c r="N748">
        <v>289.86</v>
      </c>
      <c r="O748">
        <v>2160.14</v>
      </c>
      <c r="P748" t="s">
        <v>113</v>
      </c>
      <c r="Q748" t="s">
        <v>35</v>
      </c>
      <c r="R748" t="s">
        <v>36</v>
      </c>
      <c r="S748" t="str">
        <f>TRIM(PROPER(_xlfn.XLOOKUP(Table1[[#This Row],[ProductID_Clean]],Table3[ProductID],Table3[Category],"Missing Value",0)))</f>
        <v>Instruments</v>
      </c>
      <c r="T748" t="str">
        <f>_xlfn.XLOOKUP(Table1[[#This Row],[CustomerID_Check]],Table2[CustomerID],Table2[CustomerType],"Missing Value",0)</f>
        <v>Standard</v>
      </c>
    </row>
    <row r="749" spans="1:20">
      <c r="A749" t="s">
        <v>998</v>
      </c>
      <c r="B749" s="1">
        <v>45694</v>
      </c>
      <c r="C749" t="s">
        <v>463</v>
      </c>
      <c r="D749" t="str">
        <f>UPPER(Table1[[#This Row],[ProductID_Clean]])</f>
        <v>P-SI-006</v>
      </c>
      <c r="E749" t="s">
        <v>43</v>
      </c>
      <c r="F749" t="s">
        <v>47</v>
      </c>
      <c r="G749" t="str">
        <f>TRIM(Table1[[#This Row],[Region_Clean]])</f>
        <v>EMEA</v>
      </c>
      <c r="H749" t="s">
        <v>24</v>
      </c>
      <c r="I749" t="s">
        <v>87</v>
      </c>
      <c r="J749" s="3">
        <v>5</v>
      </c>
      <c r="K749" s="3">
        <v>167.94</v>
      </c>
      <c r="L749">
        <v>215</v>
      </c>
      <c r="M749">
        <v>1075</v>
      </c>
      <c r="N749">
        <v>235.3</v>
      </c>
      <c r="O749">
        <v>839.7</v>
      </c>
      <c r="P749" t="s">
        <v>26</v>
      </c>
      <c r="Q749" t="s">
        <v>27</v>
      </c>
      <c r="R749" t="s">
        <v>48</v>
      </c>
      <c r="S749" t="str">
        <f>TRIM(PROPER(_xlfn.XLOOKUP(Table1[[#This Row],[ProductID_Clean]],Table3[ProductID],Table3[Category],"Missing Value",0)))</f>
        <v>Sensors</v>
      </c>
      <c r="T749" t="str">
        <f>_xlfn.XLOOKUP(Table1[[#This Row],[CustomerID_Check]],Table2[CustomerID],Table2[CustomerType],"Missing Value",0)</f>
        <v>Key Account</v>
      </c>
    </row>
    <row r="750" spans="1:20">
      <c r="A750" t="s">
        <v>999</v>
      </c>
      <c r="B750" s="1">
        <v>45812</v>
      </c>
      <c r="C750" t="s">
        <v>172</v>
      </c>
      <c r="D750" t="str">
        <f>UPPER(Table1[[#This Row],[ProductID_Clean]])</f>
        <v>P-SA-004</v>
      </c>
      <c r="E750" t="s">
        <v>86</v>
      </c>
      <c r="F750" t="s">
        <v>52</v>
      </c>
      <c r="G750" t="str">
        <f>TRIM(Table1[[#This Row],[Region_Clean]])</f>
        <v>N. AMERICA</v>
      </c>
      <c r="H750" t="s">
        <v>53</v>
      </c>
      <c r="I750" t="s">
        <v>25</v>
      </c>
      <c r="J750" s="3">
        <v>1</v>
      </c>
      <c r="K750" s="3">
        <v>1488.68</v>
      </c>
      <c r="L750">
        <v>1650</v>
      </c>
      <c r="M750">
        <v>1650</v>
      </c>
      <c r="N750">
        <v>161.32</v>
      </c>
      <c r="O750">
        <v>1488.68</v>
      </c>
      <c r="P750" t="s">
        <v>26</v>
      </c>
      <c r="Q750" t="s">
        <v>54</v>
      </c>
      <c r="R750" t="s">
        <v>36</v>
      </c>
      <c r="S750" t="str">
        <f>TRIM(PROPER(_xlfn.XLOOKUP(Table1[[#This Row],[ProductID_Clean]],Table3[ProductID],Table3[Category],"Missing Value",0)))</f>
        <v>Software</v>
      </c>
      <c r="T750" t="str">
        <f>_xlfn.XLOOKUP(Table1[[#This Row],[CustomerID_Check]],Table2[CustomerID],Table2[CustomerType],"Missing Value",0)</f>
        <v>Key Account</v>
      </c>
    </row>
    <row r="751" spans="1:20">
      <c r="A751" t="s">
        <v>1000</v>
      </c>
      <c r="B751" s="1">
        <v>45760</v>
      </c>
      <c r="C751" t="s">
        <v>67</v>
      </c>
      <c r="D751" t="str">
        <f>UPPER(Table1[[#This Row],[ProductID_Clean]])</f>
        <v>P-SI-006</v>
      </c>
      <c r="E751" t="s">
        <v>43</v>
      </c>
      <c r="F751" t="s">
        <v>23</v>
      </c>
      <c r="G751" t="str">
        <f>TRIM(Table1[[#This Row],[Region_Clean]])</f>
        <v>N. AMERICA</v>
      </c>
      <c r="H751" t="s">
        <v>24</v>
      </c>
      <c r="I751" t="s">
        <v>87</v>
      </c>
      <c r="J751" s="3">
        <v>1</v>
      </c>
      <c r="K751" s="3">
        <v>158.97999999999999</v>
      </c>
      <c r="L751">
        <v>215</v>
      </c>
      <c r="M751">
        <v>215</v>
      </c>
      <c r="N751">
        <v>56.02</v>
      </c>
      <c r="O751">
        <v>158.97999999999999</v>
      </c>
      <c r="P751" t="s">
        <v>26</v>
      </c>
      <c r="Q751" t="s">
        <v>40</v>
      </c>
      <c r="R751" t="s">
        <v>59</v>
      </c>
      <c r="S751" t="str">
        <f>TRIM(PROPER(_xlfn.XLOOKUP(Table1[[#This Row],[ProductID_Clean]],Table3[ProductID],Table3[Category],"Missing Value",0)))</f>
        <v>Sensors</v>
      </c>
      <c r="T751" t="str">
        <f>_xlfn.XLOOKUP(Table1[[#This Row],[CustomerID_Check]],Table2[CustomerID],Table2[CustomerType],"Missing Value",0)</f>
        <v>Strategic</v>
      </c>
    </row>
    <row r="752" spans="1:20">
      <c r="A752" t="s">
        <v>1001</v>
      </c>
      <c r="B752" s="1">
        <v>45668</v>
      </c>
      <c r="C752" t="s">
        <v>61</v>
      </c>
      <c r="D752" t="str">
        <f>UPPER(Table1[[#This Row],[ProductID_Clean]])</f>
        <v>P-SI-002</v>
      </c>
      <c r="E752" t="s">
        <v>31</v>
      </c>
      <c r="F752" t="s">
        <v>47</v>
      </c>
      <c r="G752" t="str">
        <f>TRIM(Table1[[#This Row],[Region_Clean]])</f>
        <v>EMEA</v>
      </c>
      <c r="H752" t="s">
        <v>24</v>
      </c>
      <c r="I752" t="s">
        <v>25</v>
      </c>
      <c r="J752" s="3">
        <v>5</v>
      </c>
      <c r="K752" s="3">
        <v>666.29</v>
      </c>
      <c r="L752">
        <v>725</v>
      </c>
      <c r="M752">
        <v>3625</v>
      </c>
      <c r="N752">
        <v>293.55</v>
      </c>
      <c r="O752">
        <v>3331.45</v>
      </c>
      <c r="P752" t="s">
        <v>26</v>
      </c>
      <c r="Q752" t="s">
        <v>35</v>
      </c>
      <c r="R752" t="s">
        <v>48</v>
      </c>
      <c r="S752" t="str">
        <f>TRIM(PROPER(_xlfn.XLOOKUP(Table1[[#This Row],[ProductID_Clean]],Table3[ProductID],Table3[Category],"Missing Value",0)))</f>
        <v>Sensors</v>
      </c>
      <c r="T752" t="str">
        <f>_xlfn.XLOOKUP(Table1[[#This Row],[CustomerID_Check]],Table2[CustomerID],Table2[CustomerType],"Missing Value",0)</f>
        <v>Strategic</v>
      </c>
    </row>
    <row r="753" spans="1:20">
      <c r="A753" t="s">
        <v>1002</v>
      </c>
      <c r="B753" s="1">
        <v>45667</v>
      </c>
      <c r="C753" t="s">
        <v>382</v>
      </c>
      <c r="D753" t="str">
        <f>UPPER(Table1[[#This Row],[ProductID_Clean]])</f>
        <v>P-SI-004</v>
      </c>
      <c r="E753" t="s">
        <v>22</v>
      </c>
      <c r="F753" t="s">
        <v>52</v>
      </c>
      <c r="G753" t="str">
        <f>TRIM(Table1[[#This Row],[Region_Clean]])</f>
        <v>N. AMERICA</v>
      </c>
      <c r="H753" t="s">
        <v>24</v>
      </c>
      <c r="I753" t="s">
        <v>25</v>
      </c>
      <c r="J753" s="3">
        <v>1</v>
      </c>
      <c r="K753" s="3">
        <v>2274.89</v>
      </c>
      <c r="L753">
        <v>2450</v>
      </c>
      <c r="M753">
        <v>2450</v>
      </c>
      <c r="N753">
        <v>175.11</v>
      </c>
      <c r="O753">
        <v>2274.89</v>
      </c>
      <c r="P753" t="s">
        <v>26</v>
      </c>
      <c r="Q753" t="s">
        <v>27</v>
      </c>
      <c r="R753" t="s">
        <v>36</v>
      </c>
      <c r="S753" t="str">
        <f>TRIM(PROPER(_xlfn.XLOOKUP(Table1[[#This Row],[ProductID_Clean]],Table3[ProductID],Table3[Category],"Missing Value",0)))</f>
        <v>Instruments</v>
      </c>
      <c r="T753" t="str">
        <f>_xlfn.XLOOKUP(Table1[[#This Row],[CustomerID_Check]],Table2[CustomerID],Table2[CustomerType],"Missing Value",0)</f>
        <v>Emerging</v>
      </c>
    </row>
    <row r="754" spans="1:20">
      <c r="A754" t="s">
        <v>1003</v>
      </c>
      <c r="B754" s="1">
        <v>45743</v>
      </c>
      <c r="C754" t="s">
        <v>114</v>
      </c>
      <c r="D754" t="str">
        <f>UPPER(Table1[[#This Row],[ProductID_Clean]])</f>
        <v>P-SI-002</v>
      </c>
      <c r="E754" t="s">
        <v>31</v>
      </c>
      <c r="F754" t="s">
        <v>47</v>
      </c>
      <c r="G754" t="str">
        <f>TRIM(Table1[[#This Row],[Region_Clean]])</f>
        <v>EMEA</v>
      </c>
      <c r="H754" t="s">
        <v>24</v>
      </c>
      <c r="I754" t="s">
        <v>34</v>
      </c>
      <c r="J754" s="3">
        <v>1</v>
      </c>
      <c r="K754" s="3">
        <v>683.32</v>
      </c>
      <c r="L754">
        <v>725</v>
      </c>
      <c r="M754">
        <v>725</v>
      </c>
      <c r="N754">
        <v>41.68</v>
      </c>
      <c r="O754">
        <v>683.32</v>
      </c>
      <c r="P754" t="s">
        <v>26</v>
      </c>
      <c r="Q754" t="s">
        <v>35</v>
      </c>
      <c r="R754" t="s">
        <v>36</v>
      </c>
      <c r="S754" t="str">
        <f>TRIM(PROPER(_xlfn.XLOOKUP(Table1[[#This Row],[ProductID_Clean]],Table3[ProductID],Table3[Category],"Missing Value",0)))</f>
        <v>Sensors</v>
      </c>
      <c r="T754" t="str">
        <f>_xlfn.XLOOKUP(Table1[[#This Row],[CustomerID_Check]],Table2[CustomerID],Table2[CustomerType],"Missing Value",0)</f>
        <v>Standard</v>
      </c>
    </row>
    <row r="755" spans="1:20">
      <c r="A755" t="s">
        <v>1004</v>
      </c>
      <c r="B755" s="1">
        <v>45774</v>
      </c>
      <c r="C755" t="s">
        <v>773</v>
      </c>
      <c r="D755" t="str">
        <f>UPPER(Table1[[#This Row],[ProductID_Clean]])</f>
        <v>P-SI-007</v>
      </c>
      <c r="E755" t="s">
        <v>97</v>
      </c>
      <c r="F755" t="s">
        <v>23</v>
      </c>
      <c r="G755" t="str">
        <f>TRIM(Table1[[#This Row],[Region_Clean]])</f>
        <v>N. AMERICA</v>
      </c>
      <c r="H755" t="s">
        <v>24</v>
      </c>
      <c r="I755" t="s">
        <v>98</v>
      </c>
      <c r="J755" s="3">
        <v>3</v>
      </c>
      <c r="K755" s="3">
        <v>947.17</v>
      </c>
      <c r="L755">
        <v>980</v>
      </c>
      <c r="M755">
        <v>2940</v>
      </c>
      <c r="N755">
        <v>98.49</v>
      </c>
      <c r="O755">
        <v>2841.51</v>
      </c>
      <c r="P755" t="s">
        <v>126</v>
      </c>
      <c r="Q755" t="s">
        <v>35</v>
      </c>
      <c r="R755" t="s">
        <v>36</v>
      </c>
      <c r="S755" t="str">
        <f>TRIM(PROPER(_xlfn.XLOOKUP(Table1[[#This Row],[ProductID_Clean]],Table3[ProductID],Table3[Category],"Missing Value",0)))</f>
        <v>Sensors</v>
      </c>
      <c r="T755" t="str">
        <f>_xlfn.XLOOKUP(Table1[[#This Row],[CustomerID_Check]],Table2[CustomerID],Table2[CustomerType],"Missing Value",0)</f>
        <v>Standard</v>
      </c>
    </row>
    <row r="756" spans="1:20">
      <c r="A756" t="s">
        <v>1005</v>
      </c>
      <c r="B756" s="1">
        <v>45693</v>
      </c>
      <c r="C756" t="s">
        <v>91</v>
      </c>
      <c r="D756" t="str">
        <f>UPPER(Table1[[#This Row],[ProductID_Clean]])</f>
        <v>P-SI-007</v>
      </c>
      <c r="E756" t="s">
        <v>97</v>
      </c>
      <c r="F756" t="s">
        <v>23</v>
      </c>
      <c r="G756" t="str">
        <f>TRIM(Table1[[#This Row],[Region_Clean]])</f>
        <v>N. AMERICA</v>
      </c>
      <c r="H756" t="s">
        <v>24</v>
      </c>
      <c r="I756" t="s">
        <v>87</v>
      </c>
      <c r="J756" s="3">
        <v>2</v>
      </c>
      <c r="K756" s="3">
        <v>805.35</v>
      </c>
      <c r="L756">
        <v>980</v>
      </c>
      <c r="M756">
        <v>1960</v>
      </c>
      <c r="N756">
        <v>349.3</v>
      </c>
      <c r="O756">
        <v>1610.7</v>
      </c>
      <c r="P756" t="s">
        <v>26</v>
      </c>
      <c r="Q756" t="s">
        <v>27</v>
      </c>
      <c r="R756" t="s">
        <v>48</v>
      </c>
      <c r="S756" t="str">
        <f>TRIM(PROPER(_xlfn.XLOOKUP(Table1[[#This Row],[ProductID_Clean]],Table3[ProductID],Table3[Category],"Missing Value",0)))</f>
        <v>Sensors</v>
      </c>
      <c r="T756" t="str">
        <f>_xlfn.XLOOKUP(Table1[[#This Row],[CustomerID_Check]],Table2[CustomerID],Table2[CustomerType],"Missing Value",0)</f>
        <v>Key Account</v>
      </c>
    </row>
    <row r="757" spans="1:20">
      <c r="A757" t="s">
        <v>1006</v>
      </c>
      <c r="B757" s="1">
        <v>45699</v>
      </c>
      <c r="C757" t="s">
        <v>130</v>
      </c>
      <c r="D757" t="str">
        <f>UPPER(Table1[[#This Row],[ProductID_Clean]])</f>
        <v>P-SI-002</v>
      </c>
      <c r="E757" t="s">
        <v>31</v>
      </c>
      <c r="F757" t="s">
        <v>198</v>
      </c>
      <c r="G757" t="str">
        <f>TRIM(Table1[[#This Row],[Region_Clean]])</f>
        <v>APAC</v>
      </c>
      <c r="H757" t="s">
        <v>24</v>
      </c>
      <c r="I757" t="s">
        <v>34</v>
      </c>
      <c r="J757" s="3">
        <v>4</v>
      </c>
      <c r="K757" s="3">
        <v>638.63</v>
      </c>
      <c r="L757">
        <v>725</v>
      </c>
      <c r="M757">
        <v>2900</v>
      </c>
      <c r="N757">
        <v>345.48</v>
      </c>
      <c r="O757">
        <v>2554.52</v>
      </c>
      <c r="P757" t="s">
        <v>26</v>
      </c>
      <c r="Q757" t="s">
        <v>65</v>
      </c>
      <c r="R757" t="s">
        <v>48</v>
      </c>
      <c r="S757" t="str">
        <f>TRIM(PROPER(_xlfn.XLOOKUP(Table1[[#This Row],[ProductID_Clean]],Table3[ProductID],Table3[Category],"Missing Value",0)))</f>
        <v>Sensors</v>
      </c>
      <c r="T757" t="str">
        <f>_xlfn.XLOOKUP(Table1[[#This Row],[CustomerID_Check]],Table2[CustomerID],Table2[CustomerType],"Missing Value",0)</f>
        <v>Standard</v>
      </c>
    </row>
    <row r="758" spans="1:20">
      <c r="A758" t="s">
        <v>1007</v>
      </c>
      <c r="B758" s="1">
        <v>45815</v>
      </c>
      <c r="C758" t="s">
        <v>424</v>
      </c>
      <c r="D758" t="str">
        <f>UPPER(Table1[[#This Row],[ProductID_Clean]])</f>
        <v>P-FS-005</v>
      </c>
      <c r="E758" t="s">
        <v>101</v>
      </c>
      <c r="F758" t="s">
        <v>52</v>
      </c>
      <c r="G758" t="str">
        <f>TRIM(Table1[[#This Row],[Region_Clean]])</f>
        <v>N. AMERICA</v>
      </c>
      <c r="H758" t="s">
        <v>82</v>
      </c>
      <c r="I758" t="s">
        <v>25</v>
      </c>
      <c r="J758" s="3">
        <v>1</v>
      </c>
      <c r="K758" s="3">
        <v>773.45</v>
      </c>
      <c r="L758">
        <v>950</v>
      </c>
      <c r="M758">
        <v>950</v>
      </c>
      <c r="N758">
        <v>176.55</v>
      </c>
      <c r="O758">
        <v>773.45</v>
      </c>
      <c r="P758" t="s">
        <v>26</v>
      </c>
      <c r="Q758" t="s">
        <v>35</v>
      </c>
      <c r="R758" t="s">
        <v>44</v>
      </c>
      <c r="S758" t="str">
        <f>TRIM(PROPER(_xlfn.XLOOKUP(Table1[[#This Row],[ProductID_Clean]],Table3[ProductID],Table3[Category],"Missing Value",0)))</f>
        <v>Services</v>
      </c>
      <c r="T758" t="str">
        <f>_xlfn.XLOOKUP(Table1[[#This Row],[CustomerID_Check]],Table2[CustomerID],Table2[CustomerType],"Missing Value",0)</f>
        <v>Key Account</v>
      </c>
    </row>
    <row r="759" spans="1:20">
      <c r="A759" t="s">
        <v>1008</v>
      </c>
      <c r="B759" s="1">
        <v>45734</v>
      </c>
      <c r="C759" t="s">
        <v>141</v>
      </c>
      <c r="D759" t="str">
        <f>UPPER(Table1[[#This Row],[ProductID_Clean]])</f>
        <v>P-SI-006</v>
      </c>
      <c r="E759" t="s">
        <v>43</v>
      </c>
      <c r="F759" t="s">
        <v>23</v>
      </c>
      <c r="G759" t="str">
        <f>TRIM(Table1[[#This Row],[Region_Clean]])</f>
        <v>N. AMERICA</v>
      </c>
      <c r="H759" t="s">
        <v>24</v>
      </c>
      <c r="I759" t="s">
        <v>87</v>
      </c>
      <c r="J759" s="3">
        <v>1</v>
      </c>
      <c r="K759" s="3">
        <v>160.93</v>
      </c>
      <c r="L759">
        <v>215</v>
      </c>
      <c r="M759">
        <v>215</v>
      </c>
      <c r="N759">
        <v>54.07</v>
      </c>
      <c r="O759">
        <v>160.93</v>
      </c>
      <c r="P759" t="s">
        <v>26</v>
      </c>
      <c r="Q759" t="s">
        <v>27</v>
      </c>
      <c r="R759" t="s">
        <v>36</v>
      </c>
      <c r="S759" t="str">
        <f>TRIM(PROPER(_xlfn.XLOOKUP(Table1[[#This Row],[ProductID_Clean]],Table3[ProductID],Table3[Category],"Missing Value",0)))</f>
        <v>Sensors</v>
      </c>
      <c r="T759" t="str">
        <f>_xlfn.XLOOKUP(Table1[[#This Row],[CustomerID_Check]],Table2[CustomerID],Table2[CustomerType],"Missing Value",0)</f>
        <v>Key Account</v>
      </c>
    </row>
    <row r="760" spans="1:20">
      <c r="A760" t="s">
        <v>1009</v>
      </c>
      <c r="B760" s="1">
        <v>45744</v>
      </c>
      <c r="C760" t="s">
        <v>213</v>
      </c>
      <c r="D760" t="str">
        <f>UPPER(Table1[[#This Row],[ProductID_Clean]])</f>
        <v>P-FS-005</v>
      </c>
      <c r="E760" t="s">
        <v>101</v>
      </c>
      <c r="F760" t="s">
        <v>23</v>
      </c>
      <c r="G760" t="str">
        <f>TRIM(Table1[[#This Row],[Region_Clean]])</f>
        <v>N. AMERICA</v>
      </c>
      <c r="H760" t="s">
        <v>82</v>
      </c>
      <c r="I760" t="s">
        <v>25</v>
      </c>
      <c r="J760" s="3">
        <v>1</v>
      </c>
      <c r="K760" s="3">
        <v>833.17</v>
      </c>
      <c r="L760">
        <v>950</v>
      </c>
      <c r="M760">
        <v>950</v>
      </c>
      <c r="N760">
        <v>116.83</v>
      </c>
      <c r="O760">
        <v>833.17</v>
      </c>
      <c r="P760" t="s">
        <v>26</v>
      </c>
      <c r="Q760" t="s">
        <v>35</v>
      </c>
      <c r="R760" t="s">
        <v>36</v>
      </c>
      <c r="S760" t="str">
        <f>TRIM(PROPER(_xlfn.XLOOKUP(Table1[[#This Row],[ProductID_Clean]],Table3[ProductID],Table3[Category],"Missing Value",0)))</f>
        <v>Services</v>
      </c>
      <c r="T760" t="str">
        <f>_xlfn.XLOOKUP(Table1[[#This Row],[CustomerID_Check]],Table2[CustomerID],Table2[CustomerType],"Missing Value",0)</f>
        <v>Emerging</v>
      </c>
    </row>
    <row r="761" spans="1:20">
      <c r="A761" t="s">
        <v>1010</v>
      </c>
      <c r="B761" s="1">
        <v>45794</v>
      </c>
      <c r="C761" t="s">
        <v>642</v>
      </c>
      <c r="D761" t="str">
        <f>UPPER(Table1[[#This Row],[ProductID_Clean]])</f>
        <v>P-SA-001</v>
      </c>
      <c r="E761" t="s">
        <v>68</v>
      </c>
      <c r="F761" t="s">
        <v>47</v>
      </c>
      <c r="G761" t="str">
        <f>TRIM(Table1[[#This Row],[Region_Clean]])</f>
        <v>EMEA</v>
      </c>
      <c r="H761" t="s">
        <v>53</v>
      </c>
      <c r="I761" t="s">
        <v>25</v>
      </c>
      <c r="J761" s="3">
        <v>1</v>
      </c>
      <c r="K761" s="3">
        <v>3681.82</v>
      </c>
      <c r="L761">
        <v>4200</v>
      </c>
      <c r="M761">
        <v>4200</v>
      </c>
      <c r="N761">
        <v>518.17999999999995</v>
      </c>
      <c r="O761">
        <v>3681.82</v>
      </c>
      <c r="P761" t="s">
        <v>126</v>
      </c>
      <c r="Q761" t="s">
        <v>54</v>
      </c>
      <c r="R761" t="s">
        <v>28</v>
      </c>
      <c r="S761" t="str">
        <f>TRIM(PROPER(_xlfn.XLOOKUP(Table1[[#This Row],[ProductID_Clean]],Table3[ProductID],Table3[Category],"Missing Value",0)))</f>
        <v>Software</v>
      </c>
      <c r="T761" t="str">
        <f>_xlfn.XLOOKUP(Table1[[#This Row],[CustomerID_Check]],Table2[CustomerID],Table2[CustomerType],"Missing Value",0)</f>
        <v>Standard</v>
      </c>
    </row>
    <row r="762" spans="1:20">
      <c r="A762" t="s">
        <v>1011</v>
      </c>
      <c r="B762" s="1">
        <v>45802</v>
      </c>
      <c r="C762" t="s">
        <v>170</v>
      </c>
      <c r="D762" t="str">
        <f>UPPER(Table1[[#This Row],[ProductID_Clean]])</f>
        <v>P-SI-003</v>
      </c>
      <c r="E762" t="s">
        <v>39</v>
      </c>
      <c r="F762" t="s">
        <v>47</v>
      </c>
      <c r="G762" t="str">
        <f>TRIM(Table1[[#This Row],[Region_Clean]])</f>
        <v>EMEA</v>
      </c>
      <c r="H762" t="s">
        <v>24</v>
      </c>
      <c r="I762" t="s">
        <v>34</v>
      </c>
      <c r="J762" s="3">
        <v>5</v>
      </c>
      <c r="K762" s="3">
        <v>1737.4</v>
      </c>
      <c r="L762">
        <v>1890</v>
      </c>
      <c r="M762">
        <v>9450</v>
      </c>
      <c r="N762">
        <v>763</v>
      </c>
      <c r="O762">
        <v>8687</v>
      </c>
      <c r="P762" t="s">
        <v>26</v>
      </c>
      <c r="Q762" t="s">
        <v>35</v>
      </c>
      <c r="R762" t="s">
        <v>59</v>
      </c>
      <c r="S762" t="str">
        <f>TRIM(PROPER(_xlfn.XLOOKUP(Table1[[#This Row],[ProductID_Clean]],Table3[ProductID],Table3[Category],"Missing Value",0)))</f>
        <v>Instruments</v>
      </c>
      <c r="T762" t="str">
        <f>_xlfn.XLOOKUP(Table1[[#This Row],[CustomerID_Check]],Table2[CustomerID],Table2[CustomerType],"Missing Value",0)</f>
        <v>Standard</v>
      </c>
    </row>
    <row r="763" spans="1:20">
      <c r="A763" t="s">
        <v>1012</v>
      </c>
      <c r="B763" s="1">
        <v>45779</v>
      </c>
      <c r="C763" t="s">
        <v>190</v>
      </c>
      <c r="D763" t="str">
        <f>UPPER(Table1[[#This Row],[ProductID_Clean]])</f>
        <v>P-SI-007</v>
      </c>
      <c r="E763" t="s">
        <v>97</v>
      </c>
      <c r="F763" t="s">
        <v>47</v>
      </c>
      <c r="G763" t="str">
        <f>TRIM(Table1[[#This Row],[Region_Clean]])</f>
        <v>EMEA</v>
      </c>
      <c r="H763" t="s">
        <v>24</v>
      </c>
      <c r="I763" t="s">
        <v>184</v>
      </c>
      <c r="J763" s="3">
        <v>2</v>
      </c>
      <c r="K763" s="3">
        <v>787.87</v>
      </c>
      <c r="L763">
        <v>980</v>
      </c>
      <c r="M763">
        <v>1960</v>
      </c>
      <c r="N763">
        <v>384.26</v>
      </c>
      <c r="O763">
        <v>1575.74</v>
      </c>
      <c r="P763" t="s">
        <v>26</v>
      </c>
      <c r="Q763" t="s">
        <v>65</v>
      </c>
      <c r="R763" t="s">
        <v>36</v>
      </c>
      <c r="S763" t="str">
        <f>TRIM(PROPER(_xlfn.XLOOKUP(Table1[[#This Row],[ProductID_Clean]],Table3[ProductID],Table3[Category],"Missing Value",0)))</f>
        <v>Sensors</v>
      </c>
      <c r="T763" t="str">
        <f>_xlfn.XLOOKUP(Table1[[#This Row],[CustomerID_Check]],Table2[CustomerID],Table2[CustomerType],"Missing Value",0)</f>
        <v>Strategic</v>
      </c>
    </row>
    <row r="764" spans="1:20">
      <c r="A764" t="s">
        <v>1013</v>
      </c>
      <c r="B764" s="1">
        <v>45752</v>
      </c>
      <c r="C764" t="s">
        <v>299</v>
      </c>
      <c r="D764" t="str">
        <f>UPPER(Table1[[#This Row],[ProductID_Clean]])</f>
        <v>P-FS-003</v>
      </c>
      <c r="E764" t="s">
        <v>216</v>
      </c>
      <c r="F764" t="s">
        <v>47</v>
      </c>
      <c r="G764" t="str">
        <f>TRIM(Table1[[#This Row],[Region_Clean]])</f>
        <v>EMEA</v>
      </c>
      <c r="H764" t="s">
        <v>82</v>
      </c>
      <c r="I764" t="s">
        <v>25</v>
      </c>
      <c r="J764" s="3">
        <v>1</v>
      </c>
      <c r="K764" s="3">
        <v>4069.29</v>
      </c>
      <c r="L764">
        <v>4100</v>
      </c>
      <c r="M764">
        <v>4100</v>
      </c>
      <c r="N764">
        <v>30.71</v>
      </c>
      <c r="O764">
        <v>4069.29</v>
      </c>
      <c r="P764" t="s">
        <v>126</v>
      </c>
      <c r="Q764" t="s">
        <v>94</v>
      </c>
      <c r="R764" t="s">
        <v>36</v>
      </c>
      <c r="S764" t="str">
        <f>TRIM(PROPER(_xlfn.XLOOKUP(Table1[[#This Row],[ProductID_Clean]],Table3[ProductID],Table3[Category],"Missing Value",0)))</f>
        <v>Services</v>
      </c>
      <c r="T764" t="str">
        <f>_xlfn.XLOOKUP(Table1[[#This Row],[CustomerID_Check]],Table2[CustomerID],Table2[CustomerType],"Missing Value",0)</f>
        <v>Standard</v>
      </c>
    </row>
    <row r="765" spans="1:20">
      <c r="A765" t="s">
        <v>1014</v>
      </c>
      <c r="B765" s="1">
        <v>45830</v>
      </c>
      <c r="C765" t="s">
        <v>554</v>
      </c>
      <c r="D765" t="str">
        <f>UPPER(Table1[[#This Row],[ProductID_Clean]])</f>
        <v>P-SI-002</v>
      </c>
      <c r="E765" t="s">
        <v>31</v>
      </c>
      <c r="F765" t="s">
        <v>47</v>
      </c>
      <c r="G765" t="str">
        <f>TRIM(Table1[[#This Row],[Region_Clean]])</f>
        <v>EMEA</v>
      </c>
      <c r="H765" t="s">
        <v>24</v>
      </c>
      <c r="I765" t="s">
        <v>25</v>
      </c>
      <c r="J765" s="3">
        <v>4</v>
      </c>
      <c r="K765" s="3">
        <v>675.66</v>
      </c>
      <c r="L765">
        <v>725</v>
      </c>
      <c r="M765">
        <v>2900</v>
      </c>
      <c r="N765">
        <v>197.36</v>
      </c>
      <c r="O765">
        <v>2702.64</v>
      </c>
      <c r="P765" t="s">
        <v>26</v>
      </c>
      <c r="Q765" t="s">
        <v>65</v>
      </c>
      <c r="R765" t="s">
        <v>28</v>
      </c>
      <c r="S765" t="str">
        <f>TRIM(PROPER(_xlfn.XLOOKUP(Table1[[#This Row],[ProductID_Clean]],Table3[ProductID],Table3[Category],"Missing Value",0)))</f>
        <v>Sensors</v>
      </c>
      <c r="T765" t="str">
        <f>_xlfn.XLOOKUP(Table1[[#This Row],[CustomerID_Check]],Table2[CustomerID],Table2[CustomerType],"Missing Value",0)</f>
        <v>Standard</v>
      </c>
    </row>
    <row r="766" spans="1:20">
      <c r="A766" t="s">
        <v>1015</v>
      </c>
      <c r="B766" s="1">
        <v>45764</v>
      </c>
      <c r="C766" t="s">
        <v>125</v>
      </c>
      <c r="D766" t="str">
        <f>UPPER(Table1[[#This Row],[ProductID_Clean]])</f>
        <v>P-SI-007</v>
      </c>
      <c r="E766" t="s">
        <v>97</v>
      </c>
      <c r="F766" t="s">
        <v>58</v>
      </c>
      <c r="G766" t="str">
        <f>TRIM(Table1[[#This Row],[Region_Clean]])</f>
        <v>APAC</v>
      </c>
      <c r="H766" t="s">
        <v>24</v>
      </c>
      <c r="I766" t="s">
        <v>25</v>
      </c>
      <c r="J766" s="3">
        <v>2</v>
      </c>
      <c r="K766" s="3">
        <v>789.84</v>
      </c>
      <c r="L766">
        <v>980</v>
      </c>
      <c r="M766">
        <v>1960</v>
      </c>
      <c r="N766">
        <v>380.32</v>
      </c>
      <c r="O766">
        <v>1579.68</v>
      </c>
      <c r="P766" t="s">
        <v>26</v>
      </c>
      <c r="Q766" t="s">
        <v>35</v>
      </c>
      <c r="R766" t="s">
        <v>36</v>
      </c>
      <c r="S766" t="str">
        <f>TRIM(PROPER(_xlfn.XLOOKUP(Table1[[#This Row],[ProductID_Clean]],Table3[ProductID],Table3[Category],"Missing Value",0)))</f>
        <v>Sensors</v>
      </c>
      <c r="T766" t="str">
        <f>_xlfn.XLOOKUP(Table1[[#This Row],[CustomerID_Check]],Table2[CustomerID],Table2[CustomerType],"Missing Value",0)</f>
        <v>Strategic</v>
      </c>
    </row>
    <row r="767" spans="1:20">
      <c r="A767" t="s">
        <v>1016</v>
      </c>
      <c r="B767" s="1">
        <v>45736</v>
      </c>
      <c r="C767" t="s">
        <v>67</v>
      </c>
      <c r="D767" t="str">
        <f>UPPER(Table1[[#This Row],[ProductID_Clean]])</f>
        <v>P-SI-007</v>
      </c>
      <c r="E767" t="s">
        <v>97</v>
      </c>
      <c r="F767" t="s">
        <v>23</v>
      </c>
      <c r="G767" t="str">
        <f>TRIM(Table1[[#This Row],[Region_Clean]])</f>
        <v>N. AMERICA</v>
      </c>
      <c r="H767" t="s">
        <v>24</v>
      </c>
      <c r="I767" t="s">
        <v>25</v>
      </c>
      <c r="J767" s="3">
        <v>2</v>
      </c>
      <c r="K767" s="3">
        <v>805.46</v>
      </c>
      <c r="L767">
        <v>980</v>
      </c>
      <c r="M767">
        <v>1960</v>
      </c>
      <c r="N767">
        <v>349.08</v>
      </c>
      <c r="O767">
        <v>1610.92</v>
      </c>
      <c r="P767" t="s">
        <v>26</v>
      </c>
      <c r="Q767" t="s">
        <v>27</v>
      </c>
      <c r="R767" t="s">
        <v>59</v>
      </c>
      <c r="S767" t="str">
        <f>TRIM(PROPER(_xlfn.XLOOKUP(Table1[[#This Row],[ProductID_Clean]],Table3[ProductID],Table3[Category],"Missing Value",0)))</f>
        <v>Sensors</v>
      </c>
      <c r="T767" t="str">
        <f>_xlfn.XLOOKUP(Table1[[#This Row],[CustomerID_Check]],Table2[CustomerID],Table2[CustomerType],"Missing Value",0)</f>
        <v>Strategic</v>
      </c>
    </row>
    <row r="768" spans="1:20">
      <c r="A768" t="s">
        <v>1017</v>
      </c>
      <c r="B768" s="1">
        <v>45834</v>
      </c>
      <c r="C768" t="s">
        <v>197</v>
      </c>
      <c r="D768" t="str">
        <f>UPPER(Table1[[#This Row],[ProductID_Clean]])</f>
        <v>P-SI-001</v>
      </c>
      <c r="E768" t="s">
        <v>72</v>
      </c>
      <c r="F768" t="s">
        <v>58</v>
      </c>
      <c r="G768" t="str">
        <f>TRIM(Table1[[#This Row],[Region_Clean]])</f>
        <v>APAC</v>
      </c>
      <c r="H768" t="s">
        <v>24</v>
      </c>
      <c r="I768" t="s">
        <v>34</v>
      </c>
      <c r="J768" s="3">
        <v>1</v>
      </c>
      <c r="K768" s="3">
        <v>406.51</v>
      </c>
      <c r="L768">
        <v>485</v>
      </c>
      <c r="M768">
        <v>485</v>
      </c>
      <c r="N768">
        <v>78.489999999999995</v>
      </c>
      <c r="O768">
        <v>406.51</v>
      </c>
      <c r="P768" t="s">
        <v>26</v>
      </c>
      <c r="Q768" t="s">
        <v>65</v>
      </c>
      <c r="R768" t="s">
        <v>28</v>
      </c>
      <c r="S768" t="str">
        <f>TRIM(PROPER(_xlfn.XLOOKUP(Table1[[#This Row],[ProductID_Clean]],Table3[ProductID],Table3[Category],"Missing Value",0)))</f>
        <v>Sensors</v>
      </c>
      <c r="T768" t="str">
        <f>_xlfn.XLOOKUP(Table1[[#This Row],[CustomerID_Check]],Table2[CustomerID],Table2[CustomerType],"Missing Value",0)</f>
        <v>Strategic</v>
      </c>
    </row>
    <row r="769" spans="1:20">
      <c r="A769" t="s">
        <v>1018</v>
      </c>
      <c r="B769" s="1">
        <v>45779</v>
      </c>
      <c r="C769" t="s">
        <v>89</v>
      </c>
      <c r="D769" t="str">
        <f>UPPER(Table1[[#This Row],[ProductID_Clean]])</f>
        <v>P-FS-002</v>
      </c>
      <c r="E769" t="s">
        <v>81</v>
      </c>
      <c r="F769" t="s">
        <v>58</v>
      </c>
      <c r="G769" t="str">
        <f>TRIM(Table1[[#This Row],[Region_Clean]])</f>
        <v>APAC</v>
      </c>
      <c r="H769" t="s">
        <v>82</v>
      </c>
      <c r="I769" t="s">
        <v>25</v>
      </c>
      <c r="J769" s="3">
        <v>1</v>
      </c>
      <c r="K769" s="3">
        <v>1978.42</v>
      </c>
      <c r="L769">
        <v>2400</v>
      </c>
      <c r="M769">
        <v>2400</v>
      </c>
      <c r="N769">
        <v>421.58</v>
      </c>
      <c r="O769">
        <v>1978.42</v>
      </c>
      <c r="P769" t="s">
        <v>26</v>
      </c>
      <c r="Q769" t="s">
        <v>94</v>
      </c>
      <c r="R769" t="s">
        <v>44</v>
      </c>
      <c r="S769" t="str">
        <f>TRIM(PROPER(_xlfn.XLOOKUP(Table1[[#This Row],[ProductID_Clean]],Table3[ProductID],Table3[Category],"Missing Value",0)))</f>
        <v>Services</v>
      </c>
      <c r="T769" t="str">
        <f>_xlfn.XLOOKUP(Table1[[#This Row],[CustomerID_Check]],Table2[CustomerID],Table2[CustomerType],"Missing Value",0)</f>
        <v>Strategic</v>
      </c>
    </row>
    <row r="770" spans="1:20">
      <c r="A770" t="s">
        <v>1019</v>
      </c>
      <c r="B770" s="1">
        <v>45825</v>
      </c>
      <c r="C770" t="s">
        <v>460</v>
      </c>
      <c r="D770" t="str">
        <f>UPPER(Table1[[#This Row],[ProductID_Clean]])</f>
        <v>P-SI-001</v>
      </c>
      <c r="E770" t="s">
        <v>72</v>
      </c>
      <c r="F770" t="s">
        <v>23</v>
      </c>
      <c r="G770" t="str">
        <f>TRIM(Table1[[#This Row],[Region_Clean]])</f>
        <v>N. AMERICA</v>
      </c>
      <c r="H770" t="s">
        <v>24</v>
      </c>
      <c r="I770" t="s">
        <v>34</v>
      </c>
      <c r="J770" s="3">
        <v>1</v>
      </c>
      <c r="K770" s="3">
        <v>453.3</v>
      </c>
      <c r="L770">
        <v>485</v>
      </c>
      <c r="M770">
        <v>485</v>
      </c>
      <c r="N770">
        <v>31.7</v>
      </c>
      <c r="O770">
        <v>453.3</v>
      </c>
      <c r="P770" t="s">
        <v>26</v>
      </c>
      <c r="Q770" t="s">
        <v>35</v>
      </c>
      <c r="R770" t="s">
        <v>36</v>
      </c>
      <c r="S770" t="str">
        <f>TRIM(PROPER(_xlfn.XLOOKUP(Table1[[#This Row],[ProductID_Clean]],Table3[ProductID],Table3[Category],"Missing Value",0)))</f>
        <v>Sensors</v>
      </c>
      <c r="T770" t="str">
        <f>_xlfn.XLOOKUP(Table1[[#This Row],[CustomerID_Check]],Table2[CustomerID],Table2[CustomerType],"Missing Value",0)</f>
        <v>Standard</v>
      </c>
    </row>
    <row r="771" spans="1:20">
      <c r="A771" t="s">
        <v>1020</v>
      </c>
      <c r="B771" s="1">
        <v>45805</v>
      </c>
      <c r="C771" t="s">
        <v>100</v>
      </c>
      <c r="D771" t="str">
        <f>UPPER(Table1[[#This Row],[ProductID_Clean]])</f>
        <v>P-SI-005</v>
      </c>
      <c r="E771" t="s">
        <v>57</v>
      </c>
      <c r="F771" t="s">
        <v>47</v>
      </c>
      <c r="G771" t="str">
        <f>TRIM(Table1[[#This Row],[Region_Clean]])</f>
        <v>EMEA</v>
      </c>
      <c r="H771" t="s">
        <v>24</v>
      </c>
      <c r="I771" t="s">
        <v>87</v>
      </c>
      <c r="J771" s="3">
        <v>1</v>
      </c>
      <c r="K771" s="3">
        <v>948.06</v>
      </c>
      <c r="L771">
        <v>1120</v>
      </c>
      <c r="M771">
        <v>1120</v>
      </c>
      <c r="N771">
        <v>171.94</v>
      </c>
      <c r="O771">
        <v>948.06</v>
      </c>
      <c r="P771" t="s">
        <v>26</v>
      </c>
      <c r="Q771" t="s">
        <v>35</v>
      </c>
      <c r="R771" t="s">
        <v>36</v>
      </c>
      <c r="S771" t="str">
        <f>TRIM(PROPER(_xlfn.XLOOKUP(Table1[[#This Row],[ProductID_Clean]],Table3[ProductID],Table3[Category],"Missing Value",0)))</f>
        <v>Sensors</v>
      </c>
      <c r="T771" t="str">
        <f>_xlfn.XLOOKUP(Table1[[#This Row],[CustomerID_Check]],Table2[CustomerID],Table2[CustomerType],"Missing Value",0)</f>
        <v>Strategic</v>
      </c>
    </row>
    <row r="772" spans="1:20">
      <c r="A772" t="s">
        <v>1021</v>
      </c>
      <c r="B772" s="1">
        <v>45807</v>
      </c>
      <c r="C772" t="s">
        <v>463</v>
      </c>
      <c r="D772" t="str">
        <f>UPPER(Table1[[#This Row],[ProductID_Clean]])</f>
        <v>P-SI-005</v>
      </c>
      <c r="E772" t="s">
        <v>57</v>
      </c>
      <c r="F772" t="s">
        <v>47</v>
      </c>
      <c r="G772" t="str">
        <f>TRIM(Table1[[#This Row],[Region_Clean]])</f>
        <v>EMEA</v>
      </c>
      <c r="H772" t="s">
        <v>24</v>
      </c>
      <c r="I772" t="s">
        <v>34</v>
      </c>
      <c r="J772" s="3">
        <v>2</v>
      </c>
      <c r="K772" s="3">
        <v>933.41</v>
      </c>
      <c r="L772">
        <v>1120</v>
      </c>
      <c r="M772">
        <v>2240</v>
      </c>
      <c r="N772">
        <v>373.18</v>
      </c>
      <c r="O772">
        <v>1866.82</v>
      </c>
      <c r="P772" t="s">
        <v>26</v>
      </c>
      <c r="Q772" t="s">
        <v>65</v>
      </c>
      <c r="R772" t="s">
        <v>48</v>
      </c>
      <c r="S772" t="str">
        <f>TRIM(PROPER(_xlfn.XLOOKUP(Table1[[#This Row],[ProductID_Clean]],Table3[ProductID],Table3[Category],"Missing Value",0)))</f>
        <v>Sensors</v>
      </c>
      <c r="T772" t="str">
        <f>_xlfn.XLOOKUP(Table1[[#This Row],[CustomerID_Check]],Table2[CustomerID],Table2[CustomerType],"Missing Value",0)</f>
        <v>Key Account</v>
      </c>
    </row>
    <row r="773" spans="1:20">
      <c r="A773" t="s">
        <v>1022</v>
      </c>
      <c r="B773" s="1">
        <v>45819</v>
      </c>
      <c r="C773" t="s">
        <v>256</v>
      </c>
      <c r="D773" t="str">
        <f>UPPER(Table1[[#This Row],[ProductID_Clean]])</f>
        <v>P-SI-005</v>
      </c>
      <c r="E773" t="s">
        <v>57</v>
      </c>
      <c r="F773" t="s">
        <v>47</v>
      </c>
      <c r="G773" t="str">
        <f>TRIM(Table1[[#This Row],[Region_Clean]])</f>
        <v>EMEA</v>
      </c>
      <c r="H773" t="s">
        <v>24</v>
      </c>
      <c r="I773" t="s">
        <v>25</v>
      </c>
      <c r="J773" s="3">
        <v>1</v>
      </c>
      <c r="K773" s="3">
        <v>926.85</v>
      </c>
      <c r="L773">
        <v>1120</v>
      </c>
      <c r="M773">
        <v>1120</v>
      </c>
      <c r="N773">
        <v>193.15</v>
      </c>
      <c r="O773">
        <v>926.85</v>
      </c>
      <c r="P773" t="s">
        <v>26</v>
      </c>
      <c r="Q773" t="s">
        <v>35</v>
      </c>
      <c r="R773" t="s">
        <v>44</v>
      </c>
      <c r="S773" t="str">
        <f>TRIM(PROPER(_xlfn.XLOOKUP(Table1[[#This Row],[ProductID_Clean]],Table3[ProductID],Table3[Category],"Missing Value",0)))</f>
        <v>Sensors</v>
      </c>
      <c r="T773" t="str">
        <f>_xlfn.XLOOKUP(Table1[[#This Row],[CustomerID_Check]],Table2[CustomerID],Table2[CustomerType],"Missing Value",0)</f>
        <v>Strategic</v>
      </c>
    </row>
    <row r="774" spans="1:20">
      <c r="A774" t="s">
        <v>1023</v>
      </c>
      <c r="B774" s="1">
        <v>45816</v>
      </c>
      <c r="C774" t="s">
        <v>56</v>
      </c>
      <c r="D774" t="str">
        <f>UPPER(Table1[[#This Row],[ProductID_Clean]])</f>
        <v>P-SI-001</v>
      </c>
      <c r="E774" t="s">
        <v>72</v>
      </c>
      <c r="F774" t="s">
        <v>58</v>
      </c>
      <c r="G774" t="str">
        <f>TRIM(Table1[[#This Row],[Region_Clean]])</f>
        <v>APAC</v>
      </c>
      <c r="H774" t="s">
        <v>24</v>
      </c>
      <c r="I774" t="s">
        <v>87</v>
      </c>
      <c r="J774" s="3">
        <v>3</v>
      </c>
      <c r="K774" s="3">
        <v>370</v>
      </c>
      <c r="L774">
        <v>485</v>
      </c>
      <c r="M774">
        <v>1455</v>
      </c>
      <c r="N774">
        <v>345</v>
      </c>
      <c r="O774">
        <v>1110</v>
      </c>
      <c r="P774" t="s">
        <v>26</v>
      </c>
      <c r="Q774" t="s">
        <v>27</v>
      </c>
      <c r="R774" t="s">
        <v>59</v>
      </c>
      <c r="S774" t="str">
        <f>TRIM(PROPER(_xlfn.XLOOKUP(Table1[[#This Row],[ProductID_Clean]],Table3[ProductID],Table3[Category],"Missing Value",0)))</f>
        <v>Sensors</v>
      </c>
      <c r="T774" t="str">
        <f>_xlfn.XLOOKUP(Table1[[#This Row],[CustomerID_Check]],Table2[CustomerID],Table2[CustomerType],"Missing Value",0)</f>
        <v>Key Account</v>
      </c>
    </row>
    <row r="775" spans="1:20">
      <c r="A775" t="s">
        <v>1024</v>
      </c>
      <c r="B775" s="1">
        <v>45695</v>
      </c>
      <c r="C775" t="s">
        <v>194</v>
      </c>
      <c r="D775" t="str">
        <f>UPPER(Table1[[#This Row],[ProductID_Clean]])</f>
        <v>P-SI-005</v>
      </c>
      <c r="E775" t="s">
        <v>57</v>
      </c>
      <c r="F775" t="s">
        <v>23</v>
      </c>
      <c r="G775" t="str">
        <f>TRIM(Table1[[#This Row],[Region_Clean]])</f>
        <v>N. AMERICA</v>
      </c>
      <c r="H775" t="s">
        <v>24</v>
      </c>
      <c r="I775" t="s">
        <v>87</v>
      </c>
      <c r="J775" s="3">
        <v>4</v>
      </c>
      <c r="K775" s="3">
        <v>879.27</v>
      </c>
      <c r="L775">
        <v>1120</v>
      </c>
      <c r="M775">
        <v>4480</v>
      </c>
      <c r="N775">
        <v>962.92</v>
      </c>
      <c r="O775">
        <v>3517.08</v>
      </c>
      <c r="P775" t="s">
        <v>26</v>
      </c>
      <c r="Q775" t="s">
        <v>65</v>
      </c>
      <c r="R775" t="s">
        <v>36</v>
      </c>
      <c r="S775" t="str">
        <f>TRIM(PROPER(_xlfn.XLOOKUP(Table1[[#This Row],[ProductID_Clean]],Table3[ProductID],Table3[Category],"Missing Value",0)))</f>
        <v>Sensors</v>
      </c>
      <c r="T775" t="str">
        <f>_xlfn.XLOOKUP(Table1[[#This Row],[CustomerID_Check]],Table2[CustomerID],Table2[CustomerType],"Missing Value",0)</f>
        <v>Strategic</v>
      </c>
    </row>
    <row r="776" spans="1:20">
      <c r="A776" t="s">
        <v>1025</v>
      </c>
      <c r="B776" s="1">
        <v>45720</v>
      </c>
      <c r="C776" t="s">
        <v>442</v>
      </c>
      <c r="D776" t="str">
        <f>UPPER(Table1[[#This Row],[ProductID_Clean]])</f>
        <v>P-SA-001</v>
      </c>
      <c r="E776" t="s">
        <v>68</v>
      </c>
      <c r="F776" t="s">
        <v>23</v>
      </c>
      <c r="G776" t="str">
        <f>TRIM(Table1[[#This Row],[Region_Clean]])</f>
        <v>N. AMERICA</v>
      </c>
      <c r="H776" t="s">
        <v>53</v>
      </c>
      <c r="I776" t="s">
        <v>25</v>
      </c>
      <c r="J776" s="3">
        <v>1</v>
      </c>
      <c r="K776" s="3">
        <v>3986.34</v>
      </c>
      <c r="L776">
        <v>4200</v>
      </c>
      <c r="M776">
        <v>4200</v>
      </c>
      <c r="N776">
        <v>213.66</v>
      </c>
      <c r="O776">
        <v>3986.34</v>
      </c>
      <c r="P776" t="s">
        <v>26</v>
      </c>
      <c r="Q776" t="s">
        <v>40</v>
      </c>
      <c r="R776" t="s">
        <v>36</v>
      </c>
      <c r="S776" t="str">
        <f>TRIM(PROPER(_xlfn.XLOOKUP(Table1[[#This Row],[ProductID_Clean]],Table3[ProductID],Table3[Category],"Missing Value",0)))</f>
        <v>Software</v>
      </c>
      <c r="T776" t="str">
        <f>_xlfn.XLOOKUP(Table1[[#This Row],[CustomerID_Check]],Table2[CustomerID],Table2[CustomerType],"Missing Value",0)</f>
        <v>Standard</v>
      </c>
    </row>
    <row r="777" spans="1:20">
      <c r="A777" t="s">
        <v>1026</v>
      </c>
      <c r="B777" s="1">
        <v>45804</v>
      </c>
      <c r="C777" t="s">
        <v>143</v>
      </c>
      <c r="D777" t="str">
        <f>UPPER(Table1[[#This Row],[ProductID_Clean]])</f>
        <v>P-SI-002</v>
      </c>
      <c r="E777" t="s">
        <v>31</v>
      </c>
      <c r="F777" t="s">
        <v>23</v>
      </c>
      <c r="G777" t="str">
        <f>TRIM(Table1[[#This Row],[Region_Clean]])</f>
        <v>N. AMERICA</v>
      </c>
      <c r="H777" t="s">
        <v>24</v>
      </c>
      <c r="I777" t="s">
        <v>87</v>
      </c>
      <c r="J777" s="3">
        <v>5</v>
      </c>
      <c r="K777" s="3">
        <v>631.76</v>
      </c>
      <c r="L777">
        <v>725</v>
      </c>
      <c r="M777">
        <v>3625</v>
      </c>
      <c r="N777">
        <v>466.2</v>
      </c>
      <c r="O777">
        <v>3158.8</v>
      </c>
      <c r="P777" t="s">
        <v>26</v>
      </c>
      <c r="Q777" t="s">
        <v>35</v>
      </c>
      <c r="R777" t="s">
        <v>28</v>
      </c>
      <c r="S777" t="str">
        <f>TRIM(PROPER(_xlfn.XLOOKUP(Table1[[#This Row],[ProductID_Clean]],Table3[ProductID],Table3[Category],"Missing Value",0)))</f>
        <v>Sensors</v>
      </c>
      <c r="T777" t="str">
        <f>_xlfn.XLOOKUP(Table1[[#This Row],[CustomerID_Check]],Table2[CustomerID],Table2[CustomerType],"Missing Value",0)</f>
        <v>Strategic</v>
      </c>
    </row>
    <row r="778" spans="1:20">
      <c r="A778" t="s">
        <v>1027</v>
      </c>
      <c r="B778" s="1">
        <v>45706</v>
      </c>
      <c r="C778" t="s">
        <v>227</v>
      </c>
      <c r="D778" t="str">
        <f>UPPER(Table1[[#This Row],[ProductID_Clean]])</f>
        <v>P-SI-005</v>
      </c>
      <c r="E778" t="s">
        <v>57</v>
      </c>
      <c r="F778" t="s">
        <v>23</v>
      </c>
      <c r="G778" t="str">
        <f>TRIM(Table1[[#This Row],[Region_Clean]])</f>
        <v>N. AMERICA</v>
      </c>
      <c r="H778" t="s">
        <v>24</v>
      </c>
      <c r="I778" t="s">
        <v>87</v>
      </c>
      <c r="J778" s="3">
        <v>1</v>
      </c>
      <c r="K778" s="3">
        <v>1026.79</v>
      </c>
      <c r="L778">
        <v>1120</v>
      </c>
      <c r="M778">
        <v>1120</v>
      </c>
      <c r="N778">
        <v>93.21</v>
      </c>
      <c r="O778">
        <v>1026.79</v>
      </c>
      <c r="P778" t="s">
        <v>26</v>
      </c>
      <c r="Q778" t="s">
        <v>35</v>
      </c>
      <c r="R778" t="s">
        <v>36</v>
      </c>
      <c r="S778" t="str">
        <f>TRIM(PROPER(_xlfn.XLOOKUP(Table1[[#This Row],[ProductID_Clean]],Table3[ProductID],Table3[Category],"Missing Value",0)))</f>
        <v>Sensors</v>
      </c>
      <c r="T778" t="str">
        <f>_xlfn.XLOOKUP(Table1[[#This Row],[CustomerID_Check]],Table2[CustomerID],Table2[CustomerType],"Missing Value",0)</f>
        <v>Standard</v>
      </c>
    </row>
    <row r="779" spans="1:20">
      <c r="A779" t="s">
        <v>1028</v>
      </c>
      <c r="B779" s="1">
        <v>45770</v>
      </c>
      <c r="C779" t="s">
        <v>385</v>
      </c>
      <c r="D779" t="str">
        <f>UPPER(Table1[[#This Row],[ProductID_Clean]])</f>
        <v>P-SI-001</v>
      </c>
      <c r="E779" t="s">
        <v>72</v>
      </c>
      <c r="F779" t="s">
        <v>102</v>
      </c>
      <c r="G779" t="str">
        <f>TRIM(Table1[[#This Row],[Region_Clean]])</f>
        <v>EMEA</v>
      </c>
      <c r="H779" t="s">
        <v>24</v>
      </c>
      <c r="I779" t="s">
        <v>34</v>
      </c>
      <c r="J779" s="3">
        <v>2</v>
      </c>
      <c r="K779" s="3">
        <v>401.98</v>
      </c>
      <c r="L779">
        <v>485</v>
      </c>
      <c r="M779">
        <v>970</v>
      </c>
      <c r="N779">
        <v>166.04</v>
      </c>
      <c r="O779">
        <v>803.96</v>
      </c>
      <c r="P779" t="s">
        <v>26</v>
      </c>
      <c r="Q779" t="s">
        <v>27</v>
      </c>
      <c r="R779" t="s">
        <v>44</v>
      </c>
      <c r="S779" t="str">
        <f>TRIM(PROPER(_xlfn.XLOOKUP(Table1[[#This Row],[ProductID_Clean]],Table3[ProductID],Table3[Category],"Missing Value",0)))</f>
        <v>Sensors</v>
      </c>
      <c r="T779" t="str">
        <f>_xlfn.XLOOKUP(Table1[[#This Row],[CustomerID_Check]],Table2[CustomerID],Table2[CustomerType],"Missing Value",0)</f>
        <v>Standard</v>
      </c>
    </row>
    <row r="780" spans="1:20">
      <c r="A780" t="s">
        <v>1029</v>
      </c>
      <c r="B780" s="1">
        <v>45765</v>
      </c>
      <c r="C780" t="s">
        <v>91</v>
      </c>
      <c r="D780" t="str">
        <f>UPPER(Table1[[#This Row],[ProductID_Clean]])</f>
        <v>P-SI-001</v>
      </c>
      <c r="E780" t="s">
        <v>72</v>
      </c>
      <c r="F780" t="s">
        <v>23</v>
      </c>
      <c r="G780" t="str">
        <f>TRIM(Table1[[#This Row],[Region_Clean]])</f>
        <v>N. AMERICA</v>
      </c>
      <c r="H780" t="s">
        <v>24</v>
      </c>
      <c r="I780" t="s">
        <v>40</v>
      </c>
      <c r="J780" s="3">
        <v>3</v>
      </c>
      <c r="K780" s="3">
        <v>382.26</v>
      </c>
      <c r="L780">
        <v>485</v>
      </c>
      <c r="M780">
        <v>1455</v>
      </c>
      <c r="N780">
        <v>308.22000000000003</v>
      </c>
      <c r="O780">
        <v>1146.78</v>
      </c>
      <c r="P780" t="s">
        <v>26</v>
      </c>
      <c r="Q780" t="s">
        <v>27</v>
      </c>
      <c r="R780" t="s">
        <v>48</v>
      </c>
      <c r="S780" t="str">
        <f>TRIM(PROPER(_xlfn.XLOOKUP(Table1[[#This Row],[ProductID_Clean]],Table3[ProductID],Table3[Category],"Missing Value",0)))</f>
        <v>Sensors</v>
      </c>
      <c r="T780" t="str">
        <f>_xlfn.XLOOKUP(Table1[[#This Row],[CustomerID_Check]],Table2[CustomerID],Table2[CustomerType],"Missing Value",0)</f>
        <v>Key Account</v>
      </c>
    </row>
    <row r="781" spans="1:20">
      <c r="A781" t="s">
        <v>1030</v>
      </c>
      <c r="B781" s="1">
        <v>45763</v>
      </c>
      <c r="C781" t="s">
        <v>239</v>
      </c>
      <c r="D781" t="str">
        <f>UPPER(Table1[[#This Row],[ProductID_Clean]])</f>
        <v>P-SA-001</v>
      </c>
      <c r="E781" t="s">
        <v>68</v>
      </c>
      <c r="F781" t="s">
        <v>23</v>
      </c>
      <c r="G781" t="str">
        <f>TRIM(Table1[[#This Row],[Region_Clean]])</f>
        <v>N. AMERICA</v>
      </c>
      <c r="H781" t="s">
        <v>53</v>
      </c>
      <c r="I781" t="s">
        <v>87</v>
      </c>
      <c r="J781" s="3">
        <v>1</v>
      </c>
      <c r="K781" s="3">
        <v>3116.47</v>
      </c>
      <c r="L781">
        <v>4200</v>
      </c>
      <c r="M781">
        <v>4200</v>
      </c>
      <c r="N781">
        <v>1083.53</v>
      </c>
      <c r="O781">
        <v>3116.47</v>
      </c>
      <c r="P781" t="s">
        <v>26</v>
      </c>
      <c r="Q781" t="s">
        <v>54</v>
      </c>
      <c r="R781" t="s">
        <v>44</v>
      </c>
      <c r="S781" t="str">
        <f>TRIM(PROPER(_xlfn.XLOOKUP(Table1[[#This Row],[ProductID_Clean]],Table3[ProductID],Table3[Category],"Missing Value",0)))</f>
        <v>Software</v>
      </c>
      <c r="T781" t="str">
        <f>_xlfn.XLOOKUP(Table1[[#This Row],[CustomerID_Check]],Table2[CustomerID],Table2[CustomerType],"Missing Value",0)</f>
        <v>Strategic</v>
      </c>
    </row>
    <row r="782" spans="1:20">
      <c r="A782" t="s">
        <v>1031</v>
      </c>
      <c r="B782" s="1">
        <v>45710</v>
      </c>
      <c r="C782" t="s">
        <v>410</v>
      </c>
      <c r="D782" t="str">
        <f>UPPER(Table1[[#This Row],[ProductID_Clean]])</f>
        <v>P-SI-002</v>
      </c>
      <c r="E782" t="s">
        <v>31</v>
      </c>
      <c r="F782" t="s">
        <v>23</v>
      </c>
      <c r="G782" t="str">
        <f>TRIM(Table1[[#This Row],[Region_Clean]])</f>
        <v>N. AMERICA</v>
      </c>
      <c r="H782" t="s">
        <v>24</v>
      </c>
      <c r="I782" t="s">
        <v>25</v>
      </c>
      <c r="J782" s="3">
        <v>2</v>
      </c>
      <c r="K782" s="3">
        <v>657.8</v>
      </c>
      <c r="L782">
        <v>725</v>
      </c>
      <c r="M782">
        <v>1450</v>
      </c>
      <c r="N782">
        <v>134.4</v>
      </c>
      <c r="O782">
        <v>1315.6</v>
      </c>
      <c r="P782" t="s">
        <v>26</v>
      </c>
      <c r="Q782" t="s">
        <v>35</v>
      </c>
      <c r="R782" t="s">
        <v>28</v>
      </c>
      <c r="S782" t="str">
        <f>TRIM(PROPER(_xlfn.XLOOKUP(Table1[[#This Row],[ProductID_Clean]],Table3[ProductID],Table3[Category],"Missing Value",0)))</f>
        <v>Sensors</v>
      </c>
      <c r="T782" t="str">
        <f>_xlfn.XLOOKUP(Table1[[#This Row],[CustomerID_Check]],Table2[CustomerID],Table2[CustomerType],"Missing Value",0)</f>
        <v>Key Account</v>
      </c>
    </row>
    <row r="783" spans="1:20">
      <c r="A783" t="s">
        <v>1032</v>
      </c>
      <c r="B783" s="1">
        <v>45786</v>
      </c>
      <c r="C783" t="s">
        <v>139</v>
      </c>
      <c r="D783" t="str">
        <f>UPPER(Table1[[#This Row],[ProductID_Clean]])</f>
        <v>P-SI-006</v>
      </c>
      <c r="E783" t="s">
        <v>43</v>
      </c>
      <c r="F783" t="s">
        <v>47</v>
      </c>
      <c r="G783" t="str">
        <f>TRIM(Table1[[#This Row],[Region_Clean]])</f>
        <v>EMEA</v>
      </c>
      <c r="H783" t="s">
        <v>24</v>
      </c>
      <c r="I783" t="s">
        <v>87</v>
      </c>
      <c r="J783" s="3">
        <v>2</v>
      </c>
      <c r="K783" s="3">
        <v>145.87</v>
      </c>
      <c r="L783">
        <v>215</v>
      </c>
      <c r="M783">
        <v>430</v>
      </c>
      <c r="N783">
        <v>138.26</v>
      </c>
      <c r="O783">
        <v>291.74</v>
      </c>
      <c r="P783" t="s">
        <v>26</v>
      </c>
      <c r="Q783" t="s">
        <v>27</v>
      </c>
      <c r="R783" t="s">
        <v>59</v>
      </c>
      <c r="S783" t="str">
        <f>TRIM(PROPER(_xlfn.XLOOKUP(Table1[[#This Row],[ProductID_Clean]],Table3[ProductID],Table3[Category],"Missing Value",0)))</f>
        <v>Sensors</v>
      </c>
      <c r="T783" t="str">
        <f>_xlfn.XLOOKUP(Table1[[#This Row],[CustomerID_Check]],Table2[CustomerID],Table2[CustomerType],"Missing Value",0)</f>
        <v>Key Account</v>
      </c>
    </row>
    <row r="784" spans="1:20">
      <c r="A784" t="s">
        <v>1033</v>
      </c>
      <c r="B784" s="1">
        <v>45673</v>
      </c>
      <c r="C784" t="s">
        <v>67</v>
      </c>
      <c r="D784" t="str">
        <f>UPPER(Table1[[#This Row],[ProductID_Clean]])</f>
        <v>P-SI-006</v>
      </c>
      <c r="E784" t="s">
        <v>43</v>
      </c>
      <c r="F784" t="s">
        <v>23</v>
      </c>
      <c r="G784" t="str">
        <f>TRIM(Table1[[#This Row],[Region_Clean]])</f>
        <v>N. AMERICA</v>
      </c>
      <c r="H784" t="s">
        <v>24</v>
      </c>
      <c r="I784" t="s">
        <v>34</v>
      </c>
      <c r="J784" s="3">
        <v>5</v>
      </c>
      <c r="K784" s="3">
        <v>162.77000000000001</v>
      </c>
      <c r="L784">
        <v>215</v>
      </c>
      <c r="M784">
        <v>1075</v>
      </c>
      <c r="N784">
        <v>261.14999999999998</v>
      </c>
      <c r="O784">
        <v>813.85</v>
      </c>
      <c r="P784" t="s">
        <v>26</v>
      </c>
      <c r="Q784" t="s">
        <v>40</v>
      </c>
      <c r="R784" t="s">
        <v>59</v>
      </c>
      <c r="S784" t="str">
        <f>TRIM(PROPER(_xlfn.XLOOKUP(Table1[[#This Row],[ProductID_Clean]],Table3[ProductID],Table3[Category],"Missing Value",0)))</f>
        <v>Sensors</v>
      </c>
      <c r="T784" t="str">
        <f>_xlfn.XLOOKUP(Table1[[#This Row],[CustomerID_Check]],Table2[CustomerID],Table2[CustomerType],"Missing Value",0)</f>
        <v>Strategic</v>
      </c>
    </row>
    <row r="785" spans="1:20">
      <c r="A785" t="s">
        <v>1034</v>
      </c>
      <c r="B785" s="1">
        <v>45693</v>
      </c>
      <c r="C785" t="s">
        <v>288</v>
      </c>
      <c r="D785" t="str">
        <f>UPPER(Table1[[#This Row],[ProductID_Clean]])</f>
        <v>P-SI-006</v>
      </c>
      <c r="E785" t="s">
        <v>43</v>
      </c>
      <c r="F785" t="s">
        <v>23</v>
      </c>
      <c r="G785" t="str">
        <f>TRIM(Table1[[#This Row],[Region_Clean]])</f>
        <v>N. AMERICA</v>
      </c>
      <c r="H785" t="s">
        <v>24</v>
      </c>
      <c r="I785" t="s">
        <v>87</v>
      </c>
      <c r="J785" s="3">
        <v>12</v>
      </c>
      <c r="K785" s="3">
        <v>164.28</v>
      </c>
      <c r="L785">
        <v>215</v>
      </c>
      <c r="M785">
        <v>2580</v>
      </c>
      <c r="N785">
        <v>608.64</v>
      </c>
      <c r="O785">
        <v>1971.36</v>
      </c>
      <c r="P785" t="s">
        <v>26</v>
      </c>
      <c r="Q785" t="s">
        <v>27</v>
      </c>
      <c r="R785" t="s">
        <v>59</v>
      </c>
      <c r="S785" t="str">
        <f>TRIM(PROPER(_xlfn.XLOOKUP(Table1[[#This Row],[ProductID_Clean]],Table3[ProductID],Table3[Category],"Missing Value",0)))</f>
        <v>Sensors</v>
      </c>
      <c r="T785" t="str">
        <f>_xlfn.XLOOKUP(Table1[[#This Row],[CustomerID_Check]],Table2[CustomerID],Table2[CustomerType],"Missing Value",0)</f>
        <v>Key Account</v>
      </c>
    </row>
    <row r="786" spans="1:20">
      <c r="A786" t="s">
        <v>1035</v>
      </c>
      <c r="B786" s="1">
        <v>45711</v>
      </c>
      <c r="C786" t="s">
        <v>112</v>
      </c>
      <c r="D786" t="str">
        <f>UPPER(Table1[[#This Row],[ProductID_Clean]])</f>
        <v>P-SI-008</v>
      </c>
      <c r="E786" t="s">
        <v>152</v>
      </c>
      <c r="F786" t="s">
        <v>58</v>
      </c>
      <c r="G786" t="str">
        <f>TRIM(Table1[[#This Row],[Region_Clean]])</f>
        <v>APAC</v>
      </c>
      <c r="H786" t="s">
        <v>24</v>
      </c>
      <c r="I786" t="s">
        <v>25</v>
      </c>
      <c r="J786" s="3">
        <v>1</v>
      </c>
      <c r="K786" s="3">
        <v>808.34</v>
      </c>
      <c r="L786">
        <v>950</v>
      </c>
      <c r="M786">
        <v>950</v>
      </c>
      <c r="N786">
        <v>141.66</v>
      </c>
      <c r="O786">
        <v>808.34</v>
      </c>
      <c r="P786" t="s">
        <v>26</v>
      </c>
      <c r="Q786" t="s">
        <v>40</v>
      </c>
      <c r="R786" t="s">
        <v>36</v>
      </c>
      <c r="S786" t="str">
        <f>TRIM(PROPER(_xlfn.XLOOKUP(Table1[[#This Row],[ProductID_Clean]],Table3[ProductID],Table3[Category],"Missing Value",0)))</f>
        <v>Instruments</v>
      </c>
      <c r="T786" t="str">
        <f>_xlfn.XLOOKUP(Table1[[#This Row],[CustomerID_Check]],Table2[CustomerID],Table2[CustomerType],"Missing Value",0)</f>
        <v>Key Account</v>
      </c>
    </row>
    <row r="787" spans="1:20">
      <c r="A787" t="s">
        <v>1036</v>
      </c>
      <c r="B787" s="1">
        <v>45741</v>
      </c>
      <c r="C787" t="s">
        <v>557</v>
      </c>
      <c r="D787" t="str">
        <f>UPPER(Table1[[#This Row],[ProductID_Clean]])</f>
        <v>P-SI-003</v>
      </c>
      <c r="E787" t="s">
        <v>39</v>
      </c>
      <c r="F787" t="s">
        <v>23</v>
      </c>
      <c r="G787" t="str">
        <f>TRIM(Table1[[#This Row],[Region_Clean]])</f>
        <v>N. AMERICA</v>
      </c>
      <c r="H787" t="s">
        <v>24</v>
      </c>
      <c r="I787" t="s">
        <v>87</v>
      </c>
      <c r="J787" s="3">
        <v>3</v>
      </c>
      <c r="K787" s="3">
        <v>1677.35</v>
      </c>
      <c r="L787">
        <v>1890</v>
      </c>
      <c r="M787">
        <v>5670</v>
      </c>
      <c r="N787">
        <v>637.95000000000005</v>
      </c>
      <c r="O787">
        <v>5032.05</v>
      </c>
      <c r="P787" t="s">
        <v>26</v>
      </c>
      <c r="Q787" t="s">
        <v>27</v>
      </c>
      <c r="R787" t="s">
        <v>36</v>
      </c>
      <c r="S787" t="str">
        <f>TRIM(PROPER(_xlfn.XLOOKUP(Table1[[#This Row],[ProductID_Clean]],Table3[ProductID],Table3[Category],"Missing Value",0)))</f>
        <v>Instruments</v>
      </c>
      <c r="T787" t="str">
        <f>_xlfn.XLOOKUP(Table1[[#This Row],[CustomerID_Check]],Table2[CustomerID],Table2[CustomerType],"Missing Value",0)</f>
        <v>Standard</v>
      </c>
    </row>
    <row r="788" spans="1:20">
      <c r="A788" t="s">
        <v>1037</v>
      </c>
      <c r="B788" s="1">
        <v>45780</v>
      </c>
      <c r="C788" t="s">
        <v>252</v>
      </c>
      <c r="D788" t="str">
        <f>UPPER(Table1[[#This Row],[ProductID_Clean]])</f>
        <v>P-SI-006</v>
      </c>
      <c r="E788" t="s">
        <v>43</v>
      </c>
      <c r="F788" t="s">
        <v>23</v>
      </c>
      <c r="G788" t="str">
        <f>TRIM(Table1[[#This Row],[Region_Clean]])</f>
        <v>N. AMERICA</v>
      </c>
      <c r="H788" t="s">
        <v>24</v>
      </c>
      <c r="I788" t="s">
        <v>87</v>
      </c>
      <c r="J788" s="3">
        <v>2</v>
      </c>
      <c r="K788" s="3">
        <v>148.16999999999999</v>
      </c>
      <c r="L788">
        <v>215</v>
      </c>
      <c r="M788">
        <v>430</v>
      </c>
      <c r="N788">
        <v>133.66</v>
      </c>
      <c r="O788">
        <v>296.33999999999997</v>
      </c>
      <c r="P788" t="s">
        <v>26</v>
      </c>
      <c r="Q788" t="s">
        <v>35</v>
      </c>
      <c r="R788" t="s">
        <v>44</v>
      </c>
      <c r="S788" t="str">
        <f>TRIM(PROPER(_xlfn.XLOOKUP(Table1[[#This Row],[ProductID_Clean]],Table3[ProductID],Table3[Category],"Missing Value",0)))</f>
        <v>Sensors</v>
      </c>
      <c r="T788" t="str">
        <f>_xlfn.XLOOKUP(Table1[[#This Row],[CustomerID_Check]],Table2[CustomerID],Table2[CustomerType],"Missing Value",0)</f>
        <v>Strategic</v>
      </c>
    </row>
    <row r="789" spans="1:20">
      <c r="A789" t="s">
        <v>1038</v>
      </c>
      <c r="B789" s="1">
        <v>45754</v>
      </c>
      <c r="C789" t="s">
        <v>30</v>
      </c>
      <c r="D789" t="str">
        <f>UPPER(Table1[[#This Row],[ProductID_Clean]])</f>
        <v>P-SI-002</v>
      </c>
      <c r="E789" t="s">
        <v>31</v>
      </c>
      <c r="F789" t="s">
        <v>32</v>
      </c>
      <c r="G789" t="str">
        <f>TRIM(Table1[[#This Row],[Region_Clean]])</f>
        <v>LATIN AMERICA</v>
      </c>
      <c r="H789" t="s">
        <v>24</v>
      </c>
      <c r="I789" t="s">
        <v>40</v>
      </c>
      <c r="J789" s="3">
        <v>4</v>
      </c>
      <c r="K789" s="3">
        <v>554.95000000000005</v>
      </c>
      <c r="L789">
        <v>725</v>
      </c>
      <c r="M789">
        <v>2900</v>
      </c>
      <c r="N789">
        <v>680.2</v>
      </c>
      <c r="O789">
        <v>2219.8000000000002</v>
      </c>
      <c r="P789" t="s">
        <v>26</v>
      </c>
      <c r="Q789" t="s">
        <v>35</v>
      </c>
      <c r="R789" t="s">
        <v>36</v>
      </c>
      <c r="S789" t="str">
        <f>TRIM(PROPER(_xlfn.XLOOKUP(Table1[[#This Row],[ProductID_Clean]],Table3[ProductID],Table3[Category],"Missing Value",0)))</f>
        <v>Sensors</v>
      </c>
      <c r="T789" t="str">
        <f>_xlfn.XLOOKUP(Table1[[#This Row],[CustomerID_Check]],Table2[CustomerID],Table2[CustomerType],"Missing Value",0)</f>
        <v>Strategic</v>
      </c>
    </row>
    <row r="790" spans="1:20">
      <c r="A790" t="s">
        <v>1039</v>
      </c>
      <c r="B790" s="1">
        <v>45702</v>
      </c>
      <c r="C790" t="s">
        <v>143</v>
      </c>
      <c r="D790" t="str">
        <f>UPPER(Table1[[#This Row],[ProductID_Clean]])</f>
        <v>P-SA-001</v>
      </c>
      <c r="E790" t="s">
        <v>68</v>
      </c>
      <c r="F790" t="s">
        <v>23</v>
      </c>
      <c r="G790" t="str">
        <f>TRIM(Table1[[#This Row],[Region_Clean]])</f>
        <v>N. AMERICA</v>
      </c>
      <c r="H790" t="s">
        <v>53</v>
      </c>
      <c r="I790" t="s">
        <v>87</v>
      </c>
      <c r="J790" s="3">
        <v>1</v>
      </c>
      <c r="K790" s="3">
        <v>2881.59</v>
      </c>
      <c r="L790">
        <v>4200</v>
      </c>
      <c r="M790">
        <v>4200</v>
      </c>
      <c r="N790">
        <v>1318.41</v>
      </c>
      <c r="O790">
        <v>2881.59</v>
      </c>
      <c r="P790" t="s">
        <v>26</v>
      </c>
      <c r="Q790" t="s">
        <v>189</v>
      </c>
      <c r="R790" t="s">
        <v>28</v>
      </c>
      <c r="S790" t="str">
        <f>TRIM(PROPER(_xlfn.XLOOKUP(Table1[[#This Row],[ProductID_Clean]],Table3[ProductID],Table3[Category],"Missing Value",0)))</f>
        <v>Software</v>
      </c>
      <c r="T790" t="str">
        <f>_xlfn.XLOOKUP(Table1[[#This Row],[CustomerID_Check]],Table2[CustomerID],Table2[CustomerType],"Missing Value",0)</f>
        <v>Strategic</v>
      </c>
    </row>
    <row r="791" spans="1:20">
      <c r="A791" t="s">
        <v>1040</v>
      </c>
      <c r="B791" s="1">
        <v>45794</v>
      </c>
      <c r="C791" t="s">
        <v>339</v>
      </c>
      <c r="D791" t="str">
        <f>UPPER(Table1[[#This Row],[ProductID_Clean]])</f>
        <v>P-FS-005</v>
      </c>
      <c r="E791" t="s">
        <v>101</v>
      </c>
      <c r="F791" t="s">
        <v>47</v>
      </c>
      <c r="G791" t="str">
        <f>TRIM(Table1[[#This Row],[Region_Clean]])</f>
        <v>EMEA</v>
      </c>
      <c r="H791" t="s">
        <v>82</v>
      </c>
      <c r="I791" t="s">
        <v>87</v>
      </c>
      <c r="J791" s="3">
        <v>1</v>
      </c>
      <c r="K791" s="3">
        <v>664.16</v>
      </c>
      <c r="L791">
        <v>950</v>
      </c>
      <c r="M791">
        <v>950</v>
      </c>
      <c r="N791">
        <v>285.83999999999997</v>
      </c>
      <c r="O791">
        <v>664.16</v>
      </c>
      <c r="P791" t="s">
        <v>26</v>
      </c>
      <c r="Q791" t="s">
        <v>35</v>
      </c>
      <c r="R791" t="s">
        <v>48</v>
      </c>
      <c r="S791" t="str">
        <f>TRIM(PROPER(_xlfn.XLOOKUP(Table1[[#This Row],[ProductID_Clean]],Table3[ProductID],Table3[Category],"Missing Value",0)))</f>
        <v>Services</v>
      </c>
      <c r="T791" t="str">
        <f>_xlfn.XLOOKUP(Table1[[#This Row],[CustomerID_Check]],Table2[CustomerID],Table2[CustomerType],"Missing Value",0)</f>
        <v>Key Account</v>
      </c>
    </row>
    <row r="792" spans="1:20">
      <c r="A792" t="s">
        <v>1041</v>
      </c>
      <c r="B792" s="1">
        <v>45797</v>
      </c>
      <c r="C792" t="s">
        <v>792</v>
      </c>
      <c r="D792" t="str">
        <f>UPPER(Table1[[#This Row],[ProductID_Clean]])</f>
        <v>P-SI-006</v>
      </c>
      <c r="E792" t="s">
        <v>43</v>
      </c>
      <c r="F792" t="s">
        <v>47</v>
      </c>
      <c r="G792" t="str">
        <f>TRIM(Table1[[#This Row],[Region_Clean]])</f>
        <v>EMEA</v>
      </c>
      <c r="H792" t="s">
        <v>24</v>
      </c>
      <c r="I792" t="s">
        <v>25</v>
      </c>
      <c r="J792" s="3">
        <v>2</v>
      </c>
      <c r="K792" s="3">
        <v>182.17</v>
      </c>
      <c r="L792">
        <v>215</v>
      </c>
      <c r="M792">
        <v>430</v>
      </c>
      <c r="N792">
        <v>65.66</v>
      </c>
      <c r="O792">
        <v>364.34</v>
      </c>
      <c r="P792" t="s">
        <v>26</v>
      </c>
      <c r="Q792" t="s">
        <v>35</v>
      </c>
      <c r="R792" t="s">
        <v>36</v>
      </c>
      <c r="S792" t="str">
        <f>TRIM(PROPER(_xlfn.XLOOKUP(Table1[[#This Row],[ProductID_Clean]],Table3[ProductID],Table3[Category],"Missing Value",0)))</f>
        <v>Sensors</v>
      </c>
      <c r="T792" t="str">
        <f>_xlfn.XLOOKUP(Table1[[#This Row],[CustomerID_Check]],Table2[CustomerID],Table2[CustomerType],"Missing Value",0)</f>
        <v>Standard</v>
      </c>
    </row>
    <row r="793" spans="1:20">
      <c r="A793" t="s">
        <v>1042</v>
      </c>
      <c r="B793" s="1">
        <v>45831</v>
      </c>
      <c r="C793" t="s">
        <v>702</v>
      </c>
      <c r="D793" t="str">
        <f>UPPER(Table1[[#This Row],[ProductID_Clean]])</f>
        <v>P-SA-003</v>
      </c>
      <c r="E793" t="s">
        <v>51</v>
      </c>
      <c r="F793" t="s">
        <v>32</v>
      </c>
      <c r="G793" t="str">
        <f>TRIM(Table1[[#This Row],[Region_Clean]])</f>
        <v>LATIN AMERICA</v>
      </c>
      <c r="H793" t="s">
        <v>53</v>
      </c>
      <c r="I793" t="s">
        <v>25</v>
      </c>
      <c r="J793" s="3">
        <v>1</v>
      </c>
      <c r="K793" s="3">
        <v>2482.1</v>
      </c>
      <c r="L793">
        <v>2750</v>
      </c>
      <c r="M793">
        <v>2750</v>
      </c>
      <c r="N793">
        <v>267.89999999999998</v>
      </c>
      <c r="O793">
        <v>2482.1</v>
      </c>
      <c r="P793" t="s">
        <v>26</v>
      </c>
      <c r="Q793" t="s">
        <v>54</v>
      </c>
      <c r="R793" t="s">
        <v>36</v>
      </c>
      <c r="S793" t="str">
        <f>TRIM(PROPER(_xlfn.XLOOKUP(Table1[[#This Row],[ProductID_Clean]],Table3[ProductID],Table3[Category],"Missing Value",0)))</f>
        <v>Software</v>
      </c>
      <c r="T793" t="str">
        <f>_xlfn.XLOOKUP(Table1[[#This Row],[CustomerID_Check]],Table2[CustomerID],Table2[CustomerType],"Missing Value",0)</f>
        <v>Emerging</v>
      </c>
    </row>
    <row r="794" spans="1:20">
      <c r="A794" t="s">
        <v>1043</v>
      </c>
      <c r="B794" s="1">
        <v>45832</v>
      </c>
      <c r="C794" t="s">
        <v>559</v>
      </c>
      <c r="D794" t="str">
        <f>UPPER(Table1[[#This Row],[ProductID_Clean]])</f>
        <v>P-FS-006</v>
      </c>
      <c r="E794" t="s">
        <v>92</v>
      </c>
      <c r="F794" t="s">
        <v>58</v>
      </c>
      <c r="G794" t="str">
        <f>TRIM(Table1[[#This Row],[Region_Clean]])</f>
        <v>APAC</v>
      </c>
      <c r="H794" t="s">
        <v>82</v>
      </c>
      <c r="I794" t="s">
        <v>40</v>
      </c>
      <c r="J794" s="3">
        <v>1</v>
      </c>
      <c r="K794" s="3">
        <v>1331.13</v>
      </c>
      <c r="L794">
        <v>1450</v>
      </c>
      <c r="M794">
        <v>1450</v>
      </c>
      <c r="N794">
        <v>118.87</v>
      </c>
      <c r="O794">
        <v>1331.13</v>
      </c>
      <c r="P794" t="s">
        <v>126</v>
      </c>
      <c r="Q794" t="s">
        <v>65</v>
      </c>
      <c r="R794" t="s">
        <v>36</v>
      </c>
      <c r="S794" t="str">
        <f>TRIM(PROPER(_xlfn.XLOOKUP(Table1[[#This Row],[ProductID_Clean]],Table3[ProductID],Table3[Category],"Missing Value",0)))</f>
        <v>Services</v>
      </c>
      <c r="T794" t="str">
        <f>_xlfn.XLOOKUP(Table1[[#This Row],[CustomerID_Check]],Table2[CustomerID],Table2[CustomerType],"Missing Value",0)</f>
        <v>Standard</v>
      </c>
    </row>
    <row r="795" spans="1:20">
      <c r="A795" t="s">
        <v>1044</v>
      </c>
      <c r="B795" s="1">
        <v>45835</v>
      </c>
      <c r="C795" t="s">
        <v>61</v>
      </c>
      <c r="D795" t="str">
        <f>UPPER(Table1[[#This Row],[ProductID_Clean]])</f>
        <v>P-SI-006</v>
      </c>
      <c r="E795" t="s">
        <v>43</v>
      </c>
      <c r="F795" t="s">
        <v>47</v>
      </c>
      <c r="G795" t="str">
        <f>TRIM(Table1[[#This Row],[Region_Clean]])</f>
        <v>EMEA</v>
      </c>
      <c r="H795" t="s">
        <v>24</v>
      </c>
      <c r="I795" t="s">
        <v>25</v>
      </c>
      <c r="J795" s="3">
        <v>1</v>
      </c>
      <c r="K795" s="3">
        <v>166.03</v>
      </c>
      <c r="L795">
        <v>215</v>
      </c>
      <c r="M795">
        <v>215</v>
      </c>
      <c r="N795">
        <v>48.97</v>
      </c>
      <c r="O795">
        <v>166.03</v>
      </c>
      <c r="P795" t="s">
        <v>26</v>
      </c>
      <c r="Q795" t="s">
        <v>27</v>
      </c>
      <c r="R795" t="s">
        <v>48</v>
      </c>
      <c r="S795" t="str">
        <f>TRIM(PROPER(_xlfn.XLOOKUP(Table1[[#This Row],[ProductID_Clean]],Table3[ProductID],Table3[Category],"Missing Value",0)))</f>
        <v>Sensors</v>
      </c>
      <c r="T795" t="str">
        <f>_xlfn.XLOOKUP(Table1[[#This Row],[CustomerID_Check]],Table2[CustomerID],Table2[CustomerType],"Missing Value",0)</f>
        <v>Strategic</v>
      </c>
    </row>
    <row r="796" spans="1:20">
      <c r="A796" t="s">
        <v>1045</v>
      </c>
      <c r="B796" s="1">
        <v>45707</v>
      </c>
      <c r="C796" t="s">
        <v>288</v>
      </c>
      <c r="D796" t="str">
        <f>UPPER(Table1[[#This Row],[ProductID_Clean]])</f>
        <v>P-SA-002</v>
      </c>
      <c r="E796" t="s">
        <v>147</v>
      </c>
      <c r="F796" t="s">
        <v>23</v>
      </c>
      <c r="G796" t="str">
        <f>TRIM(Table1[[#This Row],[Region_Clean]])</f>
        <v>N. AMERICA</v>
      </c>
      <c r="H796" t="s">
        <v>53</v>
      </c>
      <c r="I796" t="s">
        <v>25</v>
      </c>
      <c r="J796" s="3">
        <v>1</v>
      </c>
      <c r="K796" s="3">
        <v>8565.27</v>
      </c>
      <c r="L796">
        <v>9800</v>
      </c>
      <c r="M796">
        <v>9800</v>
      </c>
      <c r="N796">
        <v>1234.73</v>
      </c>
      <c r="O796">
        <v>8565.27</v>
      </c>
      <c r="P796" t="s">
        <v>26</v>
      </c>
      <c r="Q796" t="s">
        <v>189</v>
      </c>
      <c r="R796" t="s">
        <v>59</v>
      </c>
      <c r="S796" t="str">
        <f>TRIM(PROPER(_xlfn.XLOOKUP(Table1[[#This Row],[ProductID_Clean]],Table3[ProductID],Table3[Category],"Missing Value",0)))</f>
        <v>Software</v>
      </c>
      <c r="T796" t="str">
        <f>_xlfn.XLOOKUP(Table1[[#This Row],[CustomerID_Check]],Table2[CustomerID],Table2[CustomerType],"Missing Value",0)</f>
        <v>Key Account</v>
      </c>
    </row>
    <row r="797" spans="1:20">
      <c r="A797" t="s">
        <v>1046</v>
      </c>
      <c r="B797" s="1">
        <v>45729</v>
      </c>
      <c r="C797" t="s">
        <v>227</v>
      </c>
      <c r="D797" t="str">
        <f>UPPER(Table1[[#This Row],[ProductID_Clean]])</f>
        <v>P-SI-006</v>
      </c>
      <c r="E797" t="s">
        <v>43</v>
      </c>
      <c r="F797" t="s">
        <v>23</v>
      </c>
      <c r="G797" t="str">
        <f>TRIM(Table1[[#This Row],[Region_Clean]])</f>
        <v>N. AMERICA</v>
      </c>
      <c r="H797" t="s">
        <v>24</v>
      </c>
      <c r="I797" t="s">
        <v>184</v>
      </c>
      <c r="J797" s="3">
        <v>12</v>
      </c>
      <c r="K797" s="3">
        <v>174.02</v>
      </c>
      <c r="L797">
        <v>215</v>
      </c>
      <c r="M797">
        <v>2580</v>
      </c>
      <c r="N797">
        <v>491.76</v>
      </c>
      <c r="O797">
        <v>2088.2399999999998</v>
      </c>
      <c r="P797" t="s">
        <v>113</v>
      </c>
      <c r="Q797" t="s">
        <v>65</v>
      </c>
      <c r="R797" t="s">
        <v>36</v>
      </c>
      <c r="S797" t="str">
        <f>TRIM(PROPER(_xlfn.XLOOKUP(Table1[[#This Row],[ProductID_Clean]],Table3[ProductID],Table3[Category],"Missing Value",0)))</f>
        <v>Sensors</v>
      </c>
      <c r="T797" t="str">
        <f>_xlfn.XLOOKUP(Table1[[#This Row],[CustomerID_Check]],Table2[CustomerID],Table2[CustomerType],"Missing Value",0)</f>
        <v>Standard</v>
      </c>
    </row>
    <row r="798" spans="1:20">
      <c r="A798" t="s">
        <v>1047</v>
      </c>
      <c r="B798" s="1">
        <v>45734</v>
      </c>
      <c r="C798" t="s">
        <v>274</v>
      </c>
      <c r="D798" t="str">
        <f>UPPER(Table1[[#This Row],[ProductID_Clean]])</f>
        <v>P-SA-005</v>
      </c>
      <c r="E798" t="s">
        <v>62</v>
      </c>
      <c r="F798" t="s">
        <v>32</v>
      </c>
      <c r="G798" t="str">
        <f>TRIM(Table1[[#This Row],[Region_Clean]])</f>
        <v>LATIN AMERICA</v>
      </c>
      <c r="H798" t="s">
        <v>53</v>
      </c>
      <c r="I798" t="s">
        <v>25</v>
      </c>
      <c r="J798" s="3">
        <v>5</v>
      </c>
      <c r="K798" s="3">
        <v>2947.07</v>
      </c>
      <c r="L798">
        <v>3200</v>
      </c>
      <c r="M798">
        <v>16000</v>
      </c>
      <c r="N798">
        <v>1264.6500000000001</v>
      </c>
      <c r="O798">
        <v>14735.35</v>
      </c>
      <c r="P798" t="s">
        <v>26</v>
      </c>
      <c r="Q798" t="s">
        <v>54</v>
      </c>
      <c r="R798" t="s">
        <v>59</v>
      </c>
      <c r="S798" t="str">
        <f>TRIM(PROPER(_xlfn.XLOOKUP(Table1[[#This Row],[ProductID_Clean]],Table3[ProductID],Table3[Category],"Missing Value",0)))</f>
        <v>Software / Integration</v>
      </c>
      <c r="T798" t="str">
        <f>_xlfn.XLOOKUP(Table1[[#This Row],[CustomerID_Check]],Table2[CustomerID],Table2[CustomerType],"Missing Value",0)</f>
        <v>Emerging</v>
      </c>
    </row>
    <row r="799" spans="1:20">
      <c r="A799" t="s">
        <v>1048</v>
      </c>
      <c r="B799" s="1">
        <v>45734</v>
      </c>
      <c r="C799" t="s">
        <v>316</v>
      </c>
      <c r="D799" t="str">
        <f>UPPER(Table1[[#This Row],[ProductID_Clean]])</f>
        <v>P-SI-006</v>
      </c>
      <c r="E799" t="s">
        <v>43</v>
      </c>
      <c r="F799" t="s">
        <v>32</v>
      </c>
      <c r="G799" t="str">
        <f>TRIM(Table1[[#This Row],[Region_Clean]])</f>
        <v>LATIN AMERICA</v>
      </c>
      <c r="H799" t="s">
        <v>24</v>
      </c>
      <c r="I799" t="s">
        <v>87</v>
      </c>
      <c r="J799" s="3">
        <v>1</v>
      </c>
      <c r="K799" s="3">
        <v>147.11000000000001</v>
      </c>
      <c r="L799">
        <v>215</v>
      </c>
      <c r="M799">
        <v>215</v>
      </c>
      <c r="N799">
        <v>67.89</v>
      </c>
      <c r="O799">
        <v>147.11000000000001</v>
      </c>
      <c r="P799" t="s">
        <v>26</v>
      </c>
      <c r="Q799" t="s">
        <v>35</v>
      </c>
      <c r="R799" t="s">
        <v>48</v>
      </c>
      <c r="S799" t="str">
        <f>TRIM(PROPER(_xlfn.XLOOKUP(Table1[[#This Row],[ProductID_Clean]],Table3[ProductID],Table3[Category],"Missing Value",0)))</f>
        <v>Sensors</v>
      </c>
      <c r="T799" t="str">
        <f>_xlfn.XLOOKUP(Table1[[#This Row],[CustomerID_Check]],Table2[CustomerID],Table2[CustomerType],"Missing Value",0)</f>
        <v>Key Account</v>
      </c>
    </row>
    <row r="800" spans="1:20">
      <c r="A800" t="s">
        <v>1049</v>
      </c>
      <c r="B800" s="1">
        <v>45838</v>
      </c>
      <c r="C800" t="s">
        <v>121</v>
      </c>
      <c r="D800" t="str">
        <f>UPPER(Table1[[#This Row],[ProductID_Clean]])</f>
        <v>P-FS-003</v>
      </c>
      <c r="E800" t="s">
        <v>216</v>
      </c>
      <c r="F800" t="s">
        <v>58</v>
      </c>
      <c r="G800" t="str">
        <f>TRIM(Table1[[#This Row],[Region_Clean]])</f>
        <v>APAC</v>
      </c>
      <c r="H800" t="s">
        <v>82</v>
      </c>
      <c r="I800" t="s">
        <v>25</v>
      </c>
      <c r="J800" s="3">
        <v>1</v>
      </c>
      <c r="K800" s="3">
        <v>3336.41</v>
      </c>
      <c r="L800">
        <v>4100</v>
      </c>
      <c r="M800">
        <v>4100</v>
      </c>
      <c r="N800">
        <v>763.59</v>
      </c>
      <c r="O800">
        <v>3336.41</v>
      </c>
      <c r="P800" t="s">
        <v>26</v>
      </c>
      <c r="Q800" t="s">
        <v>94</v>
      </c>
      <c r="R800" t="s">
        <v>36</v>
      </c>
      <c r="S800" t="str">
        <f>TRIM(PROPER(_xlfn.XLOOKUP(Table1[[#This Row],[ProductID_Clean]],Table3[ProductID],Table3[Category],"Missing Value",0)))</f>
        <v>Services</v>
      </c>
      <c r="T800" t="str">
        <f>_xlfn.XLOOKUP(Table1[[#This Row],[CustomerID_Check]],Table2[CustomerID],Table2[CustomerType],"Missing Value",0)</f>
        <v>Key Account</v>
      </c>
    </row>
    <row r="801" spans="1:20">
      <c r="A801" t="s">
        <v>1050</v>
      </c>
      <c r="B801" s="1">
        <v>45783</v>
      </c>
      <c r="C801" t="s">
        <v>557</v>
      </c>
      <c r="D801" t="str">
        <f>UPPER(Table1[[#This Row],[ProductID_Clean]])</f>
        <v>P-SI-006</v>
      </c>
      <c r="E801" t="s">
        <v>43</v>
      </c>
      <c r="F801" t="s">
        <v>23</v>
      </c>
      <c r="G801" t="str">
        <f>TRIM(Table1[[#This Row],[Region_Clean]])</f>
        <v>N. AMERICA</v>
      </c>
      <c r="H801" t="s">
        <v>24</v>
      </c>
      <c r="I801" t="s">
        <v>34</v>
      </c>
      <c r="J801" s="3">
        <v>10</v>
      </c>
      <c r="K801" s="3">
        <v>179.6</v>
      </c>
      <c r="L801">
        <v>215</v>
      </c>
      <c r="M801">
        <v>2150</v>
      </c>
      <c r="N801">
        <v>354</v>
      </c>
      <c r="O801">
        <v>1796</v>
      </c>
      <c r="P801" t="s">
        <v>26</v>
      </c>
      <c r="Q801" t="s">
        <v>35</v>
      </c>
      <c r="R801" t="s">
        <v>36</v>
      </c>
      <c r="S801" t="str">
        <f>TRIM(PROPER(_xlfn.XLOOKUP(Table1[[#This Row],[ProductID_Clean]],Table3[ProductID],Table3[Category],"Missing Value",0)))</f>
        <v>Sensors</v>
      </c>
      <c r="T801" t="str">
        <f>_xlfn.XLOOKUP(Table1[[#This Row],[CustomerID_Check]],Table2[CustomerID],Table2[CustomerType],"Missing Value",0)</f>
        <v>Standard</v>
      </c>
    </row>
    <row r="802" spans="1:20">
      <c r="A802" t="s">
        <v>1051</v>
      </c>
      <c r="B802" s="1">
        <v>45780</v>
      </c>
      <c r="C802" t="s">
        <v>188</v>
      </c>
      <c r="D802" t="str">
        <f>UPPER(Table1[[#This Row],[ProductID_Clean]])</f>
        <v>P-SI-004</v>
      </c>
      <c r="E802" t="s">
        <v>22</v>
      </c>
      <c r="F802" t="s">
        <v>58</v>
      </c>
      <c r="G802" t="str">
        <f>TRIM(Table1[[#This Row],[Region_Clean]])</f>
        <v>APAC</v>
      </c>
      <c r="H802" t="s">
        <v>24</v>
      </c>
      <c r="I802" t="s">
        <v>87</v>
      </c>
      <c r="J802" s="3">
        <v>15</v>
      </c>
      <c r="K802" s="3">
        <v>2064.5</v>
      </c>
      <c r="L802">
        <v>2450</v>
      </c>
      <c r="M802">
        <v>36750</v>
      </c>
      <c r="N802">
        <v>5782.5</v>
      </c>
      <c r="O802">
        <v>30967.5</v>
      </c>
      <c r="P802" t="s">
        <v>26</v>
      </c>
      <c r="Q802" t="s">
        <v>35</v>
      </c>
      <c r="R802" t="s">
        <v>44</v>
      </c>
      <c r="S802" t="str">
        <f>TRIM(PROPER(_xlfn.XLOOKUP(Table1[[#This Row],[ProductID_Clean]],Table3[ProductID],Table3[Category],"Missing Value",0)))</f>
        <v>Instruments</v>
      </c>
      <c r="T802" t="str">
        <f>_xlfn.XLOOKUP(Table1[[#This Row],[CustomerID_Check]],Table2[CustomerID],Table2[CustomerType],"Missing Value",0)</f>
        <v>Key Account</v>
      </c>
    </row>
    <row r="803" spans="1:20">
      <c r="A803" t="s">
        <v>1052</v>
      </c>
      <c r="B803" s="1">
        <v>45801</v>
      </c>
      <c r="C803" t="s">
        <v>225</v>
      </c>
      <c r="D803" t="str">
        <f>UPPER(Table1[[#This Row],[ProductID_Clean]])</f>
        <v>P-SA-002</v>
      </c>
      <c r="E803" t="s">
        <v>147</v>
      </c>
      <c r="F803" t="s">
        <v>23</v>
      </c>
      <c r="G803" t="str">
        <f>TRIM(Table1[[#This Row],[Region_Clean]])</f>
        <v>N. AMERICA</v>
      </c>
      <c r="H803" t="s">
        <v>53</v>
      </c>
      <c r="I803" t="s">
        <v>25</v>
      </c>
      <c r="J803" s="3">
        <v>1</v>
      </c>
      <c r="K803" s="3">
        <v>9161.15</v>
      </c>
      <c r="L803">
        <v>9800</v>
      </c>
      <c r="M803">
        <v>9800</v>
      </c>
      <c r="N803">
        <v>638.85</v>
      </c>
      <c r="O803">
        <v>9161.15</v>
      </c>
      <c r="P803" t="s">
        <v>26</v>
      </c>
      <c r="Q803" t="s">
        <v>88</v>
      </c>
      <c r="R803" t="s">
        <v>36</v>
      </c>
      <c r="S803" t="str">
        <f>TRIM(PROPER(_xlfn.XLOOKUP(Table1[[#This Row],[ProductID_Clean]],Table3[ProductID],Table3[Category],"Missing Value",0)))</f>
        <v>Software</v>
      </c>
      <c r="T803" t="str">
        <f>_xlfn.XLOOKUP(Table1[[#This Row],[CustomerID_Check]],Table2[CustomerID],Table2[CustomerType],"Missing Value",0)</f>
        <v>Key Account</v>
      </c>
    </row>
    <row r="804" spans="1:20">
      <c r="A804" t="s">
        <v>1053</v>
      </c>
      <c r="B804" s="1">
        <v>45728</v>
      </c>
      <c r="C804" t="s">
        <v>112</v>
      </c>
      <c r="D804" t="str">
        <f>UPPER(Table1[[#This Row],[ProductID_Clean]])</f>
        <v>P-SI-006</v>
      </c>
      <c r="E804" t="s">
        <v>43</v>
      </c>
      <c r="F804" t="s">
        <v>58</v>
      </c>
      <c r="G804" t="str">
        <f>TRIM(Table1[[#This Row],[Region_Clean]])</f>
        <v>APAC</v>
      </c>
      <c r="H804" t="s">
        <v>24</v>
      </c>
      <c r="I804" t="s">
        <v>25</v>
      </c>
      <c r="J804" s="3">
        <v>2</v>
      </c>
      <c r="K804" s="3">
        <v>182.45</v>
      </c>
      <c r="L804">
        <v>215</v>
      </c>
      <c r="M804">
        <v>430</v>
      </c>
      <c r="N804">
        <v>65.099999999999994</v>
      </c>
      <c r="O804">
        <v>364.9</v>
      </c>
      <c r="P804" t="s">
        <v>26</v>
      </c>
      <c r="Q804" t="s">
        <v>27</v>
      </c>
      <c r="R804" t="s">
        <v>36</v>
      </c>
      <c r="S804" t="str">
        <f>TRIM(PROPER(_xlfn.XLOOKUP(Table1[[#This Row],[ProductID_Clean]],Table3[ProductID],Table3[Category],"Missing Value",0)))</f>
        <v>Sensors</v>
      </c>
      <c r="T804" t="str">
        <f>_xlfn.XLOOKUP(Table1[[#This Row],[CustomerID_Check]],Table2[CustomerID],Table2[CustomerType],"Missing Value",0)</f>
        <v>Key Account</v>
      </c>
    </row>
    <row r="805" spans="1:20">
      <c r="A805" t="s">
        <v>1054</v>
      </c>
      <c r="B805" s="1">
        <v>45689</v>
      </c>
      <c r="C805" t="s">
        <v>268</v>
      </c>
      <c r="D805" t="str">
        <f>UPPER(Table1[[#This Row],[ProductID_Clean]])</f>
        <v>P-FS-002</v>
      </c>
      <c r="E805" t="s">
        <v>81</v>
      </c>
      <c r="F805" t="s">
        <v>23</v>
      </c>
      <c r="G805" t="str">
        <f>TRIM(Table1[[#This Row],[Region_Clean]])</f>
        <v>N. AMERICA</v>
      </c>
      <c r="H805" t="s">
        <v>82</v>
      </c>
      <c r="I805" t="s">
        <v>87</v>
      </c>
      <c r="J805" s="3">
        <v>1</v>
      </c>
      <c r="K805" s="3">
        <v>2067.44</v>
      </c>
      <c r="L805">
        <v>2400</v>
      </c>
      <c r="M805">
        <v>2400</v>
      </c>
      <c r="N805">
        <v>332.56</v>
      </c>
      <c r="O805">
        <v>2067.44</v>
      </c>
      <c r="P805" t="s">
        <v>113</v>
      </c>
      <c r="Q805" t="s">
        <v>94</v>
      </c>
      <c r="R805" t="s">
        <v>48</v>
      </c>
      <c r="S805" t="str">
        <f>TRIM(PROPER(_xlfn.XLOOKUP(Table1[[#This Row],[ProductID_Clean]],Table3[ProductID],Table3[Category],"Missing Value",0)))</f>
        <v>Services</v>
      </c>
      <c r="T805" t="str">
        <f>_xlfn.XLOOKUP(Table1[[#This Row],[CustomerID_Check]],Table2[CustomerID],Table2[CustomerType],"Missing Value",0)</f>
        <v>Standard</v>
      </c>
    </row>
    <row r="806" spans="1:20">
      <c r="A806" t="s">
        <v>1055</v>
      </c>
      <c r="B806" s="1">
        <v>45831</v>
      </c>
      <c r="C806" t="s">
        <v>314</v>
      </c>
      <c r="D806" t="str">
        <f>UPPER(Table1[[#This Row],[ProductID_Clean]])</f>
        <v>P-FS-002</v>
      </c>
      <c r="E806" t="s">
        <v>81</v>
      </c>
      <c r="F806" t="s">
        <v>23</v>
      </c>
      <c r="G806" t="str">
        <f>TRIM(Table1[[#This Row],[Region_Clean]])</f>
        <v>N. AMERICA</v>
      </c>
      <c r="H806" t="s">
        <v>82</v>
      </c>
      <c r="I806" t="s">
        <v>87</v>
      </c>
      <c r="J806" s="3">
        <v>1</v>
      </c>
      <c r="K806" s="3">
        <v>1879.76</v>
      </c>
      <c r="L806">
        <v>2400</v>
      </c>
      <c r="M806">
        <v>2400</v>
      </c>
      <c r="N806">
        <v>520.24</v>
      </c>
      <c r="O806">
        <v>1879.76</v>
      </c>
      <c r="P806" t="s">
        <v>26</v>
      </c>
      <c r="Q806" t="s">
        <v>94</v>
      </c>
      <c r="R806" t="s">
        <v>44</v>
      </c>
      <c r="S806" t="str">
        <f>TRIM(PROPER(_xlfn.XLOOKUP(Table1[[#This Row],[ProductID_Clean]],Table3[ProductID],Table3[Category],"Missing Value",0)))</f>
        <v>Services</v>
      </c>
      <c r="T806" t="str">
        <f>_xlfn.XLOOKUP(Table1[[#This Row],[CustomerID_Check]],Table2[CustomerID],Table2[CustomerType],"Missing Value",0)</f>
        <v>Key Account</v>
      </c>
    </row>
    <row r="807" spans="1:20">
      <c r="A807" t="s">
        <v>1056</v>
      </c>
      <c r="B807" s="1">
        <v>45755</v>
      </c>
      <c r="C807" t="s">
        <v>235</v>
      </c>
      <c r="D807" t="str">
        <f>UPPER(Table1[[#This Row],[ProductID_Clean]])</f>
        <v>P-SI-006</v>
      </c>
      <c r="E807" t="s">
        <v>43</v>
      </c>
      <c r="F807" t="s">
        <v>47</v>
      </c>
      <c r="G807" t="str">
        <f>TRIM(Table1[[#This Row],[Region_Clean]])</f>
        <v>EMEA</v>
      </c>
      <c r="H807" t="s">
        <v>24</v>
      </c>
      <c r="I807" t="s">
        <v>98</v>
      </c>
      <c r="J807" s="3">
        <v>1</v>
      </c>
      <c r="K807" s="3">
        <v>167.8</v>
      </c>
      <c r="L807">
        <v>215</v>
      </c>
      <c r="M807">
        <v>215</v>
      </c>
      <c r="N807">
        <v>47.2</v>
      </c>
      <c r="O807">
        <v>167.8</v>
      </c>
      <c r="P807" t="s">
        <v>26</v>
      </c>
      <c r="Q807" t="s">
        <v>35</v>
      </c>
      <c r="R807" t="s">
        <v>44</v>
      </c>
      <c r="S807" t="str">
        <f>TRIM(PROPER(_xlfn.XLOOKUP(Table1[[#This Row],[ProductID_Clean]],Table3[ProductID],Table3[Category],"Missing Value",0)))</f>
        <v>Sensors</v>
      </c>
      <c r="T807" t="str">
        <f>_xlfn.XLOOKUP(Table1[[#This Row],[CustomerID_Check]],Table2[CustomerID],Table2[CustomerType],"Missing Value",0)</f>
        <v>Key Account</v>
      </c>
    </row>
    <row r="808" spans="1:20">
      <c r="A808" t="s">
        <v>1057</v>
      </c>
      <c r="B808" s="1">
        <v>45746</v>
      </c>
      <c r="C808" t="s">
        <v>323</v>
      </c>
      <c r="D808" t="str">
        <f>UPPER(Table1[[#This Row],[ProductID_Clean]])</f>
        <v>P-SI-008</v>
      </c>
      <c r="E808" t="s">
        <v>152</v>
      </c>
      <c r="F808" t="s">
        <v>23</v>
      </c>
      <c r="G808" t="str">
        <f>TRIM(Table1[[#This Row],[Region_Clean]])</f>
        <v>N. AMERICA</v>
      </c>
      <c r="H808" t="s">
        <v>24</v>
      </c>
      <c r="I808" t="s">
        <v>25</v>
      </c>
      <c r="J808" s="3">
        <v>5</v>
      </c>
      <c r="K808" s="3">
        <v>836.92</v>
      </c>
      <c r="L808">
        <v>950</v>
      </c>
      <c r="M808">
        <v>4750</v>
      </c>
      <c r="N808">
        <v>565.4</v>
      </c>
      <c r="O808">
        <v>4184.6000000000004</v>
      </c>
      <c r="P808" t="s">
        <v>113</v>
      </c>
      <c r="Q808" t="s">
        <v>27</v>
      </c>
      <c r="R808" t="s">
        <v>59</v>
      </c>
      <c r="S808" t="str">
        <f>TRIM(PROPER(_xlfn.XLOOKUP(Table1[[#This Row],[ProductID_Clean]],Table3[ProductID],Table3[Category],"Missing Value",0)))</f>
        <v>Instruments</v>
      </c>
      <c r="T808" t="str">
        <f>_xlfn.XLOOKUP(Table1[[#This Row],[CustomerID_Check]],Table2[CustomerID],Table2[CustomerType],"Missing Value",0)</f>
        <v>Key Account</v>
      </c>
    </row>
    <row r="809" spans="1:20">
      <c r="A809" t="s">
        <v>1058</v>
      </c>
      <c r="B809" s="1">
        <v>45732</v>
      </c>
      <c r="C809" t="s">
        <v>135</v>
      </c>
      <c r="D809" t="str">
        <f>UPPER(Table1[[#This Row],[ProductID_Clean]])</f>
        <v>P-SI-007</v>
      </c>
      <c r="E809" t="s">
        <v>97</v>
      </c>
      <c r="F809" t="s">
        <v>58</v>
      </c>
      <c r="G809" t="str">
        <f>TRIM(Table1[[#This Row],[Region_Clean]])</f>
        <v>APAC</v>
      </c>
      <c r="H809" t="s">
        <v>24</v>
      </c>
      <c r="I809" t="s">
        <v>25</v>
      </c>
      <c r="J809" s="3">
        <v>10</v>
      </c>
      <c r="K809" s="3">
        <v>739.22</v>
      </c>
      <c r="L809">
        <v>980</v>
      </c>
      <c r="M809">
        <v>9800</v>
      </c>
      <c r="N809">
        <v>2407.8000000000002</v>
      </c>
      <c r="O809">
        <v>7392.2</v>
      </c>
      <c r="P809" t="s">
        <v>26</v>
      </c>
      <c r="Q809" t="s">
        <v>35</v>
      </c>
      <c r="R809" t="s">
        <v>28</v>
      </c>
      <c r="S809" t="str">
        <f>TRIM(PROPER(_xlfn.XLOOKUP(Table1[[#This Row],[ProductID_Clean]],Table3[ProductID],Table3[Category],"Missing Value",0)))</f>
        <v>Sensors</v>
      </c>
      <c r="T809" t="str">
        <f>_xlfn.XLOOKUP(Table1[[#This Row],[CustomerID_Check]],Table2[CustomerID],Table2[CustomerType],"Missing Value",0)</f>
        <v>Strategic</v>
      </c>
    </row>
    <row r="810" spans="1:20">
      <c r="A810" t="s">
        <v>1059</v>
      </c>
      <c r="B810" s="1">
        <v>45731</v>
      </c>
      <c r="C810" t="s">
        <v>137</v>
      </c>
      <c r="D810" t="str">
        <f>UPPER(Table1[[#This Row],[ProductID_Clean]])</f>
        <v>P-FS-001</v>
      </c>
      <c r="E810" t="s">
        <v>133</v>
      </c>
      <c r="F810" t="s">
        <v>23</v>
      </c>
      <c r="G810" t="str">
        <f>TRIM(Table1[[#This Row],[Region_Clean]])</f>
        <v>N. AMERICA</v>
      </c>
      <c r="H810" t="s">
        <v>82</v>
      </c>
      <c r="I810" t="s">
        <v>25</v>
      </c>
      <c r="J810" s="3">
        <v>1</v>
      </c>
      <c r="K810" s="3">
        <v>1401.37</v>
      </c>
      <c r="L810">
        <v>1850</v>
      </c>
      <c r="M810">
        <v>1850</v>
      </c>
      <c r="N810">
        <v>448.63</v>
      </c>
      <c r="O810">
        <v>1401.37</v>
      </c>
      <c r="P810" t="s">
        <v>26</v>
      </c>
      <c r="Q810" t="s">
        <v>35</v>
      </c>
      <c r="R810" t="s">
        <v>28</v>
      </c>
      <c r="S810" t="str">
        <f>TRIM(PROPER(_xlfn.XLOOKUP(Table1[[#This Row],[ProductID_Clean]],Table3[ProductID],Table3[Category],"Missing Value",0)))</f>
        <v>Services</v>
      </c>
      <c r="T810" t="str">
        <f>_xlfn.XLOOKUP(Table1[[#This Row],[CustomerID_Check]],Table2[CustomerID],Table2[CustomerType],"Missing Value",0)</f>
        <v>Strategic</v>
      </c>
    </row>
    <row r="811" spans="1:20">
      <c r="A811" t="s">
        <v>1060</v>
      </c>
      <c r="B811" s="1">
        <v>45678</v>
      </c>
      <c r="C811" t="s">
        <v>106</v>
      </c>
      <c r="D811" t="str">
        <f>UPPER(Table1[[#This Row],[ProductID_Clean]])</f>
        <v>P-SI-003</v>
      </c>
      <c r="E811" t="s">
        <v>39</v>
      </c>
      <c r="F811" t="s">
        <v>58</v>
      </c>
      <c r="G811" t="str">
        <f>TRIM(Table1[[#This Row],[Region_Clean]])</f>
        <v>APAC</v>
      </c>
      <c r="H811" t="s">
        <v>24</v>
      </c>
      <c r="I811" t="s">
        <v>34</v>
      </c>
      <c r="J811" s="3">
        <v>3</v>
      </c>
      <c r="K811" s="3">
        <v>1510.99</v>
      </c>
      <c r="L811">
        <v>1890</v>
      </c>
      <c r="M811">
        <v>5670</v>
      </c>
      <c r="N811">
        <v>1137.03</v>
      </c>
      <c r="O811">
        <v>4532.97</v>
      </c>
      <c r="P811" t="s">
        <v>26</v>
      </c>
      <c r="Q811" t="s">
        <v>27</v>
      </c>
      <c r="R811" t="s">
        <v>59</v>
      </c>
      <c r="S811" t="str">
        <f>TRIM(PROPER(_xlfn.XLOOKUP(Table1[[#This Row],[ProductID_Clean]],Table3[ProductID],Table3[Category],"Missing Value",0)))</f>
        <v>Instruments</v>
      </c>
      <c r="T811" t="str">
        <f>_xlfn.XLOOKUP(Table1[[#This Row],[CustomerID_Check]],Table2[CustomerID],Table2[CustomerType],"Missing Value",0)</f>
        <v>Key Account</v>
      </c>
    </row>
    <row r="812" spans="1:20">
      <c r="A812" t="s">
        <v>1061</v>
      </c>
      <c r="B812" s="1">
        <v>45771</v>
      </c>
      <c r="C812" t="s">
        <v>473</v>
      </c>
      <c r="D812" t="str">
        <f>UPPER(Table1[[#This Row],[ProductID_Clean]])</f>
        <v>P-FS-002</v>
      </c>
      <c r="E812" t="s">
        <v>81</v>
      </c>
      <c r="F812" t="s">
        <v>32</v>
      </c>
      <c r="G812" t="str">
        <f>TRIM(Table1[[#This Row],[Region_Clean]])</f>
        <v>LATIN AMERICA</v>
      </c>
      <c r="H812" t="s">
        <v>82</v>
      </c>
      <c r="I812" t="s">
        <v>25</v>
      </c>
      <c r="J812" s="3">
        <v>1</v>
      </c>
      <c r="K812" s="3">
        <v>2077.34</v>
      </c>
      <c r="L812">
        <v>2400</v>
      </c>
      <c r="M812">
        <v>2400</v>
      </c>
      <c r="N812">
        <v>322.66000000000003</v>
      </c>
      <c r="O812">
        <v>2077.34</v>
      </c>
      <c r="P812" t="s">
        <v>26</v>
      </c>
      <c r="Q812" t="s">
        <v>94</v>
      </c>
      <c r="R812" t="s">
        <v>44</v>
      </c>
      <c r="S812" t="str">
        <f>TRIM(PROPER(_xlfn.XLOOKUP(Table1[[#This Row],[ProductID_Clean]],Table3[ProductID],Table3[Category],"Missing Value",0)))</f>
        <v>Services</v>
      </c>
      <c r="T812" t="str">
        <f>_xlfn.XLOOKUP(Table1[[#This Row],[CustomerID_Check]],Table2[CustomerID],Table2[CustomerType],"Missing Value",0)</f>
        <v>Emerging</v>
      </c>
    </row>
    <row r="813" spans="1:20">
      <c r="A813" t="s">
        <v>1062</v>
      </c>
      <c r="B813" s="1">
        <v>45723</v>
      </c>
      <c r="C813" t="s">
        <v>157</v>
      </c>
      <c r="D813" t="str">
        <f>UPPER(Table1[[#This Row],[ProductID_Clean]])</f>
        <v>P-FS-001</v>
      </c>
      <c r="E813" t="s">
        <v>133</v>
      </c>
      <c r="F813" t="s">
        <v>23</v>
      </c>
      <c r="G813" t="str">
        <f>TRIM(Table1[[#This Row],[Region_Clean]])</f>
        <v>N. AMERICA</v>
      </c>
      <c r="H813" t="s">
        <v>82</v>
      </c>
      <c r="I813" t="s">
        <v>25</v>
      </c>
      <c r="J813" s="3">
        <v>1</v>
      </c>
      <c r="K813" s="3">
        <v>1514.13</v>
      </c>
      <c r="L813">
        <v>1850</v>
      </c>
      <c r="M813">
        <v>1850</v>
      </c>
      <c r="N813">
        <v>335.87</v>
      </c>
      <c r="O813">
        <v>1514.13</v>
      </c>
      <c r="P813" t="s">
        <v>113</v>
      </c>
      <c r="Q813" t="s">
        <v>27</v>
      </c>
      <c r="R813" t="s">
        <v>36</v>
      </c>
      <c r="S813" t="str">
        <f>TRIM(PROPER(_xlfn.XLOOKUP(Table1[[#This Row],[ProductID_Clean]],Table3[ProductID],Table3[Category],"Missing Value",0)))</f>
        <v>Services</v>
      </c>
      <c r="T813" t="str">
        <f>_xlfn.XLOOKUP(Table1[[#This Row],[CustomerID_Check]],Table2[CustomerID],Table2[CustomerType],"Missing Value",0)</f>
        <v>Key Account</v>
      </c>
    </row>
    <row r="814" spans="1:20">
      <c r="A814" t="s">
        <v>1063</v>
      </c>
      <c r="B814" s="1">
        <v>45780</v>
      </c>
      <c r="C814" t="s">
        <v>125</v>
      </c>
      <c r="D814" t="str">
        <f>UPPER(Table1[[#This Row],[ProductID_Clean]])</f>
        <v>P-FS-002</v>
      </c>
      <c r="E814" t="s">
        <v>81</v>
      </c>
      <c r="F814" t="s">
        <v>198</v>
      </c>
      <c r="G814" t="str">
        <f>TRIM(Table1[[#This Row],[Region_Clean]])</f>
        <v>APAC</v>
      </c>
      <c r="H814" t="s">
        <v>82</v>
      </c>
      <c r="I814" t="s">
        <v>25</v>
      </c>
      <c r="J814" s="3">
        <v>2</v>
      </c>
      <c r="K814" s="3">
        <v>2023.94</v>
      </c>
      <c r="L814">
        <v>2400</v>
      </c>
      <c r="M814">
        <v>4800</v>
      </c>
      <c r="N814">
        <v>752.12</v>
      </c>
      <c r="O814">
        <v>4047.88</v>
      </c>
      <c r="P814" t="s">
        <v>26</v>
      </c>
      <c r="Q814" t="s">
        <v>94</v>
      </c>
      <c r="R814" t="s">
        <v>36</v>
      </c>
      <c r="S814" t="str">
        <f>TRIM(PROPER(_xlfn.XLOOKUP(Table1[[#This Row],[ProductID_Clean]],Table3[ProductID],Table3[Category],"Missing Value",0)))</f>
        <v>Services</v>
      </c>
      <c r="T814" t="str">
        <f>_xlfn.XLOOKUP(Table1[[#This Row],[CustomerID_Check]],Table2[CustomerID],Table2[CustomerType],"Missing Value",0)</f>
        <v>Strategic</v>
      </c>
    </row>
    <row r="815" spans="1:20">
      <c r="A815" t="s">
        <v>1064</v>
      </c>
      <c r="B815" s="1">
        <v>45709</v>
      </c>
      <c r="C815" t="s">
        <v>252</v>
      </c>
      <c r="D815" t="str">
        <f>UPPER(Table1[[#This Row],[ProductID_Clean]])</f>
        <v>P-FS-006</v>
      </c>
      <c r="E815" t="s">
        <v>92</v>
      </c>
      <c r="F815" t="s">
        <v>23</v>
      </c>
      <c r="G815" t="str">
        <f>TRIM(Table1[[#This Row],[Region_Clean]])</f>
        <v>N. AMERICA</v>
      </c>
      <c r="H815" t="s">
        <v>82</v>
      </c>
      <c r="I815" t="s">
        <v>87</v>
      </c>
      <c r="J815" s="3">
        <v>1</v>
      </c>
      <c r="K815" s="3">
        <v>1162.25</v>
      </c>
      <c r="L815">
        <v>1450</v>
      </c>
      <c r="M815">
        <v>1450</v>
      </c>
      <c r="N815">
        <v>287.75</v>
      </c>
      <c r="O815">
        <v>1162.25</v>
      </c>
      <c r="P815" t="s">
        <v>113</v>
      </c>
      <c r="Q815" t="s">
        <v>35</v>
      </c>
      <c r="R815" t="s">
        <v>44</v>
      </c>
      <c r="S815" t="str">
        <f>TRIM(PROPER(_xlfn.XLOOKUP(Table1[[#This Row],[ProductID_Clean]],Table3[ProductID],Table3[Category],"Missing Value",0)))</f>
        <v>Services</v>
      </c>
      <c r="T815" t="str">
        <f>_xlfn.XLOOKUP(Table1[[#This Row],[CustomerID_Check]],Table2[CustomerID],Table2[CustomerType],"Missing Value",0)</f>
        <v>Strategic</v>
      </c>
    </row>
    <row r="816" spans="1:20">
      <c r="A816" t="s">
        <v>1065</v>
      </c>
      <c r="B816" s="1">
        <v>45727</v>
      </c>
      <c r="C816" t="s">
        <v>316</v>
      </c>
      <c r="D816" t="str">
        <f>UPPER(Table1[[#This Row],[ProductID_Clean]])</f>
        <v>P-SA-002</v>
      </c>
      <c r="E816" t="s">
        <v>147</v>
      </c>
      <c r="F816" t="s">
        <v>32</v>
      </c>
      <c r="G816" t="str">
        <f>TRIM(Table1[[#This Row],[Region_Clean]])</f>
        <v>LATIN AMERICA</v>
      </c>
      <c r="H816" t="s">
        <v>53</v>
      </c>
      <c r="I816" t="s">
        <v>25</v>
      </c>
      <c r="J816" s="3">
        <v>1</v>
      </c>
      <c r="K816" s="3">
        <v>8583.31</v>
      </c>
      <c r="L816">
        <v>9800</v>
      </c>
      <c r="M816">
        <v>9800</v>
      </c>
      <c r="N816">
        <v>1216.69</v>
      </c>
      <c r="O816">
        <v>8583.31</v>
      </c>
      <c r="P816" t="s">
        <v>26</v>
      </c>
      <c r="Q816" t="s">
        <v>88</v>
      </c>
      <c r="R816" t="s">
        <v>48</v>
      </c>
      <c r="S816" t="str">
        <f>TRIM(PROPER(_xlfn.XLOOKUP(Table1[[#This Row],[ProductID_Clean]],Table3[ProductID],Table3[Category],"Missing Value",0)))</f>
        <v>Software</v>
      </c>
      <c r="T816" t="str">
        <f>_xlfn.XLOOKUP(Table1[[#This Row],[CustomerID_Check]],Table2[CustomerID],Table2[CustomerType],"Missing Value",0)</f>
        <v>Key Account</v>
      </c>
    </row>
    <row r="817" spans="1:20">
      <c r="A817" t="s">
        <v>1066</v>
      </c>
      <c r="B817" s="1">
        <v>45836</v>
      </c>
      <c r="C817" t="s">
        <v>282</v>
      </c>
      <c r="D817" t="str">
        <f>UPPER(Table1[[#This Row],[ProductID_Clean]])</f>
        <v>P-SA-001</v>
      </c>
      <c r="E817" t="s">
        <v>68</v>
      </c>
      <c r="F817" t="s">
        <v>23</v>
      </c>
      <c r="G817" t="str">
        <f>TRIM(Table1[[#This Row],[Region_Clean]])</f>
        <v>N. AMERICA</v>
      </c>
      <c r="H817" t="s">
        <v>53</v>
      </c>
      <c r="I817" t="s">
        <v>25</v>
      </c>
      <c r="J817" s="3">
        <v>1</v>
      </c>
      <c r="K817" s="3">
        <v>3347.29</v>
      </c>
      <c r="L817">
        <v>4200</v>
      </c>
      <c r="M817">
        <v>4200</v>
      </c>
      <c r="N817">
        <v>852.71</v>
      </c>
      <c r="O817">
        <v>3347.29</v>
      </c>
      <c r="P817" t="s">
        <v>26</v>
      </c>
      <c r="Q817" t="s">
        <v>54</v>
      </c>
      <c r="R817" t="s">
        <v>59</v>
      </c>
      <c r="S817" t="str">
        <f>TRIM(PROPER(_xlfn.XLOOKUP(Table1[[#This Row],[ProductID_Clean]],Table3[ProductID],Table3[Category],"Missing Value",0)))</f>
        <v>Software</v>
      </c>
      <c r="T817" t="str">
        <f>_xlfn.XLOOKUP(Table1[[#This Row],[CustomerID_Check]],Table2[CustomerID],Table2[CustomerType],"Missing Value",0)</f>
        <v>Strategic</v>
      </c>
    </row>
    <row r="818" spans="1:20">
      <c r="A818" t="s">
        <v>1067</v>
      </c>
      <c r="B818" s="1">
        <v>45815</v>
      </c>
      <c r="C818" t="s">
        <v>375</v>
      </c>
      <c r="D818" t="str">
        <f>UPPER(Table1[[#This Row],[ProductID_Clean]])</f>
        <v>P-SI-006</v>
      </c>
      <c r="E818" t="s">
        <v>43</v>
      </c>
      <c r="F818" t="s">
        <v>32</v>
      </c>
      <c r="G818" t="str">
        <f>TRIM(Table1[[#This Row],[Region_Clean]])</f>
        <v>LATIN AMERICA</v>
      </c>
      <c r="H818" t="s">
        <v>24</v>
      </c>
      <c r="I818" t="s">
        <v>25</v>
      </c>
      <c r="J818" s="3">
        <v>1</v>
      </c>
      <c r="K818" s="3">
        <v>181.14</v>
      </c>
      <c r="L818">
        <v>215</v>
      </c>
      <c r="M818">
        <v>215</v>
      </c>
      <c r="N818">
        <v>33.86</v>
      </c>
      <c r="O818">
        <v>181.14</v>
      </c>
      <c r="P818" t="s">
        <v>26</v>
      </c>
      <c r="Q818" t="s">
        <v>35</v>
      </c>
      <c r="R818" t="s">
        <v>36</v>
      </c>
      <c r="S818" t="str">
        <f>TRIM(PROPER(_xlfn.XLOOKUP(Table1[[#This Row],[ProductID_Clean]],Table3[ProductID],Table3[Category],"Missing Value",0)))</f>
        <v>Sensors</v>
      </c>
      <c r="T818" t="str">
        <f>_xlfn.XLOOKUP(Table1[[#This Row],[CustomerID_Check]],Table2[CustomerID],Table2[CustomerType],"Missing Value",0)</f>
        <v>Standard</v>
      </c>
    </row>
    <row r="819" spans="1:20">
      <c r="A819" t="s">
        <v>1068</v>
      </c>
      <c r="B819" s="1">
        <v>45808</v>
      </c>
      <c r="C819" t="s">
        <v>375</v>
      </c>
      <c r="D819" t="str">
        <f>UPPER(Table1[[#This Row],[ProductID_Clean]])</f>
        <v>P-SI-007</v>
      </c>
      <c r="E819" t="s">
        <v>97</v>
      </c>
      <c r="F819" t="s">
        <v>32</v>
      </c>
      <c r="G819" t="str">
        <f>TRIM(Table1[[#This Row],[Region_Clean]])</f>
        <v>LATIN AMERICA</v>
      </c>
      <c r="H819" t="s">
        <v>24</v>
      </c>
      <c r="I819" t="s">
        <v>34</v>
      </c>
      <c r="J819" s="3">
        <v>1</v>
      </c>
      <c r="K819" s="3">
        <v>866.7</v>
      </c>
      <c r="L819">
        <v>980</v>
      </c>
      <c r="M819">
        <v>980</v>
      </c>
      <c r="N819">
        <v>113.3</v>
      </c>
      <c r="O819">
        <v>866.7</v>
      </c>
      <c r="P819" t="s">
        <v>26</v>
      </c>
      <c r="Q819" t="s">
        <v>35</v>
      </c>
      <c r="R819" t="s">
        <v>36</v>
      </c>
      <c r="S819" t="str">
        <f>TRIM(PROPER(_xlfn.XLOOKUP(Table1[[#This Row],[ProductID_Clean]],Table3[ProductID],Table3[Category],"Missing Value",0)))</f>
        <v>Sensors</v>
      </c>
      <c r="T819" t="str">
        <f>_xlfn.XLOOKUP(Table1[[#This Row],[CustomerID_Check]],Table2[CustomerID],Table2[CustomerType],"Missing Value",0)</f>
        <v>Standard</v>
      </c>
    </row>
    <row r="820" spans="1:20">
      <c r="A820" t="s">
        <v>1069</v>
      </c>
      <c r="B820" s="1">
        <v>45829</v>
      </c>
      <c r="C820" t="s">
        <v>256</v>
      </c>
      <c r="D820" t="str">
        <f>UPPER(Table1[[#This Row],[ProductID_Clean]])</f>
        <v>P-SA-002</v>
      </c>
      <c r="E820" t="s">
        <v>147</v>
      </c>
      <c r="F820" t="s">
        <v>47</v>
      </c>
      <c r="G820" t="str">
        <f>TRIM(Table1[[#This Row],[Region_Clean]])</f>
        <v>EMEA</v>
      </c>
      <c r="H820" t="s">
        <v>53</v>
      </c>
      <c r="I820" t="s">
        <v>87</v>
      </c>
      <c r="J820" s="3">
        <v>1</v>
      </c>
      <c r="K820" s="3">
        <v>7420.53</v>
      </c>
      <c r="L820">
        <v>9800</v>
      </c>
      <c r="M820">
        <v>9800</v>
      </c>
      <c r="N820">
        <v>2379.4699999999998</v>
      </c>
      <c r="O820">
        <v>7420.53</v>
      </c>
      <c r="P820" t="s">
        <v>26</v>
      </c>
      <c r="Q820" t="s">
        <v>54</v>
      </c>
      <c r="R820" t="s">
        <v>44</v>
      </c>
      <c r="S820" t="str">
        <f>TRIM(PROPER(_xlfn.XLOOKUP(Table1[[#This Row],[ProductID_Clean]],Table3[ProductID],Table3[Category],"Missing Value",0)))</f>
        <v>Software</v>
      </c>
      <c r="T820" t="str">
        <f>_xlfn.XLOOKUP(Table1[[#This Row],[CustomerID_Check]],Table2[CustomerID],Table2[CustomerType],"Missing Value",0)</f>
        <v>Strategic</v>
      </c>
    </row>
    <row r="821" spans="1:20">
      <c r="A821" t="s">
        <v>1070</v>
      </c>
      <c r="B821" s="1">
        <v>45715</v>
      </c>
      <c r="C821" t="s">
        <v>100</v>
      </c>
      <c r="D821" t="str">
        <f>UPPER(Table1[[#This Row],[ProductID_Clean]])</f>
        <v>P-SI-005</v>
      </c>
      <c r="E821" t="s">
        <v>57</v>
      </c>
      <c r="F821" t="s">
        <v>47</v>
      </c>
      <c r="G821" t="str">
        <f>TRIM(Table1[[#This Row],[Region_Clean]])</f>
        <v>EMEA</v>
      </c>
      <c r="H821" t="s">
        <v>24</v>
      </c>
      <c r="I821" t="s">
        <v>25</v>
      </c>
      <c r="J821" s="3">
        <v>1</v>
      </c>
      <c r="K821" s="3">
        <v>905.99</v>
      </c>
      <c r="L821">
        <v>1120</v>
      </c>
      <c r="M821">
        <v>1120</v>
      </c>
      <c r="N821">
        <v>214.01</v>
      </c>
      <c r="O821">
        <v>905.99</v>
      </c>
      <c r="P821" t="s">
        <v>26</v>
      </c>
      <c r="Q821" t="s">
        <v>35</v>
      </c>
      <c r="R821" t="s">
        <v>36</v>
      </c>
      <c r="S821" t="str">
        <f>TRIM(PROPER(_xlfn.XLOOKUP(Table1[[#This Row],[ProductID_Clean]],Table3[ProductID],Table3[Category],"Missing Value",0)))</f>
        <v>Sensors</v>
      </c>
      <c r="T821" t="str">
        <f>_xlfn.XLOOKUP(Table1[[#This Row],[CustomerID_Check]],Table2[CustomerID],Table2[CustomerType],"Missing Value",0)</f>
        <v>Strategic</v>
      </c>
    </row>
    <row r="822" spans="1:20">
      <c r="A822" t="s">
        <v>1071</v>
      </c>
      <c r="B822" s="1">
        <v>45683</v>
      </c>
      <c r="C822" t="s">
        <v>208</v>
      </c>
      <c r="D822" t="str">
        <f>UPPER(Table1[[#This Row],[ProductID_Clean]])</f>
        <v>P-SA-001</v>
      </c>
      <c r="E822" t="s">
        <v>68</v>
      </c>
      <c r="F822" t="s">
        <v>47</v>
      </c>
      <c r="G822" t="str">
        <f>TRIM(Table1[[#This Row],[Region_Clean]])</f>
        <v>EMEA</v>
      </c>
      <c r="H822" t="s">
        <v>53</v>
      </c>
      <c r="I822" t="s">
        <v>25</v>
      </c>
      <c r="J822" s="3">
        <v>1</v>
      </c>
      <c r="K822" s="3">
        <v>3937.13</v>
      </c>
      <c r="L822">
        <v>4200</v>
      </c>
      <c r="M822">
        <v>4200</v>
      </c>
      <c r="N822">
        <v>262.87</v>
      </c>
      <c r="O822">
        <v>3937.13</v>
      </c>
      <c r="P822" t="s">
        <v>26</v>
      </c>
      <c r="Q822" t="s">
        <v>54</v>
      </c>
      <c r="R822" t="s">
        <v>36</v>
      </c>
      <c r="S822" t="str">
        <f>TRIM(PROPER(_xlfn.XLOOKUP(Table1[[#This Row],[ProductID_Clean]],Table3[ProductID],Table3[Category],"Missing Value",0)))</f>
        <v>Software</v>
      </c>
      <c r="T822" t="str">
        <f>_xlfn.XLOOKUP(Table1[[#This Row],[CustomerID_Check]],Table2[CustomerID],Table2[CustomerType],"Missing Value",0)</f>
        <v>Standard</v>
      </c>
    </row>
    <row r="823" spans="1:20">
      <c r="A823" t="s">
        <v>1072</v>
      </c>
      <c r="B823" s="1">
        <v>45778</v>
      </c>
      <c r="C823" t="s">
        <v>125</v>
      </c>
      <c r="D823" t="str">
        <f>UPPER(Table1[[#This Row],[ProductID_Clean]])</f>
        <v>P-SA-001</v>
      </c>
      <c r="E823" t="s">
        <v>68</v>
      </c>
      <c r="F823" t="s">
        <v>58</v>
      </c>
      <c r="G823" t="str">
        <f>TRIM(Table1[[#This Row],[Region_Clean]])</f>
        <v>APAC</v>
      </c>
      <c r="H823" t="s">
        <v>53</v>
      </c>
      <c r="I823" t="s">
        <v>25</v>
      </c>
      <c r="J823" s="3">
        <v>1</v>
      </c>
      <c r="K823" s="3">
        <v>3687.28</v>
      </c>
      <c r="L823">
        <v>4200</v>
      </c>
      <c r="M823">
        <v>4200</v>
      </c>
      <c r="N823">
        <v>512.72</v>
      </c>
      <c r="O823">
        <v>3687.28</v>
      </c>
      <c r="P823" t="s">
        <v>26</v>
      </c>
      <c r="Q823" t="s">
        <v>189</v>
      </c>
      <c r="R823" t="s">
        <v>36</v>
      </c>
      <c r="S823" t="str">
        <f>TRIM(PROPER(_xlfn.XLOOKUP(Table1[[#This Row],[ProductID_Clean]],Table3[ProductID],Table3[Category],"Missing Value",0)))</f>
        <v>Software</v>
      </c>
      <c r="T823" t="str">
        <f>_xlfn.XLOOKUP(Table1[[#This Row],[CustomerID_Check]],Table2[CustomerID],Table2[CustomerType],"Missing Value",0)</f>
        <v>Strategic</v>
      </c>
    </row>
    <row r="824" spans="1:20">
      <c r="A824" t="s">
        <v>1073</v>
      </c>
      <c r="B824" s="1">
        <v>45832</v>
      </c>
      <c r="C824" t="s">
        <v>1074</v>
      </c>
      <c r="D824" t="str">
        <f>UPPER(Table1[[#This Row],[ProductID_Clean]])</f>
        <v>P-FS-003</v>
      </c>
      <c r="E824" t="s">
        <v>216</v>
      </c>
      <c r="F824" t="s">
        <v>23</v>
      </c>
      <c r="G824" t="str">
        <f>TRIM(Table1[[#This Row],[Region_Clean]])</f>
        <v>N. AMERICA</v>
      </c>
      <c r="H824" t="s">
        <v>82</v>
      </c>
      <c r="I824" t="s">
        <v>25</v>
      </c>
      <c r="J824" s="3">
        <v>1</v>
      </c>
      <c r="K824" s="3">
        <v>3956.14</v>
      </c>
      <c r="L824">
        <v>4100</v>
      </c>
      <c r="M824">
        <v>4100</v>
      </c>
      <c r="N824">
        <v>143.86000000000001</v>
      </c>
      <c r="O824">
        <v>3956.14</v>
      </c>
      <c r="P824" t="s">
        <v>26</v>
      </c>
      <c r="Q824" t="s">
        <v>94</v>
      </c>
      <c r="R824" t="s">
        <v>48</v>
      </c>
      <c r="S824" t="str">
        <f>TRIM(PROPER(_xlfn.XLOOKUP(Table1[[#This Row],[ProductID_Clean]],Table3[ProductID],Table3[Category],"Missing Value",0)))</f>
        <v>Services</v>
      </c>
      <c r="T824" t="str">
        <f>_xlfn.XLOOKUP(Table1[[#This Row],[CustomerID_Check]],Table2[CustomerID],Table2[CustomerType],"Missing Value",0)</f>
        <v>Emerging</v>
      </c>
    </row>
    <row r="825" spans="1:20">
      <c r="A825" t="s">
        <v>1075</v>
      </c>
      <c r="B825" s="1">
        <v>45659</v>
      </c>
      <c r="C825" t="s">
        <v>222</v>
      </c>
      <c r="D825" t="str">
        <f>UPPER(Table1[[#This Row],[ProductID_Clean]])</f>
        <v>P-SI-001</v>
      </c>
      <c r="E825" t="s">
        <v>72</v>
      </c>
      <c r="F825" t="s">
        <v>47</v>
      </c>
      <c r="G825" t="str">
        <f>TRIM(Table1[[#This Row],[Region_Clean]])</f>
        <v>EMEA</v>
      </c>
      <c r="H825" t="s">
        <v>24</v>
      </c>
      <c r="I825" t="s">
        <v>25</v>
      </c>
      <c r="J825" s="3">
        <v>5</v>
      </c>
      <c r="K825" s="3">
        <v>429.31</v>
      </c>
      <c r="L825">
        <v>485</v>
      </c>
      <c r="M825">
        <v>2425</v>
      </c>
      <c r="N825">
        <v>278.45</v>
      </c>
      <c r="O825">
        <v>2146.5500000000002</v>
      </c>
      <c r="P825" t="s">
        <v>113</v>
      </c>
      <c r="Q825" t="s">
        <v>35</v>
      </c>
      <c r="R825" t="s">
        <v>28</v>
      </c>
      <c r="S825" t="str">
        <f>TRIM(PROPER(_xlfn.XLOOKUP(Table1[[#This Row],[ProductID_Clean]],Table3[ProductID],Table3[Category],"Missing Value",0)))</f>
        <v>Sensors</v>
      </c>
      <c r="T825" t="str">
        <f>_xlfn.XLOOKUP(Table1[[#This Row],[CustomerID_Check]],Table2[CustomerID],Table2[CustomerType],"Missing Value",0)</f>
        <v>Standard</v>
      </c>
    </row>
    <row r="826" spans="1:20">
      <c r="A826" t="s">
        <v>1076</v>
      </c>
      <c r="B826" s="1">
        <v>45698</v>
      </c>
      <c r="C826" t="s">
        <v>378</v>
      </c>
      <c r="D826" t="str">
        <f>UPPER(Table1[[#This Row],[ProductID_Clean]])</f>
        <v>P-SI-007</v>
      </c>
      <c r="E826" t="s">
        <v>97</v>
      </c>
      <c r="F826" t="s">
        <v>58</v>
      </c>
      <c r="G826" t="str">
        <f>TRIM(Table1[[#This Row],[Region_Clean]])</f>
        <v>APAC</v>
      </c>
      <c r="H826" t="s">
        <v>24</v>
      </c>
      <c r="I826" t="s">
        <v>25</v>
      </c>
      <c r="J826" s="3">
        <v>4</v>
      </c>
      <c r="K826" s="3">
        <v>881.58</v>
      </c>
      <c r="L826">
        <v>980</v>
      </c>
      <c r="M826">
        <v>3920</v>
      </c>
      <c r="N826">
        <v>393.68</v>
      </c>
      <c r="O826">
        <v>3526.32</v>
      </c>
      <c r="P826" t="s">
        <v>26</v>
      </c>
      <c r="Q826" t="s">
        <v>35</v>
      </c>
      <c r="R826" t="s">
        <v>48</v>
      </c>
      <c r="S826" t="str">
        <f>TRIM(PROPER(_xlfn.XLOOKUP(Table1[[#This Row],[ProductID_Clean]],Table3[ProductID],Table3[Category],"Missing Value",0)))</f>
        <v>Sensors</v>
      </c>
      <c r="T826" t="str">
        <f>_xlfn.XLOOKUP(Table1[[#This Row],[CustomerID_Check]],Table2[CustomerID],Table2[CustomerType],"Missing Value",0)</f>
        <v>Emerging</v>
      </c>
    </row>
    <row r="827" spans="1:20">
      <c r="A827" t="s">
        <v>1077</v>
      </c>
      <c r="B827" s="1">
        <v>45825</v>
      </c>
      <c r="C827" t="s">
        <v>170</v>
      </c>
      <c r="D827" t="str">
        <f>UPPER(Table1[[#This Row],[ProductID_Clean]])</f>
        <v>P-SA-003</v>
      </c>
      <c r="E827" t="s">
        <v>51</v>
      </c>
      <c r="F827" t="s">
        <v>47</v>
      </c>
      <c r="G827" t="str">
        <f>TRIM(Table1[[#This Row],[Region_Clean]])</f>
        <v>EMEA</v>
      </c>
      <c r="H827" t="s">
        <v>53</v>
      </c>
      <c r="I827" t="s">
        <v>98</v>
      </c>
      <c r="J827" s="3">
        <v>1</v>
      </c>
      <c r="K827" s="3">
        <v>2679.42</v>
      </c>
      <c r="L827">
        <v>2750</v>
      </c>
      <c r="M827">
        <v>2750</v>
      </c>
      <c r="N827">
        <v>70.58</v>
      </c>
      <c r="O827">
        <v>2679.42</v>
      </c>
      <c r="P827" t="s">
        <v>26</v>
      </c>
      <c r="Q827" t="s">
        <v>54</v>
      </c>
      <c r="R827" t="s">
        <v>59</v>
      </c>
      <c r="S827" t="str">
        <f>TRIM(PROPER(_xlfn.XLOOKUP(Table1[[#This Row],[ProductID_Clean]],Table3[ProductID],Table3[Category],"Missing Value",0)))</f>
        <v>Software</v>
      </c>
      <c r="T827" t="str">
        <f>_xlfn.XLOOKUP(Table1[[#This Row],[CustomerID_Check]],Table2[CustomerID],Table2[CustomerType],"Missing Value",0)</f>
        <v>Standard</v>
      </c>
    </row>
    <row r="828" spans="1:20">
      <c r="A828" t="s">
        <v>1078</v>
      </c>
      <c r="B828" s="1">
        <v>45780</v>
      </c>
      <c r="C828" t="s">
        <v>1079</v>
      </c>
      <c r="D828" t="str">
        <f>UPPER(Table1[[#This Row],[ProductID_Clean]])</f>
        <v>P-SI-006</v>
      </c>
      <c r="E828" t="s">
        <v>43</v>
      </c>
      <c r="F828" t="s">
        <v>32</v>
      </c>
      <c r="G828" t="str">
        <f>TRIM(Table1[[#This Row],[Region_Clean]])</f>
        <v>LATIN AMERICA</v>
      </c>
      <c r="H828" t="s">
        <v>24</v>
      </c>
      <c r="I828" t="s">
        <v>25</v>
      </c>
      <c r="J828" s="3">
        <v>2</v>
      </c>
      <c r="K828" s="3">
        <v>185.65</v>
      </c>
      <c r="L828">
        <v>215</v>
      </c>
      <c r="M828">
        <v>430</v>
      </c>
      <c r="N828">
        <v>58.7</v>
      </c>
      <c r="O828">
        <v>371.3</v>
      </c>
      <c r="P828" t="s">
        <v>26</v>
      </c>
      <c r="Q828" t="s">
        <v>35</v>
      </c>
      <c r="R828" t="s">
        <v>36</v>
      </c>
      <c r="S828" t="str">
        <f>TRIM(PROPER(_xlfn.XLOOKUP(Table1[[#This Row],[ProductID_Clean]],Table3[ProductID],Table3[Category],"Missing Value",0)))</f>
        <v>Sensors</v>
      </c>
      <c r="T828" t="str">
        <f>_xlfn.XLOOKUP(Table1[[#This Row],[CustomerID_Check]],Table2[CustomerID],Table2[CustomerType],"Missing Value",0)</f>
        <v>Standard</v>
      </c>
    </row>
    <row r="829" spans="1:20">
      <c r="A829" t="s">
        <v>1080</v>
      </c>
      <c r="B829" s="1">
        <v>45780</v>
      </c>
      <c r="C829" t="s">
        <v>202</v>
      </c>
      <c r="D829" t="str">
        <f>UPPER(Table1[[#This Row],[ProductID_Clean]])</f>
        <v>P-SA-001</v>
      </c>
      <c r="E829" t="s">
        <v>68</v>
      </c>
      <c r="F829" t="s">
        <v>47</v>
      </c>
      <c r="G829" t="str">
        <f>TRIM(Table1[[#This Row],[Region_Clean]])</f>
        <v>EMEA</v>
      </c>
      <c r="H829" t="s">
        <v>53</v>
      </c>
      <c r="I829" t="s">
        <v>25</v>
      </c>
      <c r="J829" s="3">
        <v>1</v>
      </c>
      <c r="K829" s="3">
        <v>3647.95</v>
      </c>
      <c r="L829">
        <v>4200</v>
      </c>
      <c r="M829">
        <v>4200</v>
      </c>
      <c r="N829">
        <v>552.05000000000018</v>
      </c>
      <c r="O829">
        <v>3647.95</v>
      </c>
      <c r="P829" t="s">
        <v>26</v>
      </c>
      <c r="Q829" t="s">
        <v>54</v>
      </c>
      <c r="R829" t="s">
        <v>44</v>
      </c>
      <c r="S829" t="str">
        <f>TRIM(PROPER(_xlfn.XLOOKUP(Table1[[#This Row],[ProductID_Clean]],Table3[ProductID],Table3[Category],"Missing Value",0)))</f>
        <v>Software</v>
      </c>
      <c r="T829" t="str">
        <f>_xlfn.XLOOKUP(Table1[[#This Row],[CustomerID_Check]],Table2[CustomerID],Table2[CustomerType],"Missing Value",0)</f>
        <v>Standard</v>
      </c>
    </row>
    <row r="830" spans="1:20">
      <c r="A830" t="s">
        <v>1081</v>
      </c>
      <c r="B830" s="1">
        <v>45740</v>
      </c>
      <c r="C830" t="s">
        <v>720</v>
      </c>
      <c r="D830" t="str">
        <f>UPPER(Table1[[#This Row],[ProductID_Clean]])</f>
        <v>P-SI-003</v>
      </c>
      <c r="E830" t="s">
        <v>39</v>
      </c>
      <c r="F830" t="s">
        <v>58</v>
      </c>
      <c r="G830" t="str">
        <f>TRIM(Table1[[#This Row],[Region_Clean]])</f>
        <v>APAC</v>
      </c>
      <c r="H830" t="s">
        <v>24</v>
      </c>
      <c r="I830" t="s">
        <v>34</v>
      </c>
      <c r="J830" s="3">
        <v>2</v>
      </c>
      <c r="K830" s="3">
        <v>1588.07</v>
      </c>
      <c r="L830">
        <v>1890</v>
      </c>
      <c r="M830">
        <v>3780</v>
      </c>
      <c r="N830">
        <v>603.86</v>
      </c>
      <c r="O830">
        <v>3176.14</v>
      </c>
      <c r="P830" t="s">
        <v>26</v>
      </c>
      <c r="Q830" t="s">
        <v>35</v>
      </c>
      <c r="R830" t="s">
        <v>44</v>
      </c>
      <c r="S830" t="str">
        <f>TRIM(PROPER(_xlfn.XLOOKUP(Table1[[#This Row],[ProductID_Clean]],Table3[ProductID],Table3[Category],"Missing Value",0)))</f>
        <v>Instruments</v>
      </c>
      <c r="T830" t="str">
        <f>_xlfn.XLOOKUP(Table1[[#This Row],[CustomerID_Check]],Table2[CustomerID],Table2[CustomerType],"Missing Value",0)</f>
        <v>Standard</v>
      </c>
    </row>
    <row r="831" spans="1:20">
      <c r="A831" t="s">
        <v>1082</v>
      </c>
      <c r="B831" s="1">
        <v>45823</v>
      </c>
      <c r="C831" t="s">
        <v>21</v>
      </c>
      <c r="D831" t="str">
        <f>UPPER(Table1[[#This Row],[ProductID_Clean]])</f>
        <v>P-SA-001</v>
      </c>
      <c r="E831" t="s">
        <v>68</v>
      </c>
      <c r="F831" t="s">
        <v>23</v>
      </c>
      <c r="G831" t="str">
        <f>TRIM(Table1[[#This Row],[Region_Clean]])</f>
        <v>N. AMERICA</v>
      </c>
      <c r="H831" t="s">
        <v>53</v>
      </c>
      <c r="I831" t="s">
        <v>25</v>
      </c>
      <c r="J831" s="3">
        <v>1</v>
      </c>
      <c r="K831" s="3">
        <v>3699.03</v>
      </c>
      <c r="L831">
        <v>4200</v>
      </c>
      <c r="M831">
        <v>4200</v>
      </c>
      <c r="N831">
        <v>500.97</v>
      </c>
      <c r="O831">
        <v>3699.03</v>
      </c>
      <c r="P831" t="s">
        <v>26</v>
      </c>
      <c r="Q831" t="s">
        <v>88</v>
      </c>
      <c r="R831" t="s">
        <v>28</v>
      </c>
      <c r="S831" t="str">
        <f>TRIM(PROPER(_xlfn.XLOOKUP(Table1[[#This Row],[ProductID_Clean]],Table3[ProductID],Table3[Category],"Missing Value",0)))</f>
        <v>Software</v>
      </c>
      <c r="T831" t="str">
        <f>_xlfn.XLOOKUP(Table1[[#This Row],[CustomerID_Check]],Table2[CustomerID],Table2[CustomerType],"Missing Value",0)</f>
        <v>Standard</v>
      </c>
    </row>
    <row r="832" spans="1:20">
      <c r="A832" t="s">
        <v>1083</v>
      </c>
      <c r="B832" s="1">
        <v>45680</v>
      </c>
      <c r="C832" t="s">
        <v>385</v>
      </c>
      <c r="D832" t="str">
        <f>UPPER(Table1[[#This Row],[ProductID_Clean]])</f>
        <v>P-SI-002</v>
      </c>
      <c r="E832" t="s">
        <v>31</v>
      </c>
      <c r="F832" t="s">
        <v>47</v>
      </c>
      <c r="G832" t="str">
        <f>TRIM(Table1[[#This Row],[Region_Clean]])</f>
        <v>EMEA</v>
      </c>
      <c r="H832" t="s">
        <v>24</v>
      </c>
      <c r="I832" t="s">
        <v>87</v>
      </c>
      <c r="J832" s="3">
        <v>2</v>
      </c>
      <c r="K832" s="3">
        <v>630.89</v>
      </c>
      <c r="L832">
        <v>725</v>
      </c>
      <c r="M832">
        <v>1450</v>
      </c>
      <c r="N832">
        <v>188.22</v>
      </c>
      <c r="O832">
        <v>1261.78</v>
      </c>
      <c r="P832" t="s">
        <v>26</v>
      </c>
      <c r="Q832" t="s">
        <v>35</v>
      </c>
      <c r="R832" t="s">
        <v>44</v>
      </c>
      <c r="S832" t="str">
        <f>TRIM(PROPER(_xlfn.XLOOKUP(Table1[[#This Row],[ProductID_Clean]],Table3[ProductID],Table3[Category],"Missing Value",0)))</f>
        <v>Sensors</v>
      </c>
      <c r="T832" t="str">
        <f>_xlfn.XLOOKUP(Table1[[#This Row],[CustomerID_Check]],Table2[CustomerID],Table2[CustomerType],"Missing Value",0)</f>
        <v>Standard</v>
      </c>
    </row>
    <row r="833" spans="1:20">
      <c r="A833" t="s">
        <v>1084</v>
      </c>
      <c r="B833" s="1">
        <v>45769</v>
      </c>
      <c r="C833" t="s">
        <v>654</v>
      </c>
      <c r="D833" t="str">
        <f>UPPER(Table1[[#This Row],[ProductID_Clean]])</f>
        <v>P-SA-001</v>
      </c>
      <c r="E833" t="s">
        <v>68</v>
      </c>
      <c r="F833" t="s">
        <v>32</v>
      </c>
      <c r="G833" t="str">
        <f>TRIM(Table1[[#This Row],[Region_Clean]])</f>
        <v>LATIN AMERICA</v>
      </c>
      <c r="H833" t="s">
        <v>53</v>
      </c>
      <c r="I833" t="s">
        <v>25</v>
      </c>
      <c r="J833" s="3">
        <v>2</v>
      </c>
      <c r="K833" s="3">
        <v>3565.05</v>
      </c>
      <c r="L833">
        <v>4200</v>
      </c>
      <c r="M833">
        <v>8400</v>
      </c>
      <c r="N833">
        <v>1269.8999999999996</v>
      </c>
      <c r="O833">
        <v>7130.1</v>
      </c>
      <c r="P833" t="s">
        <v>26</v>
      </c>
      <c r="Q833" t="s">
        <v>88</v>
      </c>
      <c r="R833" t="s">
        <v>28</v>
      </c>
      <c r="S833" t="str">
        <f>TRIM(PROPER(_xlfn.XLOOKUP(Table1[[#This Row],[ProductID_Clean]],Table3[ProductID],Table3[Category],"Missing Value",0)))</f>
        <v>Software</v>
      </c>
      <c r="T833" t="str">
        <f>_xlfn.XLOOKUP(Table1[[#This Row],[CustomerID_Check]],Table2[CustomerID],Table2[CustomerType],"Missing Value",0)</f>
        <v>Emerging</v>
      </c>
    </row>
    <row r="834" spans="1:20">
      <c r="A834" t="s">
        <v>1085</v>
      </c>
      <c r="B834" s="1">
        <v>45667</v>
      </c>
      <c r="C834" t="s">
        <v>108</v>
      </c>
      <c r="D834" t="str">
        <f>UPPER(Table1[[#This Row],[ProductID_Clean]])</f>
        <v>P-SA-003</v>
      </c>
      <c r="E834" t="s">
        <v>51</v>
      </c>
      <c r="F834" t="s">
        <v>32</v>
      </c>
      <c r="G834" t="str">
        <f>TRIM(Table1[[#This Row],[Region_Clean]])</f>
        <v>LATIN AMERICA</v>
      </c>
      <c r="H834" t="s">
        <v>53</v>
      </c>
      <c r="I834" t="s">
        <v>34</v>
      </c>
      <c r="J834" s="3">
        <v>1</v>
      </c>
      <c r="K834" s="3">
        <v>2483.1799999999998</v>
      </c>
      <c r="L834">
        <v>2750</v>
      </c>
      <c r="M834">
        <v>2750</v>
      </c>
      <c r="N834">
        <v>266.82</v>
      </c>
      <c r="O834">
        <v>2483.1799999999998</v>
      </c>
      <c r="P834" t="s">
        <v>26</v>
      </c>
      <c r="Q834" t="s">
        <v>54</v>
      </c>
      <c r="R834" t="s">
        <v>36</v>
      </c>
      <c r="S834" t="str">
        <f>TRIM(PROPER(_xlfn.XLOOKUP(Table1[[#This Row],[ProductID_Clean]],Table3[ProductID],Table3[Category],"Missing Value",0)))</f>
        <v>Software</v>
      </c>
      <c r="T834" t="str">
        <f>_xlfn.XLOOKUP(Table1[[#This Row],[CustomerID_Check]],Table2[CustomerID],Table2[CustomerType],"Missing Value",0)</f>
        <v>Standard</v>
      </c>
    </row>
    <row r="835" spans="1:20">
      <c r="A835" t="s">
        <v>1086</v>
      </c>
      <c r="B835" s="1">
        <v>45667</v>
      </c>
      <c r="C835" t="s">
        <v>297</v>
      </c>
      <c r="D835" t="str">
        <f>UPPER(Table1[[#This Row],[ProductID_Clean]])</f>
        <v>P-SI-006</v>
      </c>
      <c r="E835" t="s">
        <v>43</v>
      </c>
      <c r="F835" t="s">
        <v>23</v>
      </c>
      <c r="G835" t="str">
        <f>TRIM(Table1[[#This Row],[Region_Clean]])</f>
        <v>N. AMERICA</v>
      </c>
      <c r="H835" t="s">
        <v>24</v>
      </c>
      <c r="I835" t="s">
        <v>25</v>
      </c>
      <c r="J835" s="3">
        <v>5</v>
      </c>
      <c r="K835" s="3">
        <v>193.11</v>
      </c>
      <c r="L835">
        <v>215</v>
      </c>
      <c r="M835">
        <v>1075</v>
      </c>
      <c r="N835">
        <v>109.45</v>
      </c>
      <c r="O835">
        <v>965.55</v>
      </c>
      <c r="P835" t="s">
        <v>26</v>
      </c>
      <c r="Q835" t="s">
        <v>27</v>
      </c>
      <c r="R835" t="s">
        <v>36</v>
      </c>
      <c r="S835" t="str">
        <f>TRIM(PROPER(_xlfn.XLOOKUP(Table1[[#This Row],[ProductID_Clean]],Table3[ProductID],Table3[Category],"Missing Value",0)))</f>
        <v>Sensors</v>
      </c>
      <c r="T835" t="str">
        <f>_xlfn.XLOOKUP(Table1[[#This Row],[CustomerID_Check]],Table2[CustomerID],Table2[CustomerType],"Missing Value",0)</f>
        <v>Key Account</v>
      </c>
    </row>
    <row r="836" spans="1:20">
      <c r="A836" t="s">
        <v>1087</v>
      </c>
      <c r="B836" s="1">
        <v>45784</v>
      </c>
      <c r="C836" t="s">
        <v>272</v>
      </c>
      <c r="D836" t="str">
        <f>UPPER(Table1[[#This Row],[ProductID_Clean]])</f>
        <v>P-SA-002</v>
      </c>
      <c r="E836" t="s">
        <v>147</v>
      </c>
      <c r="F836" t="s">
        <v>102</v>
      </c>
      <c r="G836" t="str">
        <f>TRIM(Table1[[#This Row],[Region_Clean]])</f>
        <v>EMEA</v>
      </c>
      <c r="H836" t="s">
        <v>53</v>
      </c>
      <c r="I836" t="s">
        <v>87</v>
      </c>
      <c r="J836" s="3">
        <v>1</v>
      </c>
      <c r="K836" s="3">
        <v>8098.03</v>
      </c>
      <c r="L836">
        <v>9800</v>
      </c>
      <c r="M836">
        <v>9800</v>
      </c>
      <c r="N836">
        <v>1701.97</v>
      </c>
      <c r="O836">
        <v>8098.03</v>
      </c>
      <c r="P836" t="s">
        <v>26</v>
      </c>
      <c r="Q836" t="s">
        <v>88</v>
      </c>
      <c r="R836" t="s">
        <v>36</v>
      </c>
      <c r="S836" t="str">
        <f>TRIM(PROPER(_xlfn.XLOOKUP(Table1[[#This Row],[ProductID_Clean]],Table3[ProductID],Table3[Category],"Missing Value",0)))</f>
        <v>Software</v>
      </c>
      <c r="T836" t="str">
        <f>_xlfn.XLOOKUP(Table1[[#This Row],[CustomerID_Check]],Table2[CustomerID],Table2[CustomerType],"Missing Value",0)</f>
        <v>Key Account</v>
      </c>
    </row>
    <row r="837" spans="1:20">
      <c r="A837" t="s">
        <v>1088</v>
      </c>
      <c r="B837" s="1">
        <v>45732</v>
      </c>
      <c r="C837" t="s">
        <v>323</v>
      </c>
      <c r="D837" t="str">
        <f>UPPER(Table1[[#This Row],[ProductID_Clean]])</f>
        <v>P-FS-002</v>
      </c>
      <c r="E837" t="s">
        <v>81</v>
      </c>
      <c r="F837" t="s">
        <v>23</v>
      </c>
      <c r="G837" t="str">
        <f>TRIM(Table1[[#This Row],[Region_Clean]])</f>
        <v>N. AMERICA</v>
      </c>
      <c r="H837" t="s">
        <v>82</v>
      </c>
      <c r="I837" t="s">
        <v>25</v>
      </c>
      <c r="J837" s="3">
        <v>1</v>
      </c>
      <c r="K837" s="3">
        <v>2114.71</v>
      </c>
      <c r="L837">
        <v>2400</v>
      </c>
      <c r="M837">
        <v>2400</v>
      </c>
      <c r="N837">
        <v>285.29000000000002</v>
      </c>
      <c r="O837">
        <v>2114.71</v>
      </c>
      <c r="P837" t="s">
        <v>26</v>
      </c>
      <c r="Q837" t="s">
        <v>94</v>
      </c>
      <c r="R837" t="s">
        <v>59</v>
      </c>
      <c r="S837" t="str">
        <f>TRIM(PROPER(_xlfn.XLOOKUP(Table1[[#This Row],[ProductID_Clean]],Table3[ProductID],Table3[Category],"Missing Value",0)))</f>
        <v>Services</v>
      </c>
      <c r="T837" t="str">
        <f>_xlfn.XLOOKUP(Table1[[#This Row],[CustomerID_Check]],Table2[CustomerID],Table2[CustomerType],"Missing Value",0)</f>
        <v>Key Account</v>
      </c>
    </row>
    <row r="838" spans="1:20">
      <c r="A838" t="s">
        <v>1089</v>
      </c>
      <c r="B838" s="1">
        <v>45803</v>
      </c>
      <c r="C838" t="s">
        <v>100</v>
      </c>
      <c r="D838" t="str">
        <f>UPPER(Table1[[#This Row],[ProductID_Clean]])</f>
        <v>P-SI-008</v>
      </c>
      <c r="E838" t="s">
        <v>152</v>
      </c>
      <c r="F838" t="s">
        <v>47</v>
      </c>
      <c r="G838" t="str">
        <f>TRIM(Table1[[#This Row],[Region_Clean]])</f>
        <v>EMEA</v>
      </c>
      <c r="H838" t="s">
        <v>24</v>
      </c>
      <c r="I838" t="s">
        <v>34</v>
      </c>
      <c r="J838" s="3">
        <v>8</v>
      </c>
      <c r="K838" s="3">
        <v>829.56</v>
      </c>
      <c r="L838">
        <v>950</v>
      </c>
      <c r="M838">
        <v>7600</v>
      </c>
      <c r="N838">
        <v>963.52</v>
      </c>
      <c r="O838">
        <v>6636.48</v>
      </c>
      <c r="P838" t="s">
        <v>26</v>
      </c>
      <c r="Q838" t="s">
        <v>65</v>
      </c>
      <c r="R838" t="s">
        <v>36</v>
      </c>
      <c r="S838" t="str">
        <f>TRIM(PROPER(_xlfn.XLOOKUP(Table1[[#This Row],[ProductID_Clean]],Table3[ProductID],Table3[Category],"Missing Value",0)))</f>
        <v>Instruments</v>
      </c>
      <c r="T838" t="str">
        <f>_xlfn.XLOOKUP(Table1[[#This Row],[CustomerID_Check]],Table2[CustomerID],Table2[CustomerType],"Missing Value",0)</f>
        <v>Strategic</v>
      </c>
    </row>
    <row r="839" spans="1:20">
      <c r="A839" t="s">
        <v>1090</v>
      </c>
      <c r="B839" s="1">
        <v>45730</v>
      </c>
      <c r="C839" t="s">
        <v>457</v>
      </c>
      <c r="D839" t="str">
        <f>UPPER(Table1[[#This Row],[ProductID_Clean]])</f>
        <v>P-SI-001</v>
      </c>
      <c r="E839" t="s">
        <v>72</v>
      </c>
      <c r="F839" t="s">
        <v>23</v>
      </c>
      <c r="G839" t="str">
        <f>TRIM(Table1[[#This Row],[Region_Clean]])</f>
        <v>N. AMERICA</v>
      </c>
      <c r="H839" t="s">
        <v>24</v>
      </c>
      <c r="I839" t="s">
        <v>25</v>
      </c>
      <c r="J839" s="3">
        <v>10</v>
      </c>
      <c r="K839" s="3">
        <v>441.27</v>
      </c>
      <c r="L839">
        <v>485</v>
      </c>
      <c r="M839">
        <v>4850</v>
      </c>
      <c r="N839">
        <v>437.3</v>
      </c>
      <c r="O839">
        <v>4412.7</v>
      </c>
      <c r="P839" t="s">
        <v>26</v>
      </c>
      <c r="Q839" t="s">
        <v>35</v>
      </c>
      <c r="R839" t="s">
        <v>28</v>
      </c>
      <c r="S839" t="str">
        <f>TRIM(PROPER(_xlfn.XLOOKUP(Table1[[#This Row],[ProductID_Clean]],Table3[ProductID],Table3[Category],"Missing Value",0)))</f>
        <v>Sensors</v>
      </c>
      <c r="T839" t="str">
        <f>_xlfn.XLOOKUP(Table1[[#This Row],[CustomerID_Check]],Table2[CustomerID],Table2[CustomerType],"Missing Value",0)</f>
        <v>Key Account</v>
      </c>
    </row>
    <row r="840" spans="1:20">
      <c r="A840" t="s">
        <v>1091</v>
      </c>
      <c r="B840" s="1">
        <v>45792</v>
      </c>
      <c r="C840" t="s">
        <v>227</v>
      </c>
      <c r="D840" t="str">
        <f>UPPER(Table1[[#This Row],[ProductID_Clean]])</f>
        <v>P-SI-006</v>
      </c>
      <c r="E840" t="s">
        <v>43</v>
      </c>
      <c r="F840" t="s">
        <v>23</v>
      </c>
      <c r="G840" t="str">
        <f>TRIM(Table1[[#This Row],[Region_Clean]])</f>
        <v>N. AMERICA</v>
      </c>
      <c r="H840" t="s">
        <v>24</v>
      </c>
      <c r="I840" t="s">
        <v>25</v>
      </c>
      <c r="J840" s="3">
        <v>3</v>
      </c>
      <c r="K840" s="3">
        <v>180.9</v>
      </c>
      <c r="L840">
        <v>215</v>
      </c>
      <c r="M840">
        <v>645</v>
      </c>
      <c r="N840">
        <v>102.3</v>
      </c>
      <c r="O840">
        <v>542.70000000000005</v>
      </c>
      <c r="P840" t="s">
        <v>26</v>
      </c>
      <c r="Q840" t="s">
        <v>27</v>
      </c>
      <c r="R840" t="s">
        <v>36</v>
      </c>
      <c r="S840" t="str">
        <f>TRIM(PROPER(_xlfn.XLOOKUP(Table1[[#This Row],[ProductID_Clean]],Table3[ProductID],Table3[Category],"Missing Value",0)))</f>
        <v>Sensors</v>
      </c>
      <c r="T840" t="str">
        <f>_xlfn.XLOOKUP(Table1[[#This Row],[CustomerID_Check]],Table2[CustomerID],Table2[CustomerType],"Missing Value",0)</f>
        <v>Standard</v>
      </c>
    </row>
    <row r="841" spans="1:20">
      <c r="A841" t="s">
        <v>1092</v>
      </c>
      <c r="B841" s="1">
        <v>45692</v>
      </c>
      <c r="C841" t="s">
        <v>830</v>
      </c>
      <c r="D841" t="str">
        <f>UPPER(Table1[[#This Row],[ProductID_Clean]])</f>
        <v>P-SI-002</v>
      </c>
      <c r="E841" t="s">
        <v>31</v>
      </c>
      <c r="F841" t="s">
        <v>23</v>
      </c>
      <c r="G841" t="str">
        <f>TRIM(Table1[[#This Row],[Region_Clean]])</f>
        <v>N. AMERICA</v>
      </c>
      <c r="H841" t="s">
        <v>24</v>
      </c>
      <c r="I841" t="s">
        <v>25</v>
      </c>
      <c r="J841" s="3">
        <v>1</v>
      </c>
      <c r="K841" s="3">
        <v>664.18</v>
      </c>
      <c r="L841">
        <v>725</v>
      </c>
      <c r="M841">
        <v>725</v>
      </c>
      <c r="N841">
        <v>60.82</v>
      </c>
      <c r="O841">
        <v>664.18</v>
      </c>
      <c r="P841" t="s">
        <v>26</v>
      </c>
      <c r="Q841" t="s">
        <v>35</v>
      </c>
      <c r="R841" t="s">
        <v>44</v>
      </c>
      <c r="S841" t="str">
        <f>TRIM(PROPER(_xlfn.XLOOKUP(Table1[[#This Row],[ProductID_Clean]],Table3[ProductID],Table3[Category],"Missing Value",0)))</f>
        <v>Sensors</v>
      </c>
      <c r="T841" t="str">
        <f>_xlfn.XLOOKUP(Table1[[#This Row],[CustomerID_Check]],Table2[CustomerID],Table2[CustomerType],"Missing Value",0)</f>
        <v>Emerging</v>
      </c>
    </row>
    <row r="842" spans="1:20">
      <c r="A842" t="s">
        <v>1093</v>
      </c>
      <c r="B842" s="1">
        <v>45777</v>
      </c>
      <c r="C842" t="s">
        <v>80</v>
      </c>
      <c r="D842" t="str">
        <f>UPPER(Table1[[#This Row],[ProductID_Clean]])</f>
        <v>P-SI-005</v>
      </c>
      <c r="E842" t="s">
        <v>57</v>
      </c>
      <c r="F842" t="s">
        <v>23</v>
      </c>
      <c r="G842" t="str">
        <f>TRIM(Table1[[#This Row],[Region_Clean]])</f>
        <v>N. AMERICA</v>
      </c>
      <c r="H842" t="s">
        <v>24</v>
      </c>
      <c r="I842" t="s">
        <v>87</v>
      </c>
      <c r="J842" s="3">
        <v>5</v>
      </c>
      <c r="K842" s="3">
        <v>805.39</v>
      </c>
      <c r="L842">
        <v>1120</v>
      </c>
      <c r="M842">
        <v>5600</v>
      </c>
      <c r="N842">
        <v>1573.05</v>
      </c>
      <c r="O842">
        <v>4026.95</v>
      </c>
      <c r="P842" t="s">
        <v>26</v>
      </c>
      <c r="Q842" t="s">
        <v>35</v>
      </c>
      <c r="R842" t="s">
        <v>48</v>
      </c>
      <c r="S842" t="str">
        <f>TRIM(PROPER(_xlfn.XLOOKUP(Table1[[#This Row],[ProductID_Clean]],Table3[ProductID],Table3[Category],"Missing Value",0)))</f>
        <v>Sensors</v>
      </c>
      <c r="T842" t="str">
        <f>_xlfn.XLOOKUP(Table1[[#This Row],[CustomerID_Check]],Table2[CustomerID],Table2[CustomerType],"Missing Value",0)</f>
        <v>Strategic</v>
      </c>
    </row>
    <row r="843" spans="1:20">
      <c r="A843" t="s">
        <v>1094</v>
      </c>
      <c r="B843" s="1">
        <v>45742</v>
      </c>
      <c r="C843" t="s">
        <v>116</v>
      </c>
      <c r="D843" t="str">
        <f>UPPER(Table1[[#This Row],[ProductID_Clean]])</f>
        <v>P-FS-006</v>
      </c>
      <c r="E843" t="s">
        <v>92</v>
      </c>
      <c r="F843" t="s">
        <v>47</v>
      </c>
      <c r="G843" t="str">
        <f>TRIM(Table1[[#This Row],[Region_Clean]])</f>
        <v>EMEA</v>
      </c>
      <c r="H843" t="s">
        <v>82</v>
      </c>
      <c r="I843" t="s">
        <v>25</v>
      </c>
      <c r="J843" s="3">
        <v>1</v>
      </c>
      <c r="K843" s="3">
        <v>1380.7</v>
      </c>
      <c r="L843">
        <v>1450</v>
      </c>
      <c r="M843">
        <v>1450</v>
      </c>
      <c r="N843">
        <v>69.3</v>
      </c>
      <c r="O843">
        <v>1380.7</v>
      </c>
      <c r="P843" t="s">
        <v>26</v>
      </c>
      <c r="Q843" t="s">
        <v>35</v>
      </c>
      <c r="R843" t="s">
        <v>28</v>
      </c>
      <c r="S843" t="str">
        <f>TRIM(PROPER(_xlfn.XLOOKUP(Table1[[#This Row],[ProductID_Clean]],Table3[ProductID],Table3[Category],"Missing Value",0)))</f>
        <v>Services</v>
      </c>
      <c r="T843" t="str">
        <f>_xlfn.XLOOKUP(Table1[[#This Row],[CustomerID_Check]],Table2[CustomerID],Table2[CustomerType],"Missing Value",0)</f>
        <v>Standard</v>
      </c>
    </row>
    <row r="844" spans="1:20">
      <c r="A844" t="s">
        <v>1095</v>
      </c>
      <c r="B844" s="1">
        <v>45823</v>
      </c>
      <c r="C844" t="s">
        <v>71</v>
      </c>
      <c r="D844" t="str">
        <f>UPPER(Table1[[#This Row],[ProductID_Clean]])</f>
        <v>P-SI-006</v>
      </c>
      <c r="E844" t="s">
        <v>43</v>
      </c>
      <c r="F844" t="s">
        <v>23</v>
      </c>
      <c r="G844" t="str">
        <f>TRIM(Table1[[#This Row],[Region_Clean]])</f>
        <v>N. AMERICA</v>
      </c>
      <c r="H844" t="s">
        <v>24</v>
      </c>
      <c r="I844" t="s">
        <v>87</v>
      </c>
      <c r="J844" s="3">
        <v>10</v>
      </c>
      <c r="K844" s="3">
        <v>152.54</v>
      </c>
      <c r="L844">
        <v>215</v>
      </c>
      <c r="M844">
        <v>2150</v>
      </c>
      <c r="N844">
        <v>624.6</v>
      </c>
      <c r="O844">
        <v>1525.4</v>
      </c>
      <c r="P844" t="s">
        <v>26</v>
      </c>
      <c r="Q844" t="s">
        <v>27</v>
      </c>
      <c r="R844" t="s">
        <v>48</v>
      </c>
      <c r="S844" t="str">
        <f>TRIM(PROPER(_xlfn.XLOOKUP(Table1[[#This Row],[ProductID_Clean]],Table3[ProductID],Table3[Category],"Missing Value",0)))</f>
        <v>Sensors</v>
      </c>
      <c r="T844" t="str">
        <f>_xlfn.XLOOKUP(Table1[[#This Row],[CustomerID_Check]],Table2[CustomerID],Table2[CustomerType],"Missing Value",0)</f>
        <v>Key Account</v>
      </c>
    </row>
    <row r="845" spans="1:20">
      <c r="A845" t="s">
        <v>1096</v>
      </c>
      <c r="B845" s="1">
        <v>45705</v>
      </c>
      <c r="C845" t="s">
        <v>141</v>
      </c>
      <c r="D845" t="str">
        <f>UPPER(Table1[[#This Row],[ProductID_Clean]])</f>
        <v>P-SA-003</v>
      </c>
      <c r="E845" t="s">
        <v>51</v>
      </c>
      <c r="F845" t="s">
        <v>23</v>
      </c>
      <c r="G845" t="str">
        <f>TRIM(Table1[[#This Row],[Region_Clean]])</f>
        <v>N. AMERICA</v>
      </c>
      <c r="H845" t="s">
        <v>53</v>
      </c>
      <c r="I845" t="s">
        <v>25</v>
      </c>
      <c r="J845" s="3">
        <v>1</v>
      </c>
      <c r="K845" s="3">
        <v>2333.0700000000002</v>
      </c>
      <c r="L845">
        <v>2750</v>
      </c>
      <c r="M845">
        <v>2750</v>
      </c>
      <c r="N845">
        <v>416.93</v>
      </c>
      <c r="O845">
        <v>2333.0700000000002</v>
      </c>
      <c r="P845" t="s">
        <v>26</v>
      </c>
      <c r="Q845" t="s">
        <v>54</v>
      </c>
      <c r="R845" t="s">
        <v>36</v>
      </c>
      <c r="S845" t="str">
        <f>TRIM(PROPER(_xlfn.XLOOKUP(Table1[[#This Row],[ProductID_Clean]],Table3[ProductID],Table3[Category],"Missing Value",0)))</f>
        <v>Software</v>
      </c>
      <c r="T845" t="str">
        <f>_xlfn.XLOOKUP(Table1[[#This Row],[CustomerID_Check]],Table2[CustomerID],Table2[CustomerType],"Missing Value",0)</f>
        <v>Key Account</v>
      </c>
    </row>
    <row r="846" spans="1:20">
      <c r="A846" t="s">
        <v>1097</v>
      </c>
      <c r="B846" s="1">
        <v>45744</v>
      </c>
      <c r="C846" t="s">
        <v>38</v>
      </c>
      <c r="D846" t="str">
        <f>UPPER(Table1[[#This Row],[ProductID_Clean]])</f>
        <v>P-SI-006</v>
      </c>
      <c r="E846" t="s">
        <v>43</v>
      </c>
      <c r="F846" t="s">
        <v>32</v>
      </c>
      <c r="G846" t="str">
        <f>TRIM(Table1[[#This Row],[Region_Clean]])</f>
        <v>LATIN AMERICA</v>
      </c>
      <c r="H846" t="s">
        <v>24</v>
      </c>
      <c r="I846" t="s">
        <v>25</v>
      </c>
      <c r="J846" s="3">
        <v>3</v>
      </c>
      <c r="K846" s="3">
        <v>172.39</v>
      </c>
      <c r="L846">
        <v>215</v>
      </c>
      <c r="M846">
        <v>645</v>
      </c>
      <c r="N846">
        <v>127.83</v>
      </c>
      <c r="O846">
        <v>517.16999999999996</v>
      </c>
      <c r="P846" t="s">
        <v>26</v>
      </c>
      <c r="Q846" t="s">
        <v>35</v>
      </c>
      <c r="R846" t="s">
        <v>36</v>
      </c>
      <c r="S846" t="str">
        <f>TRIM(PROPER(_xlfn.XLOOKUP(Table1[[#This Row],[ProductID_Clean]],Table3[ProductID],Table3[Category],"Missing Value",0)))</f>
        <v>Sensors</v>
      </c>
      <c r="T846" t="str">
        <f>_xlfn.XLOOKUP(Table1[[#This Row],[CustomerID_Check]],Table2[CustomerID],Table2[CustomerType],"Missing Value",0)</f>
        <v>Standard</v>
      </c>
    </row>
    <row r="847" spans="1:20">
      <c r="A847" t="s">
        <v>1098</v>
      </c>
      <c r="B847" s="1">
        <v>45830</v>
      </c>
      <c r="C847" t="s">
        <v>252</v>
      </c>
      <c r="D847" t="str">
        <f>UPPER(Table1[[#This Row],[ProductID_Clean]])</f>
        <v>P-SI-002</v>
      </c>
      <c r="E847" t="s">
        <v>31</v>
      </c>
      <c r="F847" t="s">
        <v>23</v>
      </c>
      <c r="G847" t="str">
        <f>TRIM(Table1[[#This Row],[Region_Clean]])</f>
        <v>N. AMERICA</v>
      </c>
      <c r="H847" t="s">
        <v>24</v>
      </c>
      <c r="I847" t="s">
        <v>25</v>
      </c>
      <c r="J847" s="3">
        <v>15</v>
      </c>
      <c r="K847" s="3">
        <v>618.79</v>
      </c>
      <c r="L847">
        <v>725</v>
      </c>
      <c r="M847">
        <v>10875</v>
      </c>
      <c r="N847">
        <v>1593.15</v>
      </c>
      <c r="O847">
        <v>9281.85</v>
      </c>
      <c r="P847" t="s">
        <v>26</v>
      </c>
      <c r="Q847" t="s">
        <v>27</v>
      </c>
      <c r="R847" t="s">
        <v>44</v>
      </c>
      <c r="S847" t="str">
        <f>TRIM(PROPER(_xlfn.XLOOKUP(Table1[[#This Row],[ProductID_Clean]],Table3[ProductID],Table3[Category],"Missing Value",0)))</f>
        <v>Sensors</v>
      </c>
      <c r="T847" t="str">
        <f>_xlfn.XLOOKUP(Table1[[#This Row],[CustomerID_Check]],Table2[CustomerID],Table2[CustomerType],"Missing Value",0)</f>
        <v>Strategic</v>
      </c>
    </row>
    <row r="848" spans="1:20">
      <c r="A848" t="s">
        <v>1099</v>
      </c>
      <c r="B848" s="1">
        <v>45702</v>
      </c>
      <c r="C848" t="s">
        <v>248</v>
      </c>
      <c r="D848" t="str">
        <f>UPPER(Table1[[#This Row],[ProductID_Clean]])</f>
        <v>P-SI-001</v>
      </c>
      <c r="E848" t="s">
        <v>72</v>
      </c>
      <c r="F848" t="s">
        <v>32</v>
      </c>
      <c r="G848" t="str">
        <f>TRIM(Table1[[#This Row],[Region_Clean]])</f>
        <v>LATIN AMERICA</v>
      </c>
      <c r="H848" t="s">
        <v>24</v>
      </c>
      <c r="I848" t="s">
        <v>25</v>
      </c>
      <c r="J848" s="3">
        <v>10</v>
      </c>
      <c r="K848" s="3">
        <v>421.7</v>
      </c>
      <c r="L848">
        <v>485</v>
      </c>
      <c r="M848">
        <v>4850</v>
      </c>
      <c r="N848">
        <v>633</v>
      </c>
      <c r="O848">
        <v>4217</v>
      </c>
      <c r="P848" t="s">
        <v>113</v>
      </c>
      <c r="Q848" t="s">
        <v>65</v>
      </c>
      <c r="R848" t="s">
        <v>44</v>
      </c>
      <c r="S848" t="str">
        <f>TRIM(PROPER(_xlfn.XLOOKUP(Table1[[#This Row],[ProductID_Clean]],Table3[ProductID],Table3[Category],"Missing Value",0)))</f>
        <v>Sensors</v>
      </c>
      <c r="T848" t="str">
        <f>_xlfn.XLOOKUP(Table1[[#This Row],[CustomerID_Check]],Table2[CustomerID],Table2[CustomerType],"Missing Value",0)</f>
        <v>Standard</v>
      </c>
    </row>
    <row r="849" spans="1:20">
      <c r="A849" t="s">
        <v>1100</v>
      </c>
      <c r="B849" s="1">
        <v>45821</v>
      </c>
      <c r="C849" t="s">
        <v>299</v>
      </c>
      <c r="D849" t="str">
        <f>UPPER(Table1[[#This Row],[ProductID_Clean]])</f>
        <v>P-FS-001</v>
      </c>
      <c r="E849" t="s">
        <v>133</v>
      </c>
      <c r="F849" t="s">
        <v>47</v>
      </c>
      <c r="G849" t="str">
        <f>TRIM(Table1[[#This Row],[Region_Clean]])</f>
        <v>EMEA</v>
      </c>
      <c r="H849" t="s">
        <v>82</v>
      </c>
      <c r="I849" t="s">
        <v>25</v>
      </c>
      <c r="J849" s="3">
        <v>1</v>
      </c>
      <c r="K849" s="3">
        <v>1567.76</v>
      </c>
      <c r="L849">
        <v>1850</v>
      </c>
      <c r="M849">
        <v>1850</v>
      </c>
      <c r="N849">
        <v>282.24</v>
      </c>
      <c r="O849">
        <v>1567.76</v>
      </c>
      <c r="P849" t="s">
        <v>26</v>
      </c>
      <c r="Q849" t="s">
        <v>27</v>
      </c>
      <c r="R849" t="s">
        <v>36</v>
      </c>
      <c r="S849" t="str">
        <f>TRIM(PROPER(_xlfn.XLOOKUP(Table1[[#This Row],[ProductID_Clean]],Table3[ProductID],Table3[Category],"Missing Value",0)))</f>
        <v>Services</v>
      </c>
      <c r="T849" t="str">
        <f>_xlfn.XLOOKUP(Table1[[#This Row],[CustomerID_Check]],Table2[CustomerID],Table2[CustomerType],"Missing Value",0)</f>
        <v>Standard</v>
      </c>
    </row>
    <row r="850" spans="1:20">
      <c r="A850" t="s">
        <v>1101</v>
      </c>
      <c r="B850" s="1">
        <v>45767</v>
      </c>
      <c r="C850" t="s">
        <v>463</v>
      </c>
      <c r="D850" t="str">
        <f>UPPER(Table1[[#This Row],[ProductID_Clean]])</f>
        <v>P-SI-005</v>
      </c>
      <c r="E850" t="s">
        <v>57</v>
      </c>
      <c r="F850" t="s">
        <v>102</v>
      </c>
      <c r="G850" t="str">
        <f>TRIM(Table1[[#This Row],[Region_Clean]])</f>
        <v>EMEA</v>
      </c>
      <c r="H850" t="s">
        <v>24</v>
      </c>
      <c r="I850" t="s">
        <v>34</v>
      </c>
      <c r="J850" s="3">
        <v>2</v>
      </c>
      <c r="K850" s="3">
        <v>948.47</v>
      </c>
      <c r="L850">
        <v>1120</v>
      </c>
      <c r="M850">
        <v>2240</v>
      </c>
      <c r="N850">
        <v>343.06</v>
      </c>
      <c r="O850">
        <v>1896.94</v>
      </c>
      <c r="P850" t="s">
        <v>26</v>
      </c>
      <c r="Q850" t="s">
        <v>35</v>
      </c>
      <c r="R850" t="s">
        <v>48</v>
      </c>
      <c r="S850" t="str">
        <f>TRIM(PROPER(_xlfn.XLOOKUP(Table1[[#This Row],[ProductID_Clean]],Table3[ProductID],Table3[Category],"Missing Value",0)))</f>
        <v>Sensors</v>
      </c>
      <c r="T850" t="str">
        <f>_xlfn.XLOOKUP(Table1[[#This Row],[CustomerID_Check]],Table2[CustomerID],Table2[CustomerType],"Missing Value",0)</f>
        <v>Key Account</v>
      </c>
    </row>
    <row r="851" spans="1:20">
      <c r="A851" t="s">
        <v>1102</v>
      </c>
      <c r="B851" s="1">
        <v>45741</v>
      </c>
      <c r="C851" t="s">
        <v>282</v>
      </c>
      <c r="D851" t="str">
        <f>UPPER(Table1[[#This Row],[ProductID_Clean]])</f>
        <v>P-SI-001</v>
      </c>
      <c r="E851" t="s">
        <v>72</v>
      </c>
      <c r="F851" t="s">
        <v>23</v>
      </c>
      <c r="G851" t="str">
        <f>TRIM(Table1[[#This Row],[Region_Clean]])</f>
        <v>N. AMERICA</v>
      </c>
      <c r="H851" t="s">
        <v>24</v>
      </c>
      <c r="I851" t="s">
        <v>87</v>
      </c>
      <c r="J851" s="3">
        <v>3</v>
      </c>
      <c r="K851" s="3">
        <v>353.04</v>
      </c>
      <c r="L851">
        <v>485</v>
      </c>
      <c r="M851">
        <v>1455</v>
      </c>
      <c r="N851">
        <v>395.88</v>
      </c>
      <c r="O851">
        <v>1059.1199999999999</v>
      </c>
      <c r="P851" t="s">
        <v>26</v>
      </c>
      <c r="Q851" t="s">
        <v>35</v>
      </c>
      <c r="R851" t="s">
        <v>59</v>
      </c>
      <c r="S851" t="str">
        <f>TRIM(PROPER(_xlfn.XLOOKUP(Table1[[#This Row],[ProductID_Clean]],Table3[ProductID],Table3[Category],"Missing Value",0)))</f>
        <v>Sensors</v>
      </c>
      <c r="T851" t="str">
        <f>_xlfn.XLOOKUP(Table1[[#This Row],[CustomerID_Check]],Table2[CustomerID],Table2[CustomerType],"Missing Value",0)</f>
        <v>Strategic</v>
      </c>
    </row>
    <row r="852" spans="1:20">
      <c r="A852" t="s">
        <v>1103</v>
      </c>
      <c r="B852" s="1">
        <v>45760</v>
      </c>
      <c r="C852" t="s">
        <v>56</v>
      </c>
      <c r="D852" t="str">
        <f>UPPER(Table1[[#This Row],[ProductID_Clean]])</f>
        <v>P-SI-004</v>
      </c>
      <c r="E852" t="s">
        <v>22</v>
      </c>
      <c r="F852" t="s">
        <v>198</v>
      </c>
      <c r="G852" t="str">
        <f>TRIM(Table1[[#This Row],[Region_Clean]])</f>
        <v>APAC</v>
      </c>
      <c r="H852" t="s">
        <v>24</v>
      </c>
      <c r="I852" t="s">
        <v>87</v>
      </c>
      <c r="J852" s="3">
        <v>1</v>
      </c>
      <c r="K852" s="3">
        <v>1899.32</v>
      </c>
      <c r="L852">
        <v>2450</v>
      </c>
      <c r="M852">
        <v>2450</v>
      </c>
      <c r="N852">
        <v>550.67999999999995</v>
      </c>
      <c r="O852">
        <v>1899.32</v>
      </c>
      <c r="P852" t="s">
        <v>26</v>
      </c>
      <c r="Q852" t="s">
        <v>35</v>
      </c>
      <c r="R852" t="s">
        <v>59</v>
      </c>
      <c r="S852" t="str">
        <f>TRIM(PROPER(_xlfn.XLOOKUP(Table1[[#This Row],[ProductID_Clean]],Table3[ProductID],Table3[Category],"Missing Value",0)))</f>
        <v>Instruments</v>
      </c>
      <c r="T852" t="str">
        <f>_xlfn.XLOOKUP(Table1[[#This Row],[CustomerID_Check]],Table2[CustomerID],Table2[CustomerType],"Missing Value",0)</f>
        <v>Key Account</v>
      </c>
    </row>
    <row r="853" spans="1:20">
      <c r="A853" t="s">
        <v>1104</v>
      </c>
      <c r="B853" s="1">
        <v>45682</v>
      </c>
      <c r="C853" t="s">
        <v>225</v>
      </c>
      <c r="D853" t="str">
        <f>UPPER(Table1[[#This Row],[ProductID_Clean]])</f>
        <v>P-SA-001</v>
      </c>
      <c r="E853" t="s">
        <v>68</v>
      </c>
      <c r="F853" t="s">
        <v>23</v>
      </c>
      <c r="G853" t="str">
        <f>TRIM(Table1[[#This Row],[Region_Clean]])</f>
        <v>N. AMERICA</v>
      </c>
      <c r="H853" t="s">
        <v>53</v>
      </c>
      <c r="I853" t="s">
        <v>87</v>
      </c>
      <c r="J853" s="3">
        <v>1</v>
      </c>
      <c r="K853" s="3">
        <v>3729.54</v>
      </c>
      <c r="L853">
        <v>4200</v>
      </c>
      <c r="M853">
        <v>4200</v>
      </c>
      <c r="N853">
        <v>470.46</v>
      </c>
      <c r="O853">
        <v>3729.54</v>
      </c>
      <c r="P853" t="s">
        <v>26</v>
      </c>
      <c r="Q853" t="s">
        <v>88</v>
      </c>
      <c r="R853" t="s">
        <v>36</v>
      </c>
      <c r="S853" t="str">
        <f>TRIM(PROPER(_xlfn.XLOOKUP(Table1[[#This Row],[ProductID_Clean]],Table3[ProductID],Table3[Category],"Missing Value",0)))</f>
        <v>Software</v>
      </c>
      <c r="T853" t="str">
        <f>_xlfn.XLOOKUP(Table1[[#This Row],[CustomerID_Check]],Table2[CustomerID],Table2[CustomerType],"Missing Value",0)</f>
        <v>Key Account</v>
      </c>
    </row>
    <row r="854" spans="1:20">
      <c r="A854" t="s">
        <v>1105</v>
      </c>
      <c r="B854" s="1">
        <v>45693</v>
      </c>
      <c r="C854" t="s">
        <v>1079</v>
      </c>
      <c r="D854" t="str">
        <f>UPPER(Table1[[#This Row],[ProductID_Clean]])</f>
        <v>P-SI-003</v>
      </c>
      <c r="E854" t="s">
        <v>39</v>
      </c>
      <c r="F854" t="s">
        <v>32</v>
      </c>
      <c r="G854" t="str">
        <f>TRIM(Table1[[#This Row],[Region_Clean]])</f>
        <v>LATIN AMERICA</v>
      </c>
      <c r="H854" t="s">
        <v>24</v>
      </c>
      <c r="I854" t="s">
        <v>25</v>
      </c>
      <c r="J854" s="3">
        <v>2</v>
      </c>
      <c r="K854" s="3">
        <v>1698.7</v>
      </c>
      <c r="L854">
        <v>1890</v>
      </c>
      <c r="M854">
        <v>3780</v>
      </c>
      <c r="N854">
        <v>382.6</v>
      </c>
      <c r="O854">
        <v>3397.4</v>
      </c>
      <c r="P854" t="s">
        <v>26</v>
      </c>
      <c r="Q854" t="s">
        <v>65</v>
      </c>
      <c r="R854" t="s">
        <v>36</v>
      </c>
      <c r="S854" t="str">
        <f>TRIM(PROPER(_xlfn.XLOOKUP(Table1[[#This Row],[ProductID_Clean]],Table3[ProductID],Table3[Category],"Missing Value",0)))</f>
        <v>Instruments</v>
      </c>
      <c r="T854" t="str">
        <f>_xlfn.XLOOKUP(Table1[[#This Row],[CustomerID_Check]],Table2[CustomerID],Table2[CustomerType],"Missing Value",0)</f>
        <v>Standard</v>
      </c>
    </row>
    <row r="855" spans="1:20">
      <c r="A855" t="s">
        <v>1106</v>
      </c>
      <c r="B855" s="1">
        <v>45740</v>
      </c>
      <c r="C855" t="s">
        <v>121</v>
      </c>
      <c r="D855" t="str">
        <f>UPPER(Table1[[#This Row],[ProductID_Clean]])</f>
        <v>P-FS-002</v>
      </c>
      <c r="E855" t="s">
        <v>81</v>
      </c>
      <c r="F855" t="s">
        <v>58</v>
      </c>
      <c r="G855" t="str">
        <f>TRIM(Table1[[#This Row],[Region_Clean]])</f>
        <v>APAC</v>
      </c>
      <c r="H855" t="s">
        <v>82</v>
      </c>
      <c r="I855" t="s">
        <v>25</v>
      </c>
      <c r="J855" s="3">
        <v>1</v>
      </c>
      <c r="K855" s="3">
        <v>1954.75</v>
      </c>
      <c r="L855">
        <v>2400</v>
      </c>
      <c r="M855">
        <v>2400</v>
      </c>
      <c r="N855">
        <v>445.25</v>
      </c>
      <c r="O855">
        <v>1954.75</v>
      </c>
      <c r="P855" t="s">
        <v>26</v>
      </c>
      <c r="Q855" t="s">
        <v>40</v>
      </c>
      <c r="R855" t="s">
        <v>36</v>
      </c>
      <c r="S855" t="str">
        <f>TRIM(PROPER(_xlfn.XLOOKUP(Table1[[#This Row],[ProductID_Clean]],Table3[ProductID],Table3[Category],"Missing Value",0)))</f>
        <v>Services</v>
      </c>
      <c r="T855" t="str">
        <f>_xlfn.XLOOKUP(Table1[[#This Row],[CustomerID_Check]],Table2[CustomerID],Table2[CustomerType],"Missing Value",0)</f>
        <v>Key Account</v>
      </c>
    </row>
    <row r="856" spans="1:20">
      <c r="A856" t="s">
        <v>1107</v>
      </c>
      <c r="B856" s="1">
        <v>45659</v>
      </c>
      <c r="C856" t="s">
        <v>151</v>
      </c>
      <c r="D856" t="str">
        <f>UPPER(Table1[[#This Row],[ProductID_Clean]])</f>
        <v>P-SI-008</v>
      </c>
      <c r="E856" t="s">
        <v>152</v>
      </c>
      <c r="F856" t="s">
        <v>32</v>
      </c>
      <c r="G856" t="str">
        <f>TRIM(Table1[[#This Row],[Region_Clean]])</f>
        <v>LATIN AMERICA</v>
      </c>
      <c r="H856" t="s">
        <v>24</v>
      </c>
      <c r="I856" t="s">
        <v>25</v>
      </c>
      <c r="J856" s="3">
        <v>2</v>
      </c>
      <c r="K856" s="3">
        <v>891.25</v>
      </c>
      <c r="L856">
        <v>950</v>
      </c>
      <c r="M856">
        <v>1900</v>
      </c>
      <c r="N856">
        <v>117.5</v>
      </c>
      <c r="O856">
        <v>1782.5</v>
      </c>
      <c r="P856" t="s">
        <v>26</v>
      </c>
      <c r="Q856" t="s">
        <v>35</v>
      </c>
      <c r="R856" t="s">
        <v>59</v>
      </c>
      <c r="S856" t="str">
        <f>TRIM(PROPER(_xlfn.XLOOKUP(Table1[[#This Row],[ProductID_Clean]],Table3[ProductID],Table3[Category],"Missing Value",0)))</f>
        <v>Instruments</v>
      </c>
      <c r="T856" t="str">
        <f>_xlfn.XLOOKUP(Table1[[#This Row],[CustomerID_Check]],Table2[CustomerID],Table2[CustomerType],"Missing Value",0)</f>
        <v>Standard</v>
      </c>
    </row>
    <row r="857" spans="1:20">
      <c r="A857" t="s">
        <v>1108</v>
      </c>
      <c r="B857" s="1">
        <v>45775</v>
      </c>
      <c r="C857" t="s">
        <v>463</v>
      </c>
      <c r="D857" t="str">
        <f>UPPER(Table1[[#This Row],[ProductID_Clean]])</f>
        <v>P-SI-006</v>
      </c>
      <c r="E857" t="s">
        <v>43</v>
      </c>
      <c r="F857" t="s">
        <v>47</v>
      </c>
      <c r="G857" t="str">
        <f>TRIM(Table1[[#This Row],[Region_Clean]])</f>
        <v>EMEA</v>
      </c>
      <c r="H857" t="s">
        <v>24</v>
      </c>
      <c r="I857" t="s">
        <v>25</v>
      </c>
      <c r="J857" s="3">
        <v>2</v>
      </c>
      <c r="K857" s="3">
        <v>175.91</v>
      </c>
      <c r="L857">
        <v>215</v>
      </c>
      <c r="M857">
        <v>430</v>
      </c>
      <c r="N857">
        <v>78.180000000000007</v>
      </c>
      <c r="O857">
        <v>351.82</v>
      </c>
      <c r="P857" t="s">
        <v>26</v>
      </c>
      <c r="Q857" t="s">
        <v>65</v>
      </c>
      <c r="R857" t="s">
        <v>48</v>
      </c>
      <c r="S857" t="str">
        <f>TRIM(PROPER(_xlfn.XLOOKUP(Table1[[#This Row],[ProductID_Clean]],Table3[ProductID],Table3[Category],"Missing Value",0)))</f>
        <v>Sensors</v>
      </c>
      <c r="T857" t="str">
        <f>_xlfn.XLOOKUP(Table1[[#This Row],[CustomerID_Check]],Table2[CustomerID],Table2[CustomerType],"Missing Value",0)</f>
        <v>Key Account</v>
      </c>
    </row>
    <row r="858" spans="1:20">
      <c r="A858" t="s">
        <v>1109</v>
      </c>
      <c r="B858" s="1">
        <v>45742</v>
      </c>
      <c r="C858" t="s">
        <v>282</v>
      </c>
      <c r="D858" t="str">
        <f>UPPER(Table1[[#This Row],[ProductID_Clean]])</f>
        <v>P-SA-003</v>
      </c>
      <c r="E858" t="s">
        <v>51</v>
      </c>
      <c r="F858" t="s">
        <v>23</v>
      </c>
      <c r="G858" t="str">
        <f>TRIM(Table1[[#This Row],[Region_Clean]])</f>
        <v>N. AMERICA</v>
      </c>
      <c r="H858" t="s">
        <v>53</v>
      </c>
      <c r="I858" t="s">
        <v>87</v>
      </c>
      <c r="J858" s="3">
        <v>1</v>
      </c>
      <c r="K858" s="3">
        <v>1997.24</v>
      </c>
      <c r="L858">
        <v>2750</v>
      </c>
      <c r="M858">
        <v>2750</v>
      </c>
      <c r="N858">
        <v>752.76</v>
      </c>
      <c r="O858">
        <v>1997.24</v>
      </c>
      <c r="P858" t="s">
        <v>26</v>
      </c>
      <c r="Q858" t="s">
        <v>54</v>
      </c>
      <c r="R858" t="s">
        <v>59</v>
      </c>
      <c r="S858" t="str">
        <f>TRIM(PROPER(_xlfn.XLOOKUP(Table1[[#This Row],[ProductID_Clean]],Table3[ProductID],Table3[Category],"Missing Value",0)))</f>
        <v>Software</v>
      </c>
      <c r="T858" t="str">
        <f>_xlfn.XLOOKUP(Table1[[#This Row],[CustomerID_Check]],Table2[CustomerID],Table2[CustomerType],"Missing Value",0)</f>
        <v>Strategic</v>
      </c>
    </row>
    <row r="859" spans="1:20">
      <c r="A859" t="s">
        <v>1110</v>
      </c>
      <c r="B859" s="1">
        <v>45804</v>
      </c>
      <c r="C859" t="s">
        <v>237</v>
      </c>
      <c r="D859" t="str">
        <f>UPPER(Table1[[#This Row],[ProductID_Clean]])</f>
        <v>P-SI-006</v>
      </c>
      <c r="E859" t="s">
        <v>43</v>
      </c>
      <c r="F859" t="s">
        <v>47</v>
      </c>
      <c r="G859" t="str">
        <f>TRIM(Table1[[#This Row],[Region_Clean]])</f>
        <v>EMEA</v>
      </c>
      <c r="H859" t="s">
        <v>24</v>
      </c>
      <c r="I859" t="s">
        <v>87</v>
      </c>
      <c r="J859" s="3">
        <v>1</v>
      </c>
      <c r="K859" s="3">
        <v>160.56</v>
      </c>
      <c r="L859">
        <v>215</v>
      </c>
      <c r="M859">
        <v>215</v>
      </c>
      <c r="N859">
        <v>54.44</v>
      </c>
      <c r="O859">
        <v>160.56</v>
      </c>
      <c r="P859" t="s">
        <v>26</v>
      </c>
      <c r="Q859" t="s">
        <v>35</v>
      </c>
      <c r="R859" t="s">
        <v>28</v>
      </c>
      <c r="S859" t="str">
        <f>TRIM(PROPER(_xlfn.XLOOKUP(Table1[[#This Row],[ProductID_Clean]],Table3[ProductID],Table3[Category],"Missing Value",0)))</f>
        <v>Sensors</v>
      </c>
      <c r="T859" t="str">
        <f>_xlfn.XLOOKUP(Table1[[#This Row],[CustomerID_Check]],Table2[CustomerID],Table2[CustomerType],"Missing Value",0)</f>
        <v>Standard</v>
      </c>
    </row>
    <row r="860" spans="1:20">
      <c r="A860" t="s">
        <v>1111</v>
      </c>
      <c r="B860" s="1">
        <v>45750</v>
      </c>
      <c r="C860" t="s">
        <v>168</v>
      </c>
      <c r="D860" t="str">
        <f>UPPER(Table1[[#This Row],[ProductID_Clean]])</f>
        <v>P-SI-008</v>
      </c>
      <c r="E860" t="s">
        <v>152</v>
      </c>
      <c r="F860" t="s">
        <v>47</v>
      </c>
      <c r="G860" t="str">
        <f>TRIM(Table1[[#This Row],[Region_Clean]])</f>
        <v>EMEA</v>
      </c>
      <c r="H860" t="s">
        <v>24</v>
      </c>
      <c r="I860" t="s">
        <v>25</v>
      </c>
      <c r="J860" s="3">
        <v>12</v>
      </c>
      <c r="K860" s="3">
        <v>874.8</v>
      </c>
      <c r="L860">
        <v>950</v>
      </c>
      <c r="M860">
        <v>11400</v>
      </c>
      <c r="N860">
        <v>902.4</v>
      </c>
      <c r="O860">
        <v>10497.6</v>
      </c>
      <c r="P860" t="s">
        <v>113</v>
      </c>
      <c r="Q860" t="s">
        <v>35</v>
      </c>
      <c r="R860" t="s">
        <v>36</v>
      </c>
      <c r="S860" t="str">
        <f>TRIM(PROPER(_xlfn.XLOOKUP(Table1[[#This Row],[ProductID_Clean]],Table3[ProductID],Table3[Category],"Missing Value",0)))</f>
        <v>Instruments</v>
      </c>
      <c r="T860" t="str">
        <f>_xlfn.XLOOKUP(Table1[[#This Row],[CustomerID_Check]],Table2[CustomerID],Table2[CustomerType],"Missing Value",0)</f>
        <v>Standard</v>
      </c>
    </row>
    <row r="861" spans="1:20">
      <c r="A861" t="s">
        <v>1112</v>
      </c>
      <c r="B861" s="1">
        <v>45718</v>
      </c>
      <c r="C861" t="s">
        <v>112</v>
      </c>
      <c r="D861" t="str">
        <f>UPPER(Table1[[#This Row],[ProductID_Clean]])</f>
        <v>P-SA-004</v>
      </c>
      <c r="E861" t="s">
        <v>86</v>
      </c>
      <c r="F861" t="s">
        <v>58</v>
      </c>
      <c r="G861" t="str">
        <f>TRIM(Table1[[#This Row],[Region_Clean]])</f>
        <v>APAC</v>
      </c>
      <c r="H861" t="s">
        <v>53</v>
      </c>
      <c r="I861" t="s">
        <v>98</v>
      </c>
      <c r="J861" s="3">
        <v>1</v>
      </c>
      <c r="K861" s="3">
        <v>1426.48</v>
      </c>
      <c r="L861">
        <v>1650</v>
      </c>
      <c r="M861">
        <v>1650</v>
      </c>
      <c r="N861">
        <v>223.52</v>
      </c>
      <c r="O861">
        <v>1426.48</v>
      </c>
      <c r="P861" t="s">
        <v>26</v>
      </c>
      <c r="Q861" t="s">
        <v>54</v>
      </c>
      <c r="R861" t="s">
        <v>36</v>
      </c>
      <c r="S861" t="str">
        <f>TRIM(PROPER(_xlfn.XLOOKUP(Table1[[#This Row],[ProductID_Clean]],Table3[ProductID],Table3[Category],"Missing Value",0)))</f>
        <v>Software</v>
      </c>
      <c r="T861" t="str">
        <f>_xlfn.XLOOKUP(Table1[[#This Row],[CustomerID_Check]],Table2[CustomerID],Table2[CustomerType],"Missing Value",0)</f>
        <v>Key Account</v>
      </c>
    </row>
    <row r="862" spans="1:20">
      <c r="A862" t="s">
        <v>1113</v>
      </c>
      <c r="B862" s="1">
        <v>45828</v>
      </c>
      <c r="C862" t="s">
        <v>106</v>
      </c>
      <c r="D862" t="str">
        <f>UPPER(Table1[[#This Row],[ProductID_Clean]])</f>
        <v>P-SA-003</v>
      </c>
      <c r="E862" t="s">
        <v>51</v>
      </c>
      <c r="F862" t="s">
        <v>58</v>
      </c>
      <c r="G862" t="str">
        <f>TRIM(Table1[[#This Row],[Region_Clean]])</f>
        <v>APAC</v>
      </c>
      <c r="H862" t="s">
        <v>53</v>
      </c>
      <c r="I862" t="s">
        <v>25</v>
      </c>
      <c r="J862" s="3">
        <v>1</v>
      </c>
      <c r="K862" s="3">
        <v>2319.12</v>
      </c>
      <c r="L862">
        <v>2750</v>
      </c>
      <c r="M862">
        <v>2750</v>
      </c>
      <c r="N862">
        <v>430.88</v>
      </c>
      <c r="O862">
        <v>2319.12</v>
      </c>
      <c r="P862" t="s">
        <v>26</v>
      </c>
      <c r="Q862" t="s">
        <v>88</v>
      </c>
      <c r="R862" t="s">
        <v>59</v>
      </c>
      <c r="S862" t="str">
        <f>TRIM(PROPER(_xlfn.XLOOKUP(Table1[[#This Row],[ProductID_Clean]],Table3[ProductID],Table3[Category],"Missing Value",0)))</f>
        <v>Software</v>
      </c>
      <c r="T862" t="str">
        <f>_xlfn.XLOOKUP(Table1[[#This Row],[CustomerID_Check]],Table2[CustomerID],Table2[CustomerType],"Missing Value",0)</f>
        <v>Key Account</v>
      </c>
    </row>
    <row r="863" spans="1:20">
      <c r="A863" t="s">
        <v>1114</v>
      </c>
      <c r="B863" s="1">
        <v>45777</v>
      </c>
      <c r="C863" t="s">
        <v>416</v>
      </c>
      <c r="D863" t="str">
        <f>UPPER(Table1[[#This Row],[ProductID_Clean]])</f>
        <v>P-SI-005</v>
      </c>
      <c r="E863" t="s">
        <v>57</v>
      </c>
      <c r="F863" t="s">
        <v>23</v>
      </c>
      <c r="G863" t="str">
        <f>TRIM(Table1[[#This Row],[Region_Clean]])</f>
        <v>N. AMERICA</v>
      </c>
      <c r="H863" t="s">
        <v>24</v>
      </c>
      <c r="I863" t="s">
        <v>87</v>
      </c>
      <c r="J863" s="3">
        <v>3</v>
      </c>
      <c r="K863" s="3">
        <v>993.95</v>
      </c>
      <c r="L863">
        <v>1120</v>
      </c>
      <c r="M863">
        <v>3360</v>
      </c>
      <c r="N863">
        <v>378.15</v>
      </c>
      <c r="O863">
        <v>2981.85</v>
      </c>
      <c r="P863" t="s">
        <v>26</v>
      </c>
      <c r="Q863" t="s">
        <v>35</v>
      </c>
      <c r="R863" t="s">
        <v>48</v>
      </c>
      <c r="S863" t="str">
        <f>TRIM(PROPER(_xlfn.XLOOKUP(Table1[[#This Row],[ProductID_Clean]],Table3[ProductID],Table3[Category],"Missing Value",0)))</f>
        <v>Sensors</v>
      </c>
      <c r="T863" t="str">
        <f>_xlfn.XLOOKUP(Table1[[#This Row],[CustomerID_Check]],Table2[CustomerID],Table2[CustomerType],"Missing Value",0)</f>
        <v>Standard</v>
      </c>
    </row>
    <row r="864" spans="1:20">
      <c r="A864" t="s">
        <v>1115</v>
      </c>
      <c r="B864" s="1">
        <v>45833</v>
      </c>
      <c r="C864" t="s">
        <v>246</v>
      </c>
      <c r="D864" t="str">
        <f>UPPER(Table1[[#This Row],[ProductID_Clean]])</f>
        <v>P-SA-001</v>
      </c>
      <c r="E864" t="s">
        <v>68</v>
      </c>
      <c r="F864" t="s">
        <v>23</v>
      </c>
      <c r="G864" t="str">
        <f>TRIM(Table1[[#This Row],[Region_Clean]])</f>
        <v>N. AMERICA</v>
      </c>
      <c r="H864" t="s">
        <v>53</v>
      </c>
      <c r="I864" t="s">
        <v>25</v>
      </c>
      <c r="J864" s="3">
        <v>1</v>
      </c>
      <c r="K864" s="3">
        <v>3992.19</v>
      </c>
      <c r="L864">
        <v>4200</v>
      </c>
      <c r="M864">
        <v>4200</v>
      </c>
      <c r="N864">
        <v>207.81</v>
      </c>
      <c r="O864">
        <v>3992.19</v>
      </c>
      <c r="P864" t="s">
        <v>113</v>
      </c>
      <c r="Q864" t="s">
        <v>54</v>
      </c>
      <c r="R864" t="s">
        <v>48</v>
      </c>
      <c r="S864" t="str">
        <f>TRIM(PROPER(_xlfn.XLOOKUP(Table1[[#This Row],[ProductID_Clean]],Table3[ProductID],Table3[Category],"Missing Value",0)))</f>
        <v>Software</v>
      </c>
      <c r="T864" t="str">
        <f>_xlfn.XLOOKUP(Table1[[#This Row],[CustomerID_Check]],Table2[CustomerID],Table2[CustomerType],"Missing Value",0)</f>
        <v>Key Account</v>
      </c>
    </row>
    <row r="865" spans="1:20">
      <c r="A865" t="s">
        <v>1116</v>
      </c>
      <c r="B865" s="1">
        <v>45838</v>
      </c>
      <c r="C865" t="s">
        <v>642</v>
      </c>
      <c r="D865" t="str">
        <f>UPPER(Table1[[#This Row],[ProductID_Clean]])</f>
        <v>P-SI-001</v>
      </c>
      <c r="E865" t="s">
        <v>72</v>
      </c>
      <c r="F865" t="s">
        <v>47</v>
      </c>
      <c r="G865" t="str">
        <f>TRIM(Table1[[#This Row],[Region_Clean]])</f>
        <v>EMEA</v>
      </c>
      <c r="H865" t="s">
        <v>24</v>
      </c>
      <c r="I865" t="s">
        <v>87</v>
      </c>
      <c r="J865" s="3">
        <v>10</v>
      </c>
      <c r="K865" s="3">
        <v>393.34</v>
      </c>
      <c r="L865">
        <v>485</v>
      </c>
      <c r="M865">
        <v>4850</v>
      </c>
      <c r="N865">
        <v>916.6</v>
      </c>
      <c r="O865">
        <v>3933.4</v>
      </c>
      <c r="P865" t="s">
        <v>26</v>
      </c>
      <c r="Q865" t="s">
        <v>27</v>
      </c>
      <c r="R865" t="s">
        <v>28</v>
      </c>
      <c r="S865" t="str">
        <f>TRIM(PROPER(_xlfn.XLOOKUP(Table1[[#This Row],[ProductID_Clean]],Table3[ProductID],Table3[Category],"Missing Value",0)))</f>
        <v>Sensors</v>
      </c>
      <c r="T865" t="str">
        <f>_xlfn.XLOOKUP(Table1[[#This Row],[CustomerID_Check]],Table2[CustomerID],Table2[CustomerType],"Missing Value",0)</f>
        <v>Standard</v>
      </c>
    </row>
    <row r="866" spans="1:20">
      <c r="A866" t="s">
        <v>1117</v>
      </c>
      <c r="B866" s="1">
        <v>45688</v>
      </c>
      <c r="C866" t="s">
        <v>642</v>
      </c>
      <c r="D866" t="str">
        <f>UPPER(Table1[[#This Row],[ProductID_Clean]])</f>
        <v>P-SI-002</v>
      </c>
      <c r="E866" t="s">
        <v>31</v>
      </c>
      <c r="F866" t="s">
        <v>47</v>
      </c>
      <c r="G866" t="str">
        <f>TRIM(Table1[[#This Row],[Region_Clean]])</f>
        <v>EMEA</v>
      </c>
      <c r="H866" t="s">
        <v>24</v>
      </c>
      <c r="I866" t="s">
        <v>87</v>
      </c>
      <c r="J866" s="3">
        <v>5</v>
      </c>
      <c r="K866" s="3">
        <v>596.4</v>
      </c>
      <c r="L866">
        <v>725</v>
      </c>
      <c r="M866">
        <v>3625</v>
      </c>
      <c r="N866">
        <v>643</v>
      </c>
      <c r="O866">
        <v>2982</v>
      </c>
      <c r="P866" t="s">
        <v>26</v>
      </c>
      <c r="Q866" t="s">
        <v>35</v>
      </c>
      <c r="R866" t="s">
        <v>28</v>
      </c>
      <c r="S866" t="str">
        <f>TRIM(PROPER(_xlfn.XLOOKUP(Table1[[#This Row],[ProductID_Clean]],Table3[ProductID],Table3[Category],"Missing Value",0)))</f>
        <v>Sensors</v>
      </c>
      <c r="T866" t="str">
        <f>_xlfn.XLOOKUP(Table1[[#This Row],[CustomerID_Check]],Table2[CustomerID],Table2[CustomerType],"Missing Value",0)</f>
        <v>Standard</v>
      </c>
    </row>
    <row r="867" spans="1:20">
      <c r="A867" t="s">
        <v>1118</v>
      </c>
      <c r="B867" s="1">
        <v>45752</v>
      </c>
      <c r="C867" t="s">
        <v>266</v>
      </c>
      <c r="D867" t="str">
        <f>UPPER(Table1[[#This Row],[ProductID_Clean]])</f>
        <v>P-SI-006</v>
      </c>
      <c r="E867" t="s">
        <v>43</v>
      </c>
      <c r="F867" t="s">
        <v>23</v>
      </c>
      <c r="G867" t="str">
        <f>TRIM(Table1[[#This Row],[Region_Clean]])</f>
        <v>N. AMERICA</v>
      </c>
      <c r="H867" t="s">
        <v>24</v>
      </c>
      <c r="I867" t="s">
        <v>166</v>
      </c>
      <c r="J867" s="3">
        <v>4</v>
      </c>
      <c r="K867" s="3">
        <v>139.57</v>
      </c>
      <c r="L867">
        <v>215</v>
      </c>
      <c r="M867">
        <v>860</v>
      </c>
      <c r="N867">
        <v>301.72000000000003</v>
      </c>
      <c r="O867">
        <v>558.28</v>
      </c>
      <c r="P867" t="s">
        <v>113</v>
      </c>
      <c r="Q867" t="s">
        <v>27</v>
      </c>
      <c r="R867" t="s">
        <v>44</v>
      </c>
      <c r="S867" t="str">
        <f>TRIM(PROPER(_xlfn.XLOOKUP(Table1[[#This Row],[ProductID_Clean]],Table3[ProductID],Table3[Category],"Missing Value",0)))</f>
        <v>Sensors</v>
      </c>
      <c r="T867" t="str">
        <f>_xlfn.XLOOKUP(Table1[[#This Row],[CustomerID_Check]],Table2[CustomerID],Table2[CustomerType],"Missing Value",0)</f>
        <v>Strategic</v>
      </c>
    </row>
    <row r="868" spans="1:20">
      <c r="A868" t="s">
        <v>1119</v>
      </c>
      <c r="B868" s="1">
        <v>45714</v>
      </c>
      <c r="C868" t="s">
        <v>533</v>
      </c>
      <c r="D868" t="str">
        <f>UPPER(Table1[[#This Row],[ProductID_Clean]])</f>
        <v>P-FS-005</v>
      </c>
      <c r="E868" t="s">
        <v>101</v>
      </c>
      <c r="F868" t="s">
        <v>58</v>
      </c>
      <c r="G868" t="str">
        <f>TRIM(Table1[[#This Row],[Region_Clean]])</f>
        <v>APAC</v>
      </c>
      <c r="H868" t="s">
        <v>82</v>
      </c>
      <c r="I868" t="s">
        <v>87</v>
      </c>
      <c r="J868" s="3">
        <v>1</v>
      </c>
      <c r="K868" s="3">
        <v>633.65</v>
      </c>
      <c r="L868">
        <v>950</v>
      </c>
      <c r="M868">
        <v>950</v>
      </c>
      <c r="N868">
        <v>316.35000000000002</v>
      </c>
      <c r="O868">
        <v>633.65</v>
      </c>
      <c r="P868" t="s">
        <v>26</v>
      </c>
      <c r="Q868" t="s">
        <v>35</v>
      </c>
      <c r="R868" t="s">
        <v>44</v>
      </c>
      <c r="S868" t="str">
        <f>TRIM(PROPER(_xlfn.XLOOKUP(Table1[[#This Row],[ProductID_Clean]],Table3[ProductID],Table3[Category],"Missing Value",0)))</f>
        <v>Services</v>
      </c>
      <c r="T868" t="str">
        <f>_xlfn.XLOOKUP(Table1[[#This Row],[CustomerID_Check]],Table2[CustomerID],Table2[CustomerType],"Missing Value",0)</f>
        <v>Standard</v>
      </c>
    </row>
    <row r="869" spans="1:20">
      <c r="A869" t="s">
        <v>1120</v>
      </c>
      <c r="B869" s="1">
        <v>45780</v>
      </c>
      <c r="C869" t="s">
        <v>256</v>
      </c>
      <c r="D869" t="str">
        <f>UPPER(Table1[[#This Row],[ProductID_Clean]])</f>
        <v>P-SA-001</v>
      </c>
      <c r="E869" t="s">
        <v>68</v>
      </c>
      <c r="F869" t="s">
        <v>47</v>
      </c>
      <c r="G869" t="str">
        <f>TRIM(Table1[[#This Row],[Region_Clean]])</f>
        <v>EMEA</v>
      </c>
      <c r="H869" t="s">
        <v>53</v>
      </c>
      <c r="I869" t="s">
        <v>87</v>
      </c>
      <c r="J869" s="3">
        <v>1</v>
      </c>
      <c r="K869" s="3">
        <v>3212.73</v>
      </c>
      <c r="L869">
        <v>4200</v>
      </c>
      <c r="M869">
        <v>4200</v>
      </c>
      <c r="N869">
        <v>987.27</v>
      </c>
      <c r="O869">
        <v>3212.73</v>
      </c>
      <c r="P869" t="s">
        <v>26</v>
      </c>
      <c r="Q869" t="s">
        <v>88</v>
      </c>
      <c r="R869" t="s">
        <v>44</v>
      </c>
      <c r="S869" t="str">
        <f>TRIM(PROPER(_xlfn.XLOOKUP(Table1[[#This Row],[ProductID_Clean]],Table3[ProductID],Table3[Category],"Missing Value",0)))</f>
        <v>Software</v>
      </c>
      <c r="T869" t="str">
        <f>_xlfn.XLOOKUP(Table1[[#This Row],[CustomerID_Check]],Table2[CustomerID],Table2[CustomerType],"Missing Value",0)</f>
        <v>Strategic</v>
      </c>
    </row>
    <row r="870" spans="1:20">
      <c r="A870" t="s">
        <v>1121</v>
      </c>
      <c r="B870" s="1">
        <v>45774</v>
      </c>
      <c r="C870" t="s">
        <v>477</v>
      </c>
      <c r="D870" t="str">
        <f>UPPER(Table1[[#This Row],[ProductID_Clean]])</f>
        <v>P-SI-006</v>
      </c>
      <c r="E870" t="s">
        <v>43</v>
      </c>
      <c r="F870" t="s">
        <v>23</v>
      </c>
      <c r="G870" t="str">
        <f>TRIM(Table1[[#This Row],[Region_Clean]])</f>
        <v>N. AMERICA</v>
      </c>
      <c r="H870" t="s">
        <v>24</v>
      </c>
      <c r="I870" t="s">
        <v>25</v>
      </c>
      <c r="J870" s="3">
        <v>2</v>
      </c>
      <c r="K870" s="3">
        <v>181.17</v>
      </c>
      <c r="L870">
        <v>215</v>
      </c>
      <c r="M870">
        <v>430</v>
      </c>
      <c r="N870">
        <v>67.66</v>
      </c>
      <c r="O870">
        <v>362.34</v>
      </c>
      <c r="P870" t="s">
        <v>26</v>
      </c>
      <c r="Q870" t="s">
        <v>35</v>
      </c>
      <c r="R870" t="s">
        <v>36</v>
      </c>
      <c r="S870" t="str">
        <f>TRIM(PROPER(_xlfn.XLOOKUP(Table1[[#This Row],[ProductID_Clean]],Table3[ProductID],Table3[Category],"Missing Value",0)))</f>
        <v>Sensors</v>
      </c>
      <c r="T870" t="str">
        <f>_xlfn.XLOOKUP(Table1[[#This Row],[CustomerID_Check]],Table2[CustomerID],Table2[CustomerType],"Missing Value",0)</f>
        <v>Key Account</v>
      </c>
    </row>
    <row r="871" spans="1:20">
      <c r="A871" t="s">
        <v>1122</v>
      </c>
      <c r="B871" s="1">
        <v>45753</v>
      </c>
      <c r="C871" t="s">
        <v>108</v>
      </c>
      <c r="D871" t="str">
        <f>UPPER(Table1[[#This Row],[ProductID_Clean]])</f>
        <v>P-SI-002</v>
      </c>
      <c r="E871" t="s">
        <v>31</v>
      </c>
      <c r="F871" t="s">
        <v>32</v>
      </c>
      <c r="G871" t="str">
        <f>TRIM(Table1[[#This Row],[Region_Clean]])</f>
        <v>LATIN AMERICA</v>
      </c>
      <c r="H871" t="s">
        <v>24</v>
      </c>
      <c r="I871" t="s">
        <v>87</v>
      </c>
      <c r="J871" s="3">
        <v>1</v>
      </c>
      <c r="K871" s="3">
        <v>578.52</v>
      </c>
      <c r="L871">
        <v>725</v>
      </c>
      <c r="M871">
        <v>725</v>
      </c>
      <c r="N871">
        <v>146.47999999999999</v>
      </c>
      <c r="O871">
        <v>578.52</v>
      </c>
      <c r="P871" t="s">
        <v>26</v>
      </c>
      <c r="Q871" t="s">
        <v>27</v>
      </c>
      <c r="R871" t="s">
        <v>36</v>
      </c>
      <c r="S871" t="str">
        <f>TRIM(PROPER(_xlfn.XLOOKUP(Table1[[#This Row],[ProductID_Clean]],Table3[ProductID],Table3[Category],"Missing Value",0)))</f>
        <v>Sensors</v>
      </c>
      <c r="T871" t="str">
        <f>_xlfn.XLOOKUP(Table1[[#This Row],[CustomerID_Check]],Table2[CustomerID],Table2[CustomerType],"Missing Value",0)</f>
        <v>Standard</v>
      </c>
    </row>
    <row r="872" spans="1:20">
      <c r="A872" t="s">
        <v>1123</v>
      </c>
      <c r="B872" s="1">
        <v>45837</v>
      </c>
      <c r="C872" t="s">
        <v>180</v>
      </c>
      <c r="D872" t="str">
        <f>UPPER(Table1[[#This Row],[ProductID_Clean]])</f>
        <v>P-FS-005</v>
      </c>
      <c r="E872" t="s">
        <v>101</v>
      </c>
      <c r="F872" t="s">
        <v>58</v>
      </c>
      <c r="G872" t="str">
        <f>TRIM(Table1[[#This Row],[Region_Clean]])</f>
        <v>APAC</v>
      </c>
      <c r="H872" t="s">
        <v>82</v>
      </c>
      <c r="I872" t="s">
        <v>25</v>
      </c>
      <c r="J872" s="3">
        <v>1</v>
      </c>
      <c r="K872" s="3">
        <v>795.8</v>
      </c>
      <c r="L872">
        <v>950</v>
      </c>
      <c r="M872">
        <v>950</v>
      </c>
      <c r="N872">
        <v>154.19999999999999</v>
      </c>
      <c r="O872">
        <v>795.8</v>
      </c>
      <c r="P872" t="s">
        <v>26</v>
      </c>
      <c r="Q872" t="s">
        <v>65</v>
      </c>
      <c r="R872" t="s">
        <v>36</v>
      </c>
      <c r="S872" t="str">
        <f>TRIM(PROPER(_xlfn.XLOOKUP(Table1[[#This Row],[ProductID_Clean]],Table3[ProductID],Table3[Category],"Missing Value",0)))</f>
        <v>Services</v>
      </c>
      <c r="T872" t="str">
        <f>_xlfn.XLOOKUP(Table1[[#This Row],[CustomerID_Check]],Table2[CustomerID],Table2[CustomerType],"Missing Value",0)</f>
        <v>Standard</v>
      </c>
    </row>
    <row r="873" spans="1:20">
      <c r="A873" t="s">
        <v>1124</v>
      </c>
      <c r="B873" s="1">
        <v>45795</v>
      </c>
      <c r="C873" t="s">
        <v>839</v>
      </c>
      <c r="D873" t="str">
        <f>UPPER(Table1[[#This Row],[ProductID_Clean]])</f>
        <v>P-SI-004</v>
      </c>
      <c r="E873" t="s">
        <v>22</v>
      </c>
      <c r="F873" t="s">
        <v>23</v>
      </c>
      <c r="G873" t="str">
        <f>TRIM(Table1[[#This Row],[Region_Clean]])</f>
        <v>N. AMERICA</v>
      </c>
      <c r="H873" t="s">
        <v>24</v>
      </c>
      <c r="I873" t="s">
        <v>87</v>
      </c>
      <c r="J873" s="3">
        <v>1</v>
      </c>
      <c r="K873" s="3">
        <v>2035.08</v>
      </c>
      <c r="L873">
        <v>2450</v>
      </c>
      <c r="M873">
        <v>2450</v>
      </c>
      <c r="N873">
        <v>414.92</v>
      </c>
      <c r="O873">
        <v>2035.08</v>
      </c>
      <c r="P873" t="s">
        <v>26</v>
      </c>
      <c r="Q873" t="s">
        <v>35</v>
      </c>
      <c r="R873" t="s">
        <v>44</v>
      </c>
      <c r="S873" t="str">
        <f>TRIM(PROPER(_xlfn.XLOOKUP(Table1[[#This Row],[ProductID_Clean]],Table3[ProductID],Table3[Category],"Missing Value",0)))</f>
        <v>Instruments</v>
      </c>
      <c r="T873" t="str">
        <f>_xlfn.XLOOKUP(Table1[[#This Row],[CustomerID_Check]],Table2[CustomerID],Table2[CustomerType],"Missing Value",0)</f>
        <v>Emerging</v>
      </c>
    </row>
    <row r="874" spans="1:20">
      <c r="A874" t="s">
        <v>1125</v>
      </c>
      <c r="B874" s="1">
        <v>45713</v>
      </c>
      <c r="C874" t="s">
        <v>1126</v>
      </c>
      <c r="D874" t="str">
        <f>UPPER(Table1[[#This Row],[ProductID_Clean]])</f>
        <v>P-SA-001</v>
      </c>
      <c r="E874" t="s">
        <v>68</v>
      </c>
      <c r="F874" t="s">
        <v>58</v>
      </c>
      <c r="G874" t="str">
        <f>TRIM(Table1[[#This Row],[Region_Clean]])</f>
        <v>APAC</v>
      </c>
      <c r="H874" t="s">
        <v>53</v>
      </c>
      <c r="I874" t="s">
        <v>87</v>
      </c>
      <c r="J874" s="3">
        <v>1</v>
      </c>
      <c r="K874" s="3">
        <v>3234.97</v>
      </c>
      <c r="L874">
        <v>4200</v>
      </c>
      <c r="M874">
        <v>4200</v>
      </c>
      <c r="N874">
        <v>965.03</v>
      </c>
      <c r="O874">
        <v>3234.97</v>
      </c>
      <c r="P874" t="s">
        <v>26</v>
      </c>
      <c r="Q874" t="s">
        <v>88</v>
      </c>
      <c r="R874" t="s">
        <v>44</v>
      </c>
      <c r="S874" t="str">
        <f>TRIM(PROPER(_xlfn.XLOOKUP(Table1[[#This Row],[ProductID_Clean]],Table3[ProductID],Table3[Category],"Missing Value",0)))</f>
        <v>Software</v>
      </c>
      <c r="T874" t="str">
        <f>_xlfn.XLOOKUP(Table1[[#This Row],[CustomerID_Check]],Table2[CustomerID],Table2[CustomerType],"Missing Value",0)</f>
        <v>Standard</v>
      </c>
    </row>
    <row r="875" spans="1:20">
      <c r="A875" t="s">
        <v>1127</v>
      </c>
      <c r="B875" s="1">
        <v>45832</v>
      </c>
      <c r="C875" t="s">
        <v>50</v>
      </c>
      <c r="D875" t="str">
        <f>UPPER(Table1[[#This Row],[ProductID_Clean]])</f>
        <v>P-SA-005</v>
      </c>
      <c r="E875" t="s">
        <v>62</v>
      </c>
      <c r="F875" t="s">
        <v>23</v>
      </c>
      <c r="G875" t="str">
        <f>TRIM(Table1[[#This Row],[Region_Clean]])</f>
        <v>N. AMERICA</v>
      </c>
      <c r="H875" t="s">
        <v>53</v>
      </c>
      <c r="I875" t="s">
        <v>87</v>
      </c>
      <c r="J875" s="3">
        <v>2</v>
      </c>
      <c r="K875" s="3">
        <v>2821.1</v>
      </c>
      <c r="L875">
        <v>3200</v>
      </c>
      <c r="M875">
        <v>6400</v>
      </c>
      <c r="N875">
        <v>757.8</v>
      </c>
      <c r="O875">
        <v>5642.2</v>
      </c>
      <c r="P875" t="s">
        <v>126</v>
      </c>
      <c r="Q875" t="s">
        <v>189</v>
      </c>
      <c r="R875" t="s">
        <v>36</v>
      </c>
      <c r="S875" t="str">
        <f>TRIM(PROPER(_xlfn.XLOOKUP(Table1[[#This Row],[ProductID_Clean]],Table3[ProductID],Table3[Category],"Missing Value",0)))</f>
        <v>Software / Integration</v>
      </c>
      <c r="T875" t="str">
        <f>_xlfn.XLOOKUP(Table1[[#This Row],[CustomerID_Check]],Table2[CustomerID],Table2[CustomerType],"Missing Value",0)</f>
        <v>Standard</v>
      </c>
    </row>
    <row r="876" spans="1:20">
      <c r="A876" t="s">
        <v>1128</v>
      </c>
      <c r="B876" s="1">
        <v>45678</v>
      </c>
      <c r="C876" t="s">
        <v>466</v>
      </c>
      <c r="D876" t="str">
        <f>UPPER(Table1[[#This Row],[ProductID_Clean]])</f>
        <v>P-SI-008</v>
      </c>
      <c r="E876" t="s">
        <v>152</v>
      </c>
      <c r="F876" t="s">
        <v>23</v>
      </c>
      <c r="G876" t="str">
        <f>TRIM(Table1[[#This Row],[Region_Clean]])</f>
        <v>N. AMERICA</v>
      </c>
      <c r="H876" t="s">
        <v>24</v>
      </c>
      <c r="I876" t="s">
        <v>25</v>
      </c>
      <c r="J876" s="3">
        <v>3</v>
      </c>
      <c r="K876" s="3">
        <v>879.14</v>
      </c>
      <c r="L876">
        <v>950</v>
      </c>
      <c r="M876">
        <v>2850</v>
      </c>
      <c r="N876">
        <v>212.58</v>
      </c>
      <c r="O876">
        <v>2637.42</v>
      </c>
      <c r="P876" t="s">
        <v>26</v>
      </c>
      <c r="Q876" t="s">
        <v>27</v>
      </c>
      <c r="R876" t="s">
        <v>59</v>
      </c>
      <c r="S876" t="str">
        <f>TRIM(PROPER(_xlfn.XLOOKUP(Table1[[#This Row],[ProductID_Clean]],Table3[ProductID],Table3[Category],"Missing Value",0)))</f>
        <v>Instruments</v>
      </c>
      <c r="T876" t="str">
        <f>_xlfn.XLOOKUP(Table1[[#This Row],[CustomerID_Check]],Table2[CustomerID],Table2[CustomerType],"Missing Value",0)</f>
        <v>Standard</v>
      </c>
    </row>
    <row r="877" spans="1:20">
      <c r="A877" t="s">
        <v>1129</v>
      </c>
      <c r="B877" s="1">
        <v>45772</v>
      </c>
      <c r="C877" t="s">
        <v>424</v>
      </c>
      <c r="D877" t="str">
        <f>UPPER(Table1[[#This Row],[ProductID_Clean]])</f>
        <v>P-FS-002</v>
      </c>
      <c r="E877" t="s">
        <v>81</v>
      </c>
      <c r="F877" t="s">
        <v>23</v>
      </c>
      <c r="G877" t="str">
        <f>TRIM(Table1[[#This Row],[Region_Clean]])</f>
        <v>N. AMERICA</v>
      </c>
      <c r="H877" t="s">
        <v>82</v>
      </c>
      <c r="I877" t="s">
        <v>25</v>
      </c>
      <c r="J877" s="3">
        <v>1</v>
      </c>
      <c r="K877" s="3">
        <v>2221.4</v>
      </c>
      <c r="L877">
        <v>2400</v>
      </c>
      <c r="M877">
        <v>2400</v>
      </c>
      <c r="N877">
        <v>178.6</v>
      </c>
      <c r="O877">
        <v>2221.4</v>
      </c>
      <c r="P877" t="s">
        <v>26</v>
      </c>
      <c r="Q877" t="s">
        <v>94</v>
      </c>
      <c r="R877" t="s">
        <v>44</v>
      </c>
      <c r="S877" t="str">
        <f>TRIM(PROPER(_xlfn.XLOOKUP(Table1[[#This Row],[ProductID_Clean]],Table3[ProductID],Table3[Category],"Missing Value",0)))</f>
        <v>Services</v>
      </c>
      <c r="T877" t="str">
        <f>_xlfn.XLOOKUP(Table1[[#This Row],[CustomerID_Check]],Table2[CustomerID],Table2[CustomerType],"Missing Value",0)</f>
        <v>Key Account</v>
      </c>
    </row>
    <row r="878" spans="1:20">
      <c r="A878" t="s">
        <v>1130</v>
      </c>
      <c r="B878" s="1">
        <v>45838</v>
      </c>
      <c r="C878" t="s">
        <v>496</v>
      </c>
      <c r="D878" t="str">
        <f>UPPER(Table1[[#This Row],[ProductID_Clean]])</f>
        <v>P-FS-001</v>
      </c>
      <c r="E878" t="s">
        <v>133</v>
      </c>
      <c r="F878" t="s">
        <v>47</v>
      </c>
      <c r="G878" t="str">
        <f>TRIM(Table1[[#This Row],[Region_Clean]])</f>
        <v>EMEA</v>
      </c>
      <c r="H878" t="s">
        <v>82</v>
      </c>
      <c r="I878" t="s">
        <v>87</v>
      </c>
      <c r="J878" s="3">
        <v>1</v>
      </c>
      <c r="K878" s="3">
        <v>1512.67</v>
      </c>
      <c r="L878">
        <v>1850</v>
      </c>
      <c r="M878">
        <v>1850</v>
      </c>
      <c r="N878">
        <v>337.33</v>
      </c>
      <c r="O878">
        <v>1512.67</v>
      </c>
      <c r="P878" t="s">
        <v>26</v>
      </c>
      <c r="Q878" t="s">
        <v>65</v>
      </c>
      <c r="R878" t="s">
        <v>36</v>
      </c>
      <c r="S878" t="str">
        <f>TRIM(PROPER(_xlfn.XLOOKUP(Table1[[#This Row],[ProductID_Clean]],Table3[ProductID],Table3[Category],"Missing Value",0)))</f>
        <v>Services</v>
      </c>
      <c r="T878" t="str">
        <f>_xlfn.XLOOKUP(Table1[[#This Row],[CustomerID_Check]],Table2[CustomerID],Table2[CustomerType],"Missing Value",0)</f>
        <v>Key Account</v>
      </c>
    </row>
    <row r="879" spans="1:20">
      <c r="A879" t="s">
        <v>1131</v>
      </c>
      <c r="B879" s="1">
        <v>45686</v>
      </c>
      <c r="C879" t="s">
        <v>310</v>
      </c>
      <c r="D879" t="str">
        <f>UPPER(Table1[[#This Row],[ProductID_Clean]])</f>
        <v>P-SI-006</v>
      </c>
      <c r="E879" t="s">
        <v>43</v>
      </c>
      <c r="F879" t="s">
        <v>47</v>
      </c>
      <c r="G879" t="str">
        <f>TRIM(Table1[[#This Row],[Region_Clean]])</f>
        <v>EMEA</v>
      </c>
      <c r="H879" t="s">
        <v>24</v>
      </c>
      <c r="I879" t="s">
        <v>25</v>
      </c>
      <c r="J879" s="3">
        <v>5</v>
      </c>
      <c r="K879" s="3">
        <v>175.43</v>
      </c>
      <c r="L879">
        <v>215</v>
      </c>
      <c r="M879">
        <v>1075</v>
      </c>
      <c r="N879">
        <v>197.85</v>
      </c>
      <c r="O879">
        <v>877.15</v>
      </c>
      <c r="P879" t="s">
        <v>26</v>
      </c>
      <c r="Q879" t="s">
        <v>27</v>
      </c>
      <c r="R879" t="s">
        <v>44</v>
      </c>
      <c r="S879" t="str">
        <f>TRIM(PROPER(_xlfn.XLOOKUP(Table1[[#This Row],[ProductID_Clean]],Table3[ProductID],Table3[Category],"Missing Value",0)))</f>
        <v>Sensors</v>
      </c>
      <c r="T879" t="str">
        <f>_xlfn.XLOOKUP(Table1[[#This Row],[CustomerID_Check]],Table2[CustomerID],Table2[CustomerType],"Missing Value",0)</f>
        <v>Standard</v>
      </c>
    </row>
    <row r="880" spans="1:20">
      <c r="A880" t="s">
        <v>1132</v>
      </c>
      <c r="B880" s="1">
        <v>45787</v>
      </c>
      <c r="C880" t="s">
        <v>91</v>
      </c>
      <c r="D880" t="str">
        <f>UPPER(Table1[[#This Row],[ProductID_Clean]])</f>
        <v>P-SI-001</v>
      </c>
      <c r="E880" t="s">
        <v>72</v>
      </c>
      <c r="F880" t="s">
        <v>23</v>
      </c>
      <c r="G880" t="str">
        <f>TRIM(Table1[[#This Row],[Region_Clean]])</f>
        <v>N. AMERICA</v>
      </c>
      <c r="H880" t="s">
        <v>24</v>
      </c>
      <c r="I880" t="s">
        <v>25</v>
      </c>
      <c r="J880" s="3">
        <v>3</v>
      </c>
      <c r="K880" s="3">
        <v>430.63</v>
      </c>
      <c r="L880">
        <v>485</v>
      </c>
      <c r="M880">
        <v>1455</v>
      </c>
      <c r="N880">
        <v>163.11000000000001</v>
      </c>
      <c r="O880">
        <v>1291.8900000000001</v>
      </c>
      <c r="P880" t="s">
        <v>26</v>
      </c>
      <c r="Q880" t="s">
        <v>27</v>
      </c>
      <c r="R880" t="s">
        <v>48</v>
      </c>
      <c r="S880" t="str">
        <f>TRIM(PROPER(_xlfn.XLOOKUP(Table1[[#This Row],[ProductID_Clean]],Table3[ProductID],Table3[Category],"Missing Value",0)))</f>
        <v>Sensors</v>
      </c>
      <c r="T880" t="str">
        <f>_xlfn.XLOOKUP(Table1[[#This Row],[CustomerID_Check]],Table2[CustomerID],Table2[CustomerType],"Missing Value",0)</f>
        <v>Key Account</v>
      </c>
    </row>
    <row r="881" spans="1:20">
      <c r="A881" t="s">
        <v>1133</v>
      </c>
      <c r="B881" s="1">
        <v>45804</v>
      </c>
      <c r="C881" t="s">
        <v>122</v>
      </c>
      <c r="D881" t="str">
        <f>UPPER(Table1[[#This Row],[ProductID_Clean]])</f>
        <v>P-FS-003</v>
      </c>
      <c r="E881" t="s">
        <v>216</v>
      </c>
      <c r="F881" t="s">
        <v>23</v>
      </c>
      <c r="G881" t="str">
        <f>TRIM(Table1[[#This Row],[Region_Clean]])</f>
        <v>N. AMERICA</v>
      </c>
      <c r="H881" t="s">
        <v>82</v>
      </c>
      <c r="I881" t="s">
        <v>25</v>
      </c>
      <c r="J881" s="3">
        <v>1</v>
      </c>
      <c r="K881" s="3">
        <v>3921.9</v>
      </c>
      <c r="L881">
        <v>4100</v>
      </c>
      <c r="M881">
        <v>4100</v>
      </c>
      <c r="N881">
        <v>178.1</v>
      </c>
      <c r="O881">
        <v>3921.9</v>
      </c>
      <c r="P881" t="s">
        <v>26</v>
      </c>
      <c r="Q881" t="s">
        <v>94</v>
      </c>
      <c r="R881" t="s">
        <v>48</v>
      </c>
      <c r="S881" t="str">
        <f>TRIM(PROPER(_xlfn.XLOOKUP(Table1[[#This Row],[ProductID_Clean]],Table3[ProductID],Table3[Category],"Missing Value",0)))</f>
        <v>Services</v>
      </c>
      <c r="T881" t="str">
        <f>_xlfn.XLOOKUP(Table1[[#This Row],[CustomerID_Check]],Table2[CustomerID],Table2[CustomerType],"Missing Value",0)</f>
        <v>Emerging</v>
      </c>
    </row>
    <row r="882" spans="1:20">
      <c r="A882" t="s">
        <v>1134</v>
      </c>
      <c r="B882" s="1">
        <v>45741</v>
      </c>
      <c r="C882" t="s">
        <v>61</v>
      </c>
      <c r="D882" t="str">
        <f>UPPER(Table1[[#This Row],[ProductID_Clean]])</f>
        <v>P-SI-004</v>
      </c>
      <c r="E882" t="s">
        <v>22</v>
      </c>
      <c r="F882" t="s">
        <v>47</v>
      </c>
      <c r="G882" t="str">
        <f>TRIM(Table1[[#This Row],[Region_Clean]])</f>
        <v>EMEA</v>
      </c>
      <c r="H882" t="s">
        <v>24</v>
      </c>
      <c r="I882" t="s">
        <v>25</v>
      </c>
      <c r="J882" s="3">
        <v>5</v>
      </c>
      <c r="K882" s="3">
        <v>2113.41</v>
      </c>
      <c r="L882">
        <v>2450</v>
      </c>
      <c r="M882">
        <v>12250</v>
      </c>
      <c r="N882">
        <v>1682.95</v>
      </c>
      <c r="O882">
        <v>10567.05</v>
      </c>
      <c r="P882" t="s">
        <v>26</v>
      </c>
      <c r="Q882" t="s">
        <v>27</v>
      </c>
      <c r="R882" t="s">
        <v>48</v>
      </c>
      <c r="S882" t="str">
        <f>TRIM(PROPER(_xlfn.XLOOKUP(Table1[[#This Row],[ProductID_Clean]],Table3[ProductID],Table3[Category],"Missing Value",0)))</f>
        <v>Instruments</v>
      </c>
      <c r="T882" t="str">
        <f>_xlfn.XLOOKUP(Table1[[#This Row],[CustomerID_Check]],Table2[CustomerID],Table2[CustomerType],"Missing Value",0)</f>
        <v>Strategic</v>
      </c>
    </row>
    <row r="883" spans="1:20">
      <c r="A883" t="s">
        <v>1135</v>
      </c>
      <c r="B883" s="1">
        <v>45771</v>
      </c>
      <c r="C883" t="s">
        <v>282</v>
      </c>
      <c r="D883" t="str">
        <f>UPPER(Table1[[#This Row],[ProductID_Clean]])</f>
        <v>P-SI-007</v>
      </c>
      <c r="E883" t="s">
        <v>97</v>
      </c>
      <c r="F883" t="s">
        <v>23</v>
      </c>
      <c r="G883" t="str">
        <f>TRIM(Table1[[#This Row],[Region_Clean]])</f>
        <v>N. AMERICA</v>
      </c>
      <c r="H883" t="s">
        <v>24</v>
      </c>
      <c r="I883" t="s">
        <v>87</v>
      </c>
      <c r="J883" s="3">
        <v>4</v>
      </c>
      <c r="K883" s="3">
        <v>756.43</v>
      </c>
      <c r="L883">
        <v>980</v>
      </c>
      <c r="M883">
        <v>3920</v>
      </c>
      <c r="N883">
        <v>894.28</v>
      </c>
      <c r="O883">
        <v>3025.72</v>
      </c>
      <c r="P883" t="s">
        <v>26</v>
      </c>
      <c r="Q883" t="s">
        <v>35</v>
      </c>
      <c r="R883" t="s">
        <v>59</v>
      </c>
      <c r="S883" t="str">
        <f>TRIM(PROPER(_xlfn.XLOOKUP(Table1[[#This Row],[ProductID_Clean]],Table3[ProductID],Table3[Category],"Missing Value",0)))</f>
        <v>Sensors</v>
      </c>
      <c r="T883" t="str">
        <f>_xlfn.XLOOKUP(Table1[[#This Row],[CustomerID_Check]],Table2[CustomerID],Table2[CustomerType],"Missing Value",0)</f>
        <v>Strategic</v>
      </c>
    </row>
    <row r="884" spans="1:20">
      <c r="A884" t="s">
        <v>1136</v>
      </c>
      <c r="B884" s="1">
        <v>45832</v>
      </c>
      <c r="C884" t="s">
        <v>642</v>
      </c>
      <c r="D884" t="str">
        <f>UPPER(Table1[[#This Row],[ProductID_Clean]])</f>
        <v>P-SI-005</v>
      </c>
      <c r="E884" t="s">
        <v>57</v>
      </c>
      <c r="F884" t="s">
        <v>47</v>
      </c>
      <c r="G884" t="str">
        <f>TRIM(Table1[[#This Row],[Region_Clean]])</f>
        <v>EMEA</v>
      </c>
      <c r="H884" t="s">
        <v>24</v>
      </c>
      <c r="I884" t="s">
        <v>25</v>
      </c>
      <c r="J884" s="3">
        <v>3</v>
      </c>
      <c r="K884" s="3">
        <v>1009.65</v>
      </c>
      <c r="L884">
        <v>1120</v>
      </c>
      <c r="M884">
        <v>3360</v>
      </c>
      <c r="N884">
        <v>331.05</v>
      </c>
      <c r="O884">
        <v>3028.95</v>
      </c>
      <c r="P884" t="s">
        <v>26</v>
      </c>
      <c r="Q884" t="s">
        <v>35</v>
      </c>
      <c r="R884" t="s">
        <v>28</v>
      </c>
      <c r="S884" t="str">
        <f>TRIM(PROPER(_xlfn.XLOOKUP(Table1[[#This Row],[ProductID_Clean]],Table3[ProductID],Table3[Category],"Missing Value",0)))</f>
        <v>Sensors</v>
      </c>
      <c r="T884" t="str">
        <f>_xlfn.XLOOKUP(Table1[[#This Row],[CustomerID_Check]],Table2[CustomerID],Table2[CustomerType],"Missing Value",0)</f>
        <v>Standard</v>
      </c>
    </row>
    <row r="885" spans="1:20">
      <c r="A885" t="s">
        <v>1137</v>
      </c>
      <c r="B885" s="1">
        <v>45807</v>
      </c>
      <c r="C885" t="s">
        <v>146</v>
      </c>
      <c r="D885" t="str">
        <f>UPPER(Table1[[#This Row],[ProductID_Clean]])</f>
        <v>P-SI-001</v>
      </c>
      <c r="E885" t="s">
        <v>72</v>
      </c>
      <c r="F885" t="s">
        <v>47</v>
      </c>
      <c r="G885" t="str">
        <f>TRIM(Table1[[#This Row],[Region_Clean]])</f>
        <v>EMEA</v>
      </c>
      <c r="H885" t="s">
        <v>24</v>
      </c>
      <c r="I885" t="s">
        <v>34</v>
      </c>
      <c r="J885" s="3">
        <v>1</v>
      </c>
      <c r="K885" s="3">
        <v>406.47</v>
      </c>
      <c r="L885">
        <v>485</v>
      </c>
      <c r="M885">
        <v>485</v>
      </c>
      <c r="N885">
        <v>78.53</v>
      </c>
      <c r="O885">
        <v>406.47</v>
      </c>
      <c r="P885" t="s">
        <v>26</v>
      </c>
      <c r="Q885" t="s">
        <v>27</v>
      </c>
      <c r="R885" t="s">
        <v>44</v>
      </c>
      <c r="S885" t="str">
        <f>TRIM(PROPER(_xlfn.XLOOKUP(Table1[[#This Row],[ProductID_Clean]],Table3[ProductID],Table3[Category],"Missing Value",0)))</f>
        <v>Sensors</v>
      </c>
      <c r="T885" t="str">
        <f>_xlfn.XLOOKUP(Table1[[#This Row],[CustomerID_Check]],Table2[CustomerID],Table2[CustomerType],"Missing Value",0)</f>
        <v>Key Account</v>
      </c>
    </row>
    <row r="886" spans="1:20">
      <c r="A886" t="s">
        <v>1138</v>
      </c>
      <c r="B886" s="1">
        <v>45772</v>
      </c>
      <c r="C886" t="s">
        <v>720</v>
      </c>
      <c r="D886" t="str">
        <f>UPPER(Table1[[#This Row],[ProductID_Clean]])</f>
        <v>P-SA-005</v>
      </c>
      <c r="E886" t="s">
        <v>62</v>
      </c>
      <c r="F886" t="s">
        <v>58</v>
      </c>
      <c r="G886" t="str">
        <f>TRIM(Table1[[#This Row],[Region_Clean]])</f>
        <v>APAC</v>
      </c>
      <c r="H886" t="s">
        <v>53</v>
      </c>
      <c r="I886" t="s">
        <v>40</v>
      </c>
      <c r="J886" s="3">
        <v>1</v>
      </c>
      <c r="K886" s="3">
        <v>2836.08</v>
      </c>
      <c r="L886">
        <v>3200</v>
      </c>
      <c r="M886">
        <v>3200</v>
      </c>
      <c r="N886">
        <v>363.92</v>
      </c>
      <c r="O886">
        <v>2836.08</v>
      </c>
      <c r="P886" t="s">
        <v>126</v>
      </c>
      <c r="Q886" t="s">
        <v>189</v>
      </c>
      <c r="R886" t="s">
        <v>44</v>
      </c>
      <c r="S886" t="str">
        <f>TRIM(PROPER(_xlfn.XLOOKUP(Table1[[#This Row],[ProductID_Clean]],Table3[ProductID],Table3[Category],"Missing Value",0)))</f>
        <v>Software / Integration</v>
      </c>
      <c r="T886" t="str">
        <f>_xlfn.XLOOKUP(Table1[[#This Row],[CustomerID_Check]],Table2[CustomerID],Table2[CustomerType],"Missing Value",0)</f>
        <v>Standard</v>
      </c>
    </row>
    <row r="887" spans="1:20">
      <c r="A887" t="s">
        <v>1139</v>
      </c>
      <c r="B887" s="1">
        <v>45774</v>
      </c>
      <c r="C887" t="s">
        <v>155</v>
      </c>
      <c r="D887" t="str">
        <f>UPPER(Table1[[#This Row],[ProductID_Clean]])</f>
        <v>P-FS-002</v>
      </c>
      <c r="E887" t="s">
        <v>81</v>
      </c>
      <c r="F887" t="s">
        <v>23</v>
      </c>
      <c r="G887" t="str">
        <f>TRIM(Table1[[#This Row],[Region_Clean]])</f>
        <v>N. AMERICA</v>
      </c>
      <c r="H887" t="s">
        <v>82</v>
      </c>
      <c r="I887" t="s">
        <v>98</v>
      </c>
      <c r="J887" s="3">
        <v>1</v>
      </c>
      <c r="K887" s="3">
        <v>2198.02</v>
      </c>
      <c r="L887">
        <v>2400</v>
      </c>
      <c r="M887">
        <v>2400</v>
      </c>
      <c r="N887">
        <v>201.98</v>
      </c>
      <c r="O887">
        <v>2198.02</v>
      </c>
      <c r="P887" t="s">
        <v>26</v>
      </c>
      <c r="Q887" t="s">
        <v>94</v>
      </c>
      <c r="R887" t="s">
        <v>59</v>
      </c>
      <c r="S887" t="str">
        <f>TRIM(PROPER(_xlfn.XLOOKUP(Table1[[#This Row],[ProductID_Clean]],Table3[ProductID],Table3[Category],"Missing Value",0)))</f>
        <v>Services</v>
      </c>
      <c r="T887" t="str">
        <f>_xlfn.XLOOKUP(Table1[[#This Row],[CustomerID_Check]],Table2[CustomerID],Table2[CustomerType],"Missing Value",0)</f>
        <v>Standard</v>
      </c>
    </row>
    <row r="888" spans="1:20">
      <c r="A888" t="s">
        <v>1140</v>
      </c>
      <c r="B888" s="1">
        <v>45774</v>
      </c>
      <c r="C888" t="s">
        <v>431</v>
      </c>
      <c r="D888" t="str">
        <f>UPPER(Table1[[#This Row],[ProductID_Clean]])</f>
        <v>P-SA-003</v>
      </c>
      <c r="E888" t="s">
        <v>51</v>
      </c>
      <c r="F888" t="s">
        <v>23</v>
      </c>
      <c r="G888" t="str">
        <f>TRIM(Table1[[#This Row],[Region_Clean]])</f>
        <v>N. AMERICA</v>
      </c>
      <c r="H888" t="s">
        <v>53</v>
      </c>
      <c r="I888" t="s">
        <v>87</v>
      </c>
      <c r="J888" s="3">
        <v>1</v>
      </c>
      <c r="K888" s="3">
        <v>2387.1</v>
      </c>
      <c r="L888">
        <v>2750</v>
      </c>
      <c r="M888">
        <v>2750</v>
      </c>
      <c r="N888">
        <v>362.9</v>
      </c>
      <c r="O888">
        <v>2387.1</v>
      </c>
      <c r="P888" t="s">
        <v>26</v>
      </c>
      <c r="Q888" t="s">
        <v>54</v>
      </c>
      <c r="R888" t="s">
        <v>44</v>
      </c>
      <c r="S888" t="str">
        <f>TRIM(PROPER(_xlfn.XLOOKUP(Table1[[#This Row],[ProductID_Clean]],Table3[ProductID],Table3[Category],"Missing Value",0)))</f>
        <v>Software</v>
      </c>
      <c r="T888" t="str">
        <f>_xlfn.XLOOKUP(Table1[[#This Row],[CustomerID_Check]],Table2[CustomerID],Table2[CustomerType],"Missing Value",0)</f>
        <v>Standard</v>
      </c>
    </row>
    <row r="889" spans="1:20">
      <c r="A889" t="s">
        <v>1141</v>
      </c>
      <c r="B889" s="1">
        <v>45776</v>
      </c>
      <c r="C889" t="s">
        <v>212</v>
      </c>
      <c r="D889" t="str">
        <f>UPPER(Table1[[#This Row],[ProductID_Clean]])</f>
        <v>P-SI-006</v>
      </c>
      <c r="E889" t="s">
        <v>43</v>
      </c>
      <c r="F889" t="s">
        <v>47</v>
      </c>
      <c r="G889" t="str">
        <f>TRIM(Table1[[#This Row],[Region_Clean]])</f>
        <v>EMEA</v>
      </c>
      <c r="H889" t="s">
        <v>24</v>
      </c>
      <c r="I889" t="s">
        <v>87</v>
      </c>
      <c r="J889" s="3">
        <v>3</v>
      </c>
      <c r="K889" s="3">
        <v>171.1</v>
      </c>
      <c r="L889">
        <v>215</v>
      </c>
      <c r="M889">
        <v>645</v>
      </c>
      <c r="N889">
        <v>131.69999999999999</v>
      </c>
      <c r="O889">
        <v>513.29999999999995</v>
      </c>
      <c r="P889" t="s">
        <v>113</v>
      </c>
      <c r="Q889" t="s">
        <v>35</v>
      </c>
      <c r="R889" t="s">
        <v>44</v>
      </c>
      <c r="S889" t="str">
        <f>TRIM(PROPER(_xlfn.XLOOKUP(Table1[[#This Row],[ProductID_Clean]],Table3[ProductID],Table3[Category],"Missing Value",0)))</f>
        <v>Sensors</v>
      </c>
      <c r="T889" t="str">
        <f>_xlfn.XLOOKUP(Table1[[#This Row],[CustomerID_Check]],Table2[CustomerID],Table2[CustomerType],"Missing Value",0)</f>
        <v>Key Account</v>
      </c>
    </row>
    <row r="890" spans="1:20">
      <c r="A890" t="s">
        <v>1142</v>
      </c>
      <c r="B890" s="1">
        <v>45739</v>
      </c>
      <c r="C890" t="s">
        <v>516</v>
      </c>
      <c r="D890" t="str">
        <f>UPPER(Table1[[#This Row],[ProductID_Clean]])</f>
        <v>P-FS-003</v>
      </c>
      <c r="E890" t="s">
        <v>216</v>
      </c>
      <c r="F890" t="s">
        <v>58</v>
      </c>
      <c r="G890" t="str">
        <f>TRIM(Table1[[#This Row],[Region_Clean]])</f>
        <v>APAC</v>
      </c>
      <c r="H890" t="s">
        <v>82</v>
      </c>
      <c r="I890" t="s">
        <v>87</v>
      </c>
      <c r="J890" s="3">
        <v>2</v>
      </c>
      <c r="K890" s="3">
        <v>3376.92</v>
      </c>
      <c r="L890">
        <v>4100</v>
      </c>
      <c r="M890">
        <v>8200</v>
      </c>
      <c r="N890">
        <v>1446.1599999999999</v>
      </c>
      <c r="O890">
        <v>6753.84</v>
      </c>
      <c r="P890" t="s">
        <v>26</v>
      </c>
      <c r="Q890" t="s">
        <v>83</v>
      </c>
      <c r="R890" t="s">
        <v>48</v>
      </c>
      <c r="S890" t="str">
        <f>TRIM(PROPER(_xlfn.XLOOKUP(Table1[[#This Row],[ProductID_Clean]],Table3[ProductID],Table3[Category],"Missing Value",0)))</f>
        <v>Services</v>
      </c>
      <c r="T890" t="str">
        <f>_xlfn.XLOOKUP(Table1[[#This Row],[CustomerID_Check]],Table2[CustomerID],Table2[CustomerType],"Missing Value",0)</f>
        <v>Standard</v>
      </c>
    </row>
    <row r="891" spans="1:20">
      <c r="A891" t="s">
        <v>1143</v>
      </c>
      <c r="B891" s="1">
        <v>45713</v>
      </c>
      <c r="C891" t="s">
        <v>146</v>
      </c>
      <c r="D891" t="str">
        <f>UPPER(Table1[[#This Row],[ProductID_Clean]])</f>
        <v>P-FS-001</v>
      </c>
      <c r="E891" t="s">
        <v>133</v>
      </c>
      <c r="F891" t="s">
        <v>47</v>
      </c>
      <c r="G891" t="str">
        <f>TRIM(Table1[[#This Row],[Region_Clean]])</f>
        <v>EMEA</v>
      </c>
      <c r="H891" t="s">
        <v>82</v>
      </c>
      <c r="I891" t="s">
        <v>34</v>
      </c>
      <c r="J891" s="3">
        <v>1</v>
      </c>
      <c r="K891" s="3">
        <v>1481.65</v>
      </c>
      <c r="L891">
        <v>1850</v>
      </c>
      <c r="M891">
        <v>1850</v>
      </c>
      <c r="N891">
        <v>368.35</v>
      </c>
      <c r="O891">
        <v>1481.65</v>
      </c>
      <c r="P891" t="s">
        <v>26</v>
      </c>
      <c r="Q891" t="s">
        <v>65</v>
      </c>
      <c r="R891" t="s">
        <v>44</v>
      </c>
      <c r="S891" t="str">
        <f>TRIM(PROPER(_xlfn.XLOOKUP(Table1[[#This Row],[ProductID_Clean]],Table3[ProductID],Table3[Category],"Missing Value",0)))</f>
        <v>Services</v>
      </c>
      <c r="T891" t="str">
        <f>_xlfn.XLOOKUP(Table1[[#This Row],[CustomerID_Check]],Table2[CustomerID],Table2[CustomerType],"Missing Value",0)</f>
        <v>Key Account</v>
      </c>
    </row>
    <row r="892" spans="1:20">
      <c r="A892" t="s">
        <v>1144</v>
      </c>
      <c r="B892" s="1">
        <v>45676</v>
      </c>
      <c r="C892" t="s">
        <v>516</v>
      </c>
      <c r="D892" t="str">
        <f>UPPER(Table1[[#This Row],[ProductID_Clean]])</f>
        <v>P-FS-002</v>
      </c>
      <c r="E892" t="s">
        <v>81</v>
      </c>
      <c r="F892" t="s">
        <v>58</v>
      </c>
      <c r="G892" t="str">
        <f>TRIM(Table1[[#This Row],[Region_Clean]])</f>
        <v>APAC</v>
      </c>
      <c r="H892" t="s">
        <v>82</v>
      </c>
      <c r="I892" t="s">
        <v>87</v>
      </c>
      <c r="J892" s="3">
        <v>1</v>
      </c>
      <c r="K892" s="3">
        <v>2082.3000000000002</v>
      </c>
      <c r="L892">
        <v>2400</v>
      </c>
      <c r="M892">
        <v>2400</v>
      </c>
      <c r="N892">
        <v>317.7</v>
      </c>
      <c r="O892">
        <v>2082.3000000000002</v>
      </c>
      <c r="P892" t="s">
        <v>26</v>
      </c>
      <c r="Q892" t="s">
        <v>94</v>
      </c>
      <c r="R892" t="s">
        <v>48</v>
      </c>
      <c r="S892" t="str">
        <f>TRIM(PROPER(_xlfn.XLOOKUP(Table1[[#This Row],[ProductID_Clean]],Table3[ProductID],Table3[Category],"Missing Value",0)))</f>
        <v>Services</v>
      </c>
      <c r="T892" t="str">
        <f>_xlfn.XLOOKUP(Table1[[#This Row],[CustomerID_Check]],Table2[CustomerID],Table2[CustomerType],"Missing Value",0)</f>
        <v>Standard</v>
      </c>
    </row>
    <row r="893" spans="1:20">
      <c r="A893" t="s">
        <v>1145</v>
      </c>
      <c r="B893" s="1">
        <v>45766</v>
      </c>
      <c r="C893" t="s">
        <v>38</v>
      </c>
      <c r="D893" t="str">
        <f>UPPER(Table1[[#This Row],[ProductID_Clean]])</f>
        <v>P-SI-006</v>
      </c>
      <c r="E893" t="s">
        <v>43</v>
      </c>
      <c r="F893" t="s">
        <v>32</v>
      </c>
      <c r="G893" t="str">
        <f>TRIM(Table1[[#This Row],[Region_Clean]])</f>
        <v>LATIN AMERICA</v>
      </c>
      <c r="H893" t="s">
        <v>24</v>
      </c>
      <c r="I893" t="s">
        <v>98</v>
      </c>
      <c r="J893" s="3">
        <v>1</v>
      </c>
      <c r="K893" s="3">
        <v>182.47</v>
      </c>
      <c r="L893">
        <v>215</v>
      </c>
      <c r="M893">
        <v>215</v>
      </c>
      <c r="N893">
        <v>32.53</v>
      </c>
      <c r="O893">
        <v>182.47</v>
      </c>
      <c r="P893" t="s">
        <v>26</v>
      </c>
      <c r="Q893" t="s">
        <v>35</v>
      </c>
      <c r="R893" t="s">
        <v>36</v>
      </c>
      <c r="S893" t="str">
        <f>TRIM(PROPER(_xlfn.XLOOKUP(Table1[[#This Row],[ProductID_Clean]],Table3[ProductID],Table3[Category],"Missing Value",0)))</f>
        <v>Sensors</v>
      </c>
      <c r="T893" t="str">
        <f>_xlfn.XLOOKUP(Table1[[#This Row],[CustomerID_Check]],Table2[CustomerID],Table2[CustomerType],"Missing Value",0)</f>
        <v>Standard</v>
      </c>
    </row>
    <row r="894" spans="1:20">
      <c r="A894" t="s">
        <v>1146</v>
      </c>
      <c r="B894" s="1">
        <v>45837</v>
      </c>
      <c r="C894" t="s">
        <v>202</v>
      </c>
      <c r="D894" t="str">
        <f>UPPER(Table1[[#This Row],[ProductID_Clean]])</f>
        <v>P-SI-001</v>
      </c>
      <c r="E894" t="s">
        <v>72</v>
      </c>
      <c r="F894" t="s">
        <v>47</v>
      </c>
      <c r="G894" t="str">
        <f>TRIM(Table1[[#This Row],[Region_Clean]])</f>
        <v>EMEA</v>
      </c>
      <c r="H894" t="s">
        <v>24</v>
      </c>
      <c r="I894" t="s">
        <v>25</v>
      </c>
      <c r="J894" s="3">
        <v>8</v>
      </c>
      <c r="K894" s="3">
        <v>465.54</v>
      </c>
      <c r="L894">
        <v>485</v>
      </c>
      <c r="M894">
        <v>3880</v>
      </c>
      <c r="N894">
        <v>155.68</v>
      </c>
      <c r="O894">
        <v>3724.32</v>
      </c>
      <c r="P894" t="s">
        <v>113</v>
      </c>
      <c r="Q894" t="s">
        <v>40</v>
      </c>
      <c r="R894" t="s">
        <v>44</v>
      </c>
      <c r="S894" t="str">
        <f>TRIM(PROPER(_xlfn.XLOOKUP(Table1[[#This Row],[ProductID_Clean]],Table3[ProductID],Table3[Category],"Missing Value",0)))</f>
        <v>Sensors</v>
      </c>
      <c r="T894" t="str">
        <f>_xlfn.XLOOKUP(Table1[[#This Row],[CustomerID_Check]],Table2[CustomerID],Table2[CustomerType],"Missing Value",0)</f>
        <v>Standard</v>
      </c>
    </row>
    <row r="895" spans="1:20">
      <c r="A895" t="s">
        <v>1147</v>
      </c>
      <c r="B895" s="1">
        <v>45675</v>
      </c>
      <c r="C895" t="s">
        <v>344</v>
      </c>
      <c r="D895" t="str">
        <f>UPPER(Table1[[#This Row],[ProductID_Clean]])</f>
        <v>P-SI-001</v>
      </c>
      <c r="E895" t="s">
        <v>72</v>
      </c>
      <c r="F895" t="s">
        <v>23</v>
      </c>
      <c r="G895" t="str">
        <f>TRIM(Table1[[#This Row],[Region_Clean]])</f>
        <v>N. AMERICA</v>
      </c>
      <c r="H895" t="s">
        <v>24</v>
      </c>
      <c r="I895" t="s">
        <v>25</v>
      </c>
      <c r="J895" s="3">
        <v>2</v>
      </c>
      <c r="K895" s="3">
        <v>463.22</v>
      </c>
      <c r="L895">
        <v>485</v>
      </c>
      <c r="M895">
        <v>970</v>
      </c>
      <c r="N895">
        <v>43.56</v>
      </c>
      <c r="O895">
        <v>926.44</v>
      </c>
      <c r="P895" t="s">
        <v>113</v>
      </c>
      <c r="Q895" t="s">
        <v>65</v>
      </c>
      <c r="R895" t="s">
        <v>59</v>
      </c>
      <c r="S895" t="str">
        <f>TRIM(PROPER(_xlfn.XLOOKUP(Table1[[#This Row],[ProductID_Clean]],Table3[ProductID],Table3[Category],"Missing Value",0)))</f>
        <v>Sensors</v>
      </c>
      <c r="T895" t="str">
        <f>_xlfn.XLOOKUP(Table1[[#This Row],[CustomerID_Check]],Table2[CustomerID],Table2[CustomerType],"Missing Value",0)</f>
        <v>Standard</v>
      </c>
    </row>
    <row r="896" spans="1:20">
      <c r="A896" t="s">
        <v>1148</v>
      </c>
      <c r="B896" s="1">
        <v>45666</v>
      </c>
      <c r="C896" t="s">
        <v>137</v>
      </c>
      <c r="D896" t="str">
        <f>UPPER(Table1[[#This Row],[ProductID_Clean]])</f>
        <v>P-SI-006</v>
      </c>
      <c r="E896" t="s">
        <v>43</v>
      </c>
      <c r="F896" t="s">
        <v>23</v>
      </c>
      <c r="G896" t="str">
        <f>TRIM(Table1[[#This Row],[Region_Clean]])</f>
        <v>N. AMERICA</v>
      </c>
      <c r="H896" t="s">
        <v>24</v>
      </c>
      <c r="I896" t="s">
        <v>34</v>
      </c>
      <c r="J896" s="3">
        <v>3</v>
      </c>
      <c r="K896" s="3">
        <v>144.30000000000001</v>
      </c>
      <c r="L896">
        <v>215</v>
      </c>
      <c r="M896">
        <v>645</v>
      </c>
      <c r="N896">
        <v>212.1</v>
      </c>
      <c r="O896">
        <v>432.9</v>
      </c>
      <c r="P896" t="s">
        <v>26</v>
      </c>
      <c r="Q896" t="s">
        <v>35</v>
      </c>
      <c r="R896" t="s">
        <v>28</v>
      </c>
      <c r="S896" t="str">
        <f>TRIM(PROPER(_xlfn.XLOOKUP(Table1[[#This Row],[ProductID_Clean]],Table3[ProductID],Table3[Category],"Missing Value",0)))</f>
        <v>Sensors</v>
      </c>
      <c r="T896" t="str">
        <f>_xlfn.XLOOKUP(Table1[[#This Row],[CustomerID_Check]],Table2[CustomerID],Table2[CustomerType],"Missing Value",0)</f>
        <v>Strategic</v>
      </c>
    </row>
    <row r="897" spans="1:20">
      <c r="A897" t="s">
        <v>1149</v>
      </c>
      <c r="B897" s="1">
        <v>45762</v>
      </c>
      <c r="C897" t="s">
        <v>282</v>
      </c>
      <c r="D897" t="str">
        <f>UPPER(Table1[[#This Row],[ProductID_Clean]])</f>
        <v>P-SI-007</v>
      </c>
      <c r="E897" t="s">
        <v>97</v>
      </c>
      <c r="F897" t="s">
        <v>23</v>
      </c>
      <c r="G897" t="str">
        <f>TRIM(Table1[[#This Row],[Region_Clean]])</f>
        <v>N. AMERICA</v>
      </c>
      <c r="H897" t="s">
        <v>24</v>
      </c>
      <c r="I897" t="s">
        <v>25</v>
      </c>
      <c r="J897" s="3">
        <v>1</v>
      </c>
      <c r="K897" s="3">
        <v>809.29</v>
      </c>
      <c r="L897">
        <v>980</v>
      </c>
      <c r="M897">
        <v>980</v>
      </c>
      <c r="N897">
        <v>170.71</v>
      </c>
      <c r="O897">
        <v>809.29</v>
      </c>
      <c r="P897" t="s">
        <v>26</v>
      </c>
      <c r="Q897" t="s">
        <v>40</v>
      </c>
      <c r="R897" t="s">
        <v>59</v>
      </c>
      <c r="S897" t="str">
        <f>TRIM(PROPER(_xlfn.XLOOKUP(Table1[[#This Row],[ProductID_Clean]],Table3[ProductID],Table3[Category],"Missing Value",0)))</f>
        <v>Sensors</v>
      </c>
      <c r="T897" t="str">
        <f>_xlfn.XLOOKUP(Table1[[#This Row],[CustomerID_Check]],Table2[CustomerID],Table2[CustomerType],"Missing Value",0)</f>
        <v>Strategic</v>
      </c>
    </row>
    <row r="898" spans="1:20">
      <c r="A898" t="s">
        <v>1150</v>
      </c>
      <c r="B898" s="1">
        <v>45692</v>
      </c>
      <c r="C898" t="s">
        <v>194</v>
      </c>
      <c r="D898" t="str">
        <f>UPPER(Table1[[#This Row],[ProductID_Clean]])</f>
        <v>P-SI-003</v>
      </c>
      <c r="E898" t="s">
        <v>39</v>
      </c>
      <c r="F898" t="s">
        <v>23</v>
      </c>
      <c r="G898" t="str">
        <f>TRIM(Table1[[#This Row],[Region_Clean]])</f>
        <v>N. AMERICA</v>
      </c>
      <c r="H898" t="s">
        <v>24</v>
      </c>
      <c r="I898" t="s">
        <v>25</v>
      </c>
      <c r="J898" s="3">
        <v>3</v>
      </c>
      <c r="K898" s="3">
        <v>1663.08</v>
      </c>
      <c r="L898">
        <v>1890</v>
      </c>
      <c r="M898">
        <v>5670</v>
      </c>
      <c r="N898">
        <v>680.76</v>
      </c>
      <c r="O898">
        <v>4989.24</v>
      </c>
      <c r="P898" t="s">
        <v>26</v>
      </c>
      <c r="Q898" t="s">
        <v>27</v>
      </c>
      <c r="R898" t="s">
        <v>36</v>
      </c>
      <c r="S898" t="str">
        <f>TRIM(PROPER(_xlfn.XLOOKUP(Table1[[#This Row],[ProductID_Clean]],Table3[ProductID],Table3[Category],"Missing Value",0)))</f>
        <v>Instruments</v>
      </c>
      <c r="T898" t="str">
        <f>_xlfn.XLOOKUP(Table1[[#This Row],[CustomerID_Check]],Table2[CustomerID],Table2[CustomerType],"Missing Value",0)</f>
        <v>Strategic</v>
      </c>
    </row>
    <row r="899" spans="1:20">
      <c r="A899" t="s">
        <v>1151</v>
      </c>
      <c r="B899" s="1">
        <v>45823</v>
      </c>
      <c r="C899" t="s">
        <v>165</v>
      </c>
      <c r="D899" t="str">
        <f>UPPER(Table1[[#This Row],[ProductID_Clean]])</f>
        <v>P-SI-006</v>
      </c>
      <c r="E899" t="s">
        <v>43</v>
      </c>
      <c r="F899" t="s">
        <v>47</v>
      </c>
      <c r="G899" t="str">
        <f>TRIM(Table1[[#This Row],[Region_Clean]])</f>
        <v>EMEA</v>
      </c>
      <c r="H899" t="s">
        <v>24</v>
      </c>
      <c r="I899" t="s">
        <v>25</v>
      </c>
      <c r="J899" s="3">
        <v>1</v>
      </c>
      <c r="K899" s="3">
        <v>177.12</v>
      </c>
      <c r="L899">
        <v>215</v>
      </c>
      <c r="M899">
        <v>215</v>
      </c>
      <c r="N899">
        <v>37.880000000000003</v>
      </c>
      <c r="O899">
        <v>177.12</v>
      </c>
      <c r="P899" t="s">
        <v>26</v>
      </c>
      <c r="Q899" t="s">
        <v>65</v>
      </c>
      <c r="R899" t="s">
        <v>28</v>
      </c>
      <c r="S899" t="str">
        <f>TRIM(PROPER(_xlfn.XLOOKUP(Table1[[#This Row],[ProductID_Clean]],Table3[ProductID],Table3[Category],"Missing Value",0)))</f>
        <v>Sensors</v>
      </c>
      <c r="T899" t="str">
        <f>_xlfn.XLOOKUP(Table1[[#This Row],[CustomerID_Check]],Table2[CustomerID],Table2[CustomerType],"Missing Value",0)</f>
        <v>Key Account</v>
      </c>
    </row>
    <row r="900" spans="1:20">
      <c r="A900" t="s">
        <v>1152</v>
      </c>
      <c r="B900" s="1">
        <v>45753</v>
      </c>
      <c r="C900" t="s">
        <v>424</v>
      </c>
      <c r="D900" t="str">
        <f>UPPER(Table1[[#This Row],[ProductID_Clean]])</f>
        <v>P-SI-006</v>
      </c>
      <c r="E900" t="s">
        <v>43</v>
      </c>
      <c r="F900" t="s">
        <v>23</v>
      </c>
      <c r="G900" t="str">
        <f>TRIM(Table1[[#This Row],[Region_Clean]])</f>
        <v>N. AMERICA</v>
      </c>
      <c r="H900" t="s">
        <v>24</v>
      </c>
      <c r="I900" t="s">
        <v>25</v>
      </c>
      <c r="J900" s="3">
        <v>12</v>
      </c>
      <c r="K900" s="3">
        <v>167.93</v>
      </c>
      <c r="L900">
        <v>215</v>
      </c>
      <c r="M900">
        <v>2580</v>
      </c>
      <c r="N900">
        <v>564.84</v>
      </c>
      <c r="O900">
        <v>2015.16</v>
      </c>
      <c r="P900" t="s">
        <v>26</v>
      </c>
      <c r="Q900" t="s">
        <v>27</v>
      </c>
      <c r="R900" t="s">
        <v>44</v>
      </c>
      <c r="S900" t="str">
        <f>TRIM(PROPER(_xlfn.XLOOKUP(Table1[[#This Row],[ProductID_Clean]],Table3[ProductID],Table3[Category],"Missing Value",0)))</f>
        <v>Sensors</v>
      </c>
      <c r="T900" t="str">
        <f>_xlfn.XLOOKUP(Table1[[#This Row],[CustomerID_Check]],Table2[CustomerID],Table2[CustomerType],"Missing Value",0)</f>
        <v>Key Account</v>
      </c>
    </row>
    <row r="901" spans="1:20">
      <c r="A901" t="s">
        <v>1153</v>
      </c>
      <c r="B901" s="1">
        <v>45772</v>
      </c>
      <c r="C901" t="s">
        <v>292</v>
      </c>
      <c r="D901" t="str">
        <f>UPPER(Table1[[#This Row],[ProductID_Clean]])</f>
        <v>P-SA-002</v>
      </c>
      <c r="E901" t="s">
        <v>147</v>
      </c>
      <c r="F901" t="s">
        <v>47</v>
      </c>
      <c r="G901" t="str">
        <f>TRIM(Table1[[#This Row],[Region_Clean]])</f>
        <v>EMEA</v>
      </c>
      <c r="H901" t="s">
        <v>53</v>
      </c>
      <c r="I901" t="s">
        <v>25</v>
      </c>
      <c r="J901" s="3">
        <v>1</v>
      </c>
      <c r="K901" s="3">
        <v>9653.08</v>
      </c>
      <c r="L901">
        <v>9800</v>
      </c>
      <c r="M901">
        <v>9800</v>
      </c>
      <c r="N901">
        <v>146.91999999999999</v>
      </c>
      <c r="O901">
        <v>9653.08</v>
      </c>
      <c r="P901" t="s">
        <v>26</v>
      </c>
      <c r="Q901" t="s">
        <v>54</v>
      </c>
      <c r="R901" t="s">
        <v>36</v>
      </c>
      <c r="S901" t="str">
        <f>TRIM(PROPER(_xlfn.XLOOKUP(Table1[[#This Row],[ProductID_Clean]],Table3[ProductID],Table3[Category],"Missing Value",0)))</f>
        <v>Software</v>
      </c>
      <c r="T901" t="str">
        <f>_xlfn.XLOOKUP(Table1[[#This Row],[CustomerID_Check]],Table2[CustomerID],Table2[CustomerType],"Missing Value",0)</f>
        <v>Standard</v>
      </c>
    </row>
    <row r="902" spans="1:20">
      <c r="A902" t="s">
        <v>1154</v>
      </c>
      <c r="B902" s="1">
        <v>45754</v>
      </c>
      <c r="C902" t="s">
        <v>157</v>
      </c>
      <c r="D902" t="str">
        <f>UPPER(Table1[[#This Row],[ProductID_Clean]])</f>
        <v>P-SI-002</v>
      </c>
      <c r="E902" t="s">
        <v>31</v>
      </c>
      <c r="F902" t="s">
        <v>23</v>
      </c>
      <c r="G902" t="str">
        <f>TRIM(Table1[[#This Row],[Region_Clean]])</f>
        <v>N. AMERICA</v>
      </c>
      <c r="H902" t="s">
        <v>24</v>
      </c>
      <c r="I902" t="s">
        <v>25</v>
      </c>
      <c r="J902" s="3">
        <v>1</v>
      </c>
      <c r="K902" s="3">
        <v>670.88</v>
      </c>
      <c r="L902">
        <v>725</v>
      </c>
      <c r="M902">
        <v>725</v>
      </c>
      <c r="N902">
        <v>54.12</v>
      </c>
      <c r="O902">
        <v>670.88</v>
      </c>
      <c r="P902" t="s">
        <v>26</v>
      </c>
      <c r="Q902" t="s">
        <v>35</v>
      </c>
      <c r="R902" t="s">
        <v>36</v>
      </c>
      <c r="S902" t="str">
        <f>TRIM(PROPER(_xlfn.XLOOKUP(Table1[[#This Row],[ProductID_Clean]],Table3[ProductID],Table3[Category],"Missing Value",0)))</f>
        <v>Sensors</v>
      </c>
      <c r="T902" t="str">
        <f>_xlfn.XLOOKUP(Table1[[#This Row],[CustomerID_Check]],Table2[CustomerID],Table2[CustomerType],"Missing Value",0)</f>
        <v>Key Account</v>
      </c>
    </row>
    <row r="903" spans="1:20">
      <c r="A903" t="s">
        <v>1155</v>
      </c>
      <c r="B903" s="1">
        <v>45832</v>
      </c>
      <c r="C903" t="s">
        <v>157</v>
      </c>
      <c r="D903" t="str">
        <f>UPPER(Table1[[#This Row],[ProductID_Clean]])</f>
        <v>P-SI-005</v>
      </c>
      <c r="E903" t="s">
        <v>57</v>
      </c>
      <c r="F903" t="s">
        <v>23</v>
      </c>
      <c r="G903" t="str">
        <f>TRIM(Table1[[#This Row],[Region_Clean]])</f>
        <v>N. AMERICA</v>
      </c>
      <c r="H903" t="s">
        <v>24</v>
      </c>
      <c r="I903" t="s">
        <v>87</v>
      </c>
      <c r="J903" s="3">
        <v>2</v>
      </c>
      <c r="K903" s="3">
        <v>934.51</v>
      </c>
      <c r="L903">
        <v>1120</v>
      </c>
      <c r="M903">
        <v>2240</v>
      </c>
      <c r="N903">
        <v>370.98</v>
      </c>
      <c r="O903">
        <v>1869.02</v>
      </c>
      <c r="P903" t="s">
        <v>26</v>
      </c>
      <c r="Q903" t="s">
        <v>65</v>
      </c>
      <c r="R903" t="s">
        <v>36</v>
      </c>
      <c r="S903" t="str">
        <f>TRIM(PROPER(_xlfn.XLOOKUP(Table1[[#This Row],[ProductID_Clean]],Table3[ProductID],Table3[Category],"Missing Value",0)))</f>
        <v>Sensors</v>
      </c>
      <c r="T903" t="str">
        <f>_xlfn.XLOOKUP(Table1[[#This Row],[CustomerID_Check]],Table2[CustomerID],Table2[CustomerType],"Missing Value",0)</f>
        <v>Key Account</v>
      </c>
    </row>
    <row r="904" spans="1:20">
      <c r="A904" t="s">
        <v>1156</v>
      </c>
      <c r="B904" s="1">
        <v>45796</v>
      </c>
      <c r="C904" t="s">
        <v>46</v>
      </c>
      <c r="D904" t="str">
        <f>UPPER(Table1[[#This Row],[ProductID_Clean]])</f>
        <v>P-FS-002</v>
      </c>
      <c r="E904" t="s">
        <v>81</v>
      </c>
      <c r="F904" t="s">
        <v>47</v>
      </c>
      <c r="G904" t="str">
        <f>TRIM(Table1[[#This Row],[Region_Clean]])</f>
        <v>EMEA</v>
      </c>
      <c r="H904" t="s">
        <v>82</v>
      </c>
      <c r="I904" t="s">
        <v>87</v>
      </c>
      <c r="J904" s="3">
        <v>1</v>
      </c>
      <c r="K904" s="3">
        <v>1988.45</v>
      </c>
      <c r="L904">
        <v>2400</v>
      </c>
      <c r="M904">
        <v>2400</v>
      </c>
      <c r="N904">
        <v>411.55</v>
      </c>
      <c r="O904">
        <v>1988.45</v>
      </c>
      <c r="P904" t="s">
        <v>26</v>
      </c>
      <c r="Q904" t="s">
        <v>94</v>
      </c>
      <c r="R904" t="s">
        <v>48</v>
      </c>
      <c r="S904" t="str">
        <f>TRIM(PROPER(_xlfn.XLOOKUP(Table1[[#This Row],[ProductID_Clean]],Table3[ProductID],Table3[Category],"Missing Value",0)))</f>
        <v>Services</v>
      </c>
      <c r="T904" t="str">
        <f>_xlfn.XLOOKUP(Table1[[#This Row],[CustomerID_Check]],Table2[CustomerID],Table2[CustomerType],"Missing Value",0)</f>
        <v>Strategic</v>
      </c>
    </row>
    <row r="905" spans="1:20">
      <c r="A905" t="s">
        <v>1157</v>
      </c>
      <c r="B905" s="1">
        <v>45825</v>
      </c>
      <c r="C905" t="s">
        <v>576</v>
      </c>
      <c r="D905" t="str">
        <f>UPPER(Table1[[#This Row],[ProductID_Clean]])</f>
        <v>P-FS-003</v>
      </c>
      <c r="E905" t="s">
        <v>216</v>
      </c>
      <c r="F905" t="s">
        <v>198</v>
      </c>
      <c r="G905" t="str">
        <f>TRIM(Table1[[#This Row],[Region_Clean]])</f>
        <v>APAC</v>
      </c>
      <c r="H905" t="s">
        <v>82</v>
      </c>
      <c r="I905" t="s">
        <v>98</v>
      </c>
      <c r="J905" s="3">
        <v>1</v>
      </c>
      <c r="K905" s="3">
        <v>3763.98</v>
      </c>
      <c r="L905">
        <v>4100</v>
      </c>
      <c r="M905">
        <v>4100</v>
      </c>
      <c r="N905">
        <v>336.02</v>
      </c>
      <c r="O905">
        <v>3763.98</v>
      </c>
      <c r="P905" t="s">
        <v>26</v>
      </c>
      <c r="Q905" t="s">
        <v>83</v>
      </c>
      <c r="R905" t="s">
        <v>36</v>
      </c>
      <c r="S905" t="str">
        <f>TRIM(PROPER(_xlfn.XLOOKUP(Table1[[#This Row],[ProductID_Clean]],Table3[ProductID],Table3[Category],"Missing Value",0)))</f>
        <v>Services</v>
      </c>
      <c r="T905" t="str">
        <f>_xlfn.XLOOKUP(Table1[[#This Row],[CustomerID_Check]],Table2[CustomerID],Table2[CustomerType],"Missing Value",0)</f>
        <v>Standard</v>
      </c>
    </row>
    <row r="906" spans="1:20">
      <c r="A906" t="s">
        <v>1158</v>
      </c>
      <c r="B906" s="1">
        <v>45688</v>
      </c>
      <c r="C906" t="s">
        <v>64</v>
      </c>
      <c r="D906" t="str">
        <f>UPPER(Table1[[#This Row],[ProductID_Clean]])</f>
        <v>P-SA-005</v>
      </c>
      <c r="E906" t="s">
        <v>62</v>
      </c>
      <c r="F906" t="s">
        <v>47</v>
      </c>
      <c r="G906" t="str">
        <f>TRIM(Table1[[#This Row],[Region_Clean]])</f>
        <v>EMEA</v>
      </c>
      <c r="H906" t="s">
        <v>53</v>
      </c>
      <c r="I906" t="s">
        <v>25</v>
      </c>
      <c r="J906" s="3">
        <v>5</v>
      </c>
      <c r="K906" s="3">
        <v>2714.84</v>
      </c>
      <c r="L906">
        <v>3200</v>
      </c>
      <c r="M906">
        <v>16000</v>
      </c>
      <c r="N906">
        <v>2425.8000000000002</v>
      </c>
      <c r="O906">
        <v>13574.2</v>
      </c>
      <c r="P906" t="s">
        <v>26</v>
      </c>
      <c r="Q906" t="s">
        <v>54</v>
      </c>
      <c r="R906" t="s">
        <v>36</v>
      </c>
      <c r="S906" t="str">
        <f>TRIM(PROPER(_xlfn.XLOOKUP(Table1[[#This Row],[ProductID_Clean]],Table3[ProductID],Table3[Category],"Missing Value",0)))</f>
        <v>Software / Integration</v>
      </c>
      <c r="T906" t="str">
        <f>_xlfn.XLOOKUP(Table1[[#This Row],[CustomerID_Check]],Table2[CustomerID],Table2[CustomerType],"Missing Value",0)</f>
        <v>Key Account</v>
      </c>
    </row>
    <row r="907" spans="1:20">
      <c r="A907" t="s">
        <v>1159</v>
      </c>
      <c r="B907" s="1">
        <v>45690</v>
      </c>
      <c r="C907" t="s">
        <v>222</v>
      </c>
      <c r="D907" t="str">
        <f>UPPER(Table1[[#This Row],[ProductID_Clean]])</f>
        <v>P-SI-001</v>
      </c>
      <c r="E907" t="s">
        <v>72</v>
      </c>
      <c r="F907" t="s">
        <v>47</v>
      </c>
      <c r="G907" t="str">
        <f>TRIM(Table1[[#This Row],[Region_Clean]])</f>
        <v>EMEA</v>
      </c>
      <c r="H907" t="s">
        <v>24</v>
      </c>
      <c r="I907" t="s">
        <v>87</v>
      </c>
      <c r="J907" s="3">
        <v>2</v>
      </c>
      <c r="K907" s="3">
        <v>416.82</v>
      </c>
      <c r="L907">
        <v>485</v>
      </c>
      <c r="M907">
        <v>970</v>
      </c>
      <c r="N907">
        <v>136.36000000000001</v>
      </c>
      <c r="O907">
        <v>833.64</v>
      </c>
      <c r="P907" t="s">
        <v>126</v>
      </c>
      <c r="Q907" t="s">
        <v>35</v>
      </c>
      <c r="R907" t="s">
        <v>28</v>
      </c>
      <c r="S907" t="str">
        <f>TRIM(PROPER(_xlfn.XLOOKUP(Table1[[#This Row],[ProductID_Clean]],Table3[ProductID],Table3[Category],"Missing Value",0)))</f>
        <v>Sensors</v>
      </c>
      <c r="T907" t="str">
        <f>_xlfn.XLOOKUP(Table1[[#This Row],[CustomerID_Check]],Table2[CustomerID],Table2[CustomerType],"Missing Value",0)</f>
        <v>Standard</v>
      </c>
    </row>
    <row r="908" spans="1:20">
      <c r="A908" t="s">
        <v>1160</v>
      </c>
      <c r="B908" s="1">
        <v>45715</v>
      </c>
      <c r="C908" t="s">
        <v>1161</v>
      </c>
      <c r="D908" t="str">
        <f>UPPER(Table1[[#This Row],[ProductID_Clean]])</f>
        <v>P-SI-007</v>
      </c>
      <c r="E908" t="s">
        <v>97</v>
      </c>
      <c r="F908" t="s">
        <v>32</v>
      </c>
      <c r="G908" t="str">
        <f>TRIM(Table1[[#This Row],[Region_Clean]])</f>
        <v>LATIN AMERICA</v>
      </c>
      <c r="H908" t="s">
        <v>24</v>
      </c>
      <c r="I908" t="s">
        <v>34</v>
      </c>
      <c r="J908" s="3">
        <v>5</v>
      </c>
      <c r="K908" s="3">
        <v>837.35</v>
      </c>
      <c r="L908">
        <v>980</v>
      </c>
      <c r="M908">
        <v>4900</v>
      </c>
      <c r="N908">
        <v>713.25</v>
      </c>
      <c r="O908">
        <v>4186.75</v>
      </c>
      <c r="P908" t="s">
        <v>26</v>
      </c>
      <c r="Q908" t="s">
        <v>27</v>
      </c>
      <c r="R908" t="s">
        <v>36</v>
      </c>
      <c r="S908" t="str">
        <f>TRIM(PROPER(_xlfn.XLOOKUP(Table1[[#This Row],[ProductID_Clean]],Table3[ProductID],Table3[Category],"Missing Value",0)))</f>
        <v>Sensors</v>
      </c>
      <c r="T908" t="str">
        <f>_xlfn.XLOOKUP(Table1[[#This Row],[CustomerID_Check]],Table2[CustomerID],Table2[CustomerType],"Missing Value",0)</f>
        <v>Emerging</v>
      </c>
    </row>
    <row r="909" spans="1:20">
      <c r="A909" t="s">
        <v>1162</v>
      </c>
      <c r="B909" s="1">
        <v>45830</v>
      </c>
      <c r="C909" t="s">
        <v>710</v>
      </c>
      <c r="D909" t="str">
        <f>UPPER(Table1[[#This Row],[ProductID_Clean]])</f>
        <v>P-SI-006</v>
      </c>
      <c r="E909" t="s">
        <v>43</v>
      </c>
      <c r="F909" t="s">
        <v>23</v>
      </c>
      <c r="G909" t="str">
        <f>TRIM(Table1[[#This Row],[Region_Clean]])</f>
        <v>N. AMERICA</v>
      </c>
      <c r="H909" t="s">
        <v>24</v>
      </c>
      <c r="I909" t="s">
        <v>166</v>
      </c>
      <c r="J909" s="3">
        <v>2</v>
      </c>
      <c r="K909" s="3">
        <v>185.11</v>
      </c>
      <c r="L909">
        <v>215</v>
      </c>
      <c r="M909">
        <v>430</v>
      </c>
      <c r="N909">
        <v>59.78</v>
      </c>
      <c r="O909">
        <v>370.22</v>
      </c>
      <c r="P909" t="s">
        <v>26</v>
      </c>
      <c r="Q909" t="s">
        <v>65</v>
      </c>
      <c r="R909" t="s">
        <v>59</v>
      </c>
      <c r="S909" t="str">
        <f>TRIM(PROPER(_xlfn.XLOOKUP(Table1[[#This Row],[ProductID_Clean]],Table3[ProductID],Table3[Category],"Missing Value",0)))</f>
        <v>Sensors</v>
      </c>
      <c r="T909" t="str">
        <f>_xlfn.XLOOKUP(Table1[[#This Row],[CustomerID_Check]],Table2[CustomerID],Table2[CustomerType],"Missing Value",0)</f>
        <v>Standard</v>
      </c>
    </row>
    <row r="910" spans="1:20">
      <c r="A910" t="s">
        <v>1163</v>
      </c>
      <c r="B910" s="1">
        <v>45797</v>
      </c>
      <c r="C910" t="s">
        <v>76</v>
      </c>
      <c r="D910" t="str">
        <f>UPPER(Table1[[#This Row],[ProductID_Clean]])</f>
        <v>P-FS-005</v>
      </c>
      <c r="E910" t="s">
        <v>101</v>
      </c>
      <c r="F910" t="s">
        <v>58</v>
      </c>
      <c r="G910" t="str">
        <f>TRIM(Table1[[#This Row],[Region_Clean]])</f>
        <v>APAC</v>
      </c>
      <c r="H910" t="s">
        <v>82</v>
      </c>
      <c r="I910" t="s">
        <v>25</v>
      </c>
      <c r="J910" s="3">
        <v>1</v>
      </c>
      <c r="K910" s="3">
        <v>753.8</v>
      </c>
      <c r="L910">
        <v>950</v>
      </c>
      <c r="M910">
        <v>950</v>
      </c>
      <c r="N910">
        <v>196.2</v>
      </c>
      <c r="O910">
        <v>753.8</v>
      </c>
      <c r="P910" t="s">
        <v>26</v>
      </c>
      <c r="Q910" t="s">
        <v>27</v>
      </c>
      <c r="R910" t="s">
        <v>59</v>
      </c>
      <c r="S910" t="str">
        <f>TRIM(PROPER(_xlfn.XLOOKUP(Table1[[#This Row],[ProductID_Clean]],Table3[ProductID],Table3[Category],"Missing Value",0)))</f>
        <v>Services</v>
      </c>
      <c r="T910" t="str">
        <f>_xlfn.XLOOKUP(Table1[[#This Row],[CustomerID_Check]],Table2[CustomerID],Table2[CustomerType],"Missing Value",0)</f>
        <v>Missing Value</v>
      </c>
    </row>
    <row r="911" spans="1:20">
      <c r="A911" t="s">
        <v>1164</v>
      </c>
      <c r="B911" s="1">
        <v>45794</v>
      </c>
      <c r="C911" t="s">
        <v>76</v>
      </c>
      <c r="D911" t="str">
        <f>UPPER(Table1[[#This Row],[ProductID_Clean]])</f>
        <v>P-SI-008</v>
      </c>
      <c r="E911" t="s">
        <v>152</v>
      </c>
      <c r="F911" t="s">
        <v>23</v>
      </c>
      <c r="G911" t="str">
        <f>TRIM(Table1[[#This Row],[Region_Clean]])</f>
        <v>N. AMERICA</v>
      </c>
      <c r="H911" t="s">
        <v>24</v>
      </c>
      <c r="I911" t="s">
        <v>25</v>
      </c>
      <c r="J911" s="3">
        <v>1</v>
      </c>
      <c r="K911" s="3">
        <v>826.96</v>
      </c>
      <c r="L911">
        <v>950</v>
      </c>
      <c r="M911">
        <v>950</v>
      </c>
      <c r="N911">
        <v>123.04</v>
      </c>
      <c r="O911">
        <v>826.96</v>
      </c>
      <c r="P911" t="s">
        <v>26</v>
      </c>
      <c r="Q911" t="s">
        <v>35</v>
      </c>
      <c r="R911" t="s">
        <v>48</v>
      </c>
      <c r="S911" t="str">
        <f>TRIM(PROPER(_xlfn.XLOOKUP(Table1[[#This Row],[ProductID_Clean]],Table3[ProductID],Table3[Category],"Missing Value",0)))</f>
        <v>Instruments</v>
      </c>
      <c r="T911" t="str">
        <f>_xlfn.XLOOKUP(Table1[[#This Row],[CustomerID_Check]],Table2[CustomerID],Table2[CustomerType],"Missing Value",0)</f>
        <v>Missing Value</v>
      </c>
    </row>
    <row r="912" spans="1:20">
      <c r="A912" t="s">
        <v>1165</v>
      </c>
      <c r="B912" s="1">
        <v>45716</v>
      </c>
      <c r="C912" t="s">
        <v>128</v>
      </c>
      <c r="D912" t="str">
        <f>UPPER(Table1[[#This Row],[ProductID_Clean]])</f>
        <v>P-SI-001</v>
      </c>
      <c r="E912" t="s">
        <v>72</v>
      </c>
      <c r="F912" t="s">
        <v>32</v>
      </c>
      <c r="G912" t="str">
        <f>TRIM(Table1[[#This Row],[Region_Clean]])</f>
        <v>LATIN AMERICA</v>
      </c>
      <c r="H912" t="s">
        <v>24</v>
      </c>
      <c r="I912" t="s">
        <v>25</v>
      </c>
      <c r="J912" s="3">
        <v>3</v>
      </c>
      <c r="K912" s="3">
        <v>380.74</v>
      </c>
      <c r="L912">
        <v>485</v>
      </c>
      <c r="M912">
        <v>1455</v>
      </c>
      <c r="N912">
        <v>312.77999999999997</v>
      </c>
      <c r="O912">
        <v>1142.22</v>
      </c>
      <c r="P912" t="s">
        <v>26</v>
      </c>
      <c r="Q912" t="s">
        <v>27</v>
      </c>
      <c r="R912" t="s">
        <v>28</v>
      </c>
      <c r="S912" t="str">
        <f>TRIM(PROPER(_xlfn.XLOOKUP(Table1[[#This Row],[ProductID_Clean]],Table3[ProductID],Table3[Category],"Missing Value",0)))</f>
        <v>Sensors</v>
      </c>
      <c r="T912" t="str">
        <f>_xlfn.XLOOKUP(Table1[[#This Row],[CustomerID_Check]],Table2[CustomerID],Table2[CustomerType],"Missing Value",0)</f>
        <v>Key Account</v>
      </c>
    </row>
    <row r="913" spans="1:20">
      <c r="A913" t="s">
        <v>1166</v>
      </c>
      <c r="B913" s="1">
        <v>45697</v>
      </c>
      <c r="C913" t="s">
        <v>110</v>
      </c>
      <c r="D913" t="str">
        <f>UPPER(Table1[[#This Row],[ProductID_Clean]])</f>
        <v>P-SI-002</v>
      </c>
      <c r="E913" t="s">
        <v>31</v>
      </c>
      <c r="F913" t="s">
        <v>23</v>
      </c>
      <c r="G913" t="str">
        <f>TRIM(Table1[[#This Row],[Region_Clean]])</f>
        <v>N. AMERICA</v>
      </c>
      <c r="H913" t="s">
        <v>24</v>
      </c>
      <c r="I913" t="s">
        <v>87</v>
      </c>
      <c r="J913" s="3">
        <v>3</v>
      </c>
      <c r="K913" s="3">
        <v>595.69000000000005</v>
      </c>
      <c r="L913">
        <v>725</v>
      </c>
      <c r="M913">
        <v>2175</v>
      </c>
      <c r="N913">
        <v>387.93</v>
      </c>
      <c r="O913">
        <v>1787.07</v>
      </c>
      <c r="P913" t="s">
        <v>26</v>
      </c>
      <c r="Q913" t="s">
        <v>27</v>
      </c>
      <c r="R913" t="s">
        <v>59</v>
      </c>
      <c r="S913" t="str">
        <f>TRIM(PROPER(_xlfn.XLOOKUP(Table1[[#This Row],[ProductID_Clean]],Table3[ProductID],Table3[Category],"Missing Value",0)))</f>
        <v>Sensors</v>
      </c>
      <c r="T913" t="str">
        <f>_xlfn.XLOOKUP(Table1[[#This Row],[CustomerID_Check]],Table2[CustomerID],Table2[CustomerType],"Missing Value",0)</f>
        <v>Standard</v>
      </c>
    </row>
    <row r="914" spans="1:20">
      <c r="A914" t="s">
        <v>1167</v>
      </c>
      <c r="B914" s="1">
        <v>45706</v>
      </c>
      <c r="C914" t="s">
        <v>46</v>
      </c>
      <c r="D914" t="str">
        <f>UPPER(Table1[[#This Row],[ProductID_Clean]])</f>
        <v>P-SI-005</v>
      </c>
      <c r="E914" t="s">
        <v>57</v>
      </c>
      <c r="F914" t="s">
        <v>47</v>
      </c>
      <c r="G914" t="str">
        <f>TRIM(Table1[[#This Row],[Region_Clean]])</f>
        <v>EMEA</v>
      </c>
      <c r="H914" t="s">
        <v>24</v>
      </c>
      <c r="I914" t="s">
        <v>25</v>
      </c>
      <c r="J914" s="3">
        <v>4</v>
      </c>
      <c r="K914" s="3">
        <v>902.26</v>
      </c>
      <c r="L914">
        <v>1120</v>
      </c>
      <c r="M914">
        <v>4480</v>
      </c>
      <c r="N914">
        <v>870.96</v>
      </c>
      <c r="O914">
        <v>3609.04</v>
      </c>
      <c r="P914" t="s">
        <v>26</v>
      </c>
      <c r="Q914" t="s">
        <v>35</v>
      </c>
      <c r="R914" t="s">
        <v>48</v>
      </c>
      <c r="S914" t="str">
        <f>TRIM(PROPER(_xlfn.XLOOKUP(Table1[[#This Row],[ProductID_Clean]],Table3[ProductID],Table3[Category],"Missing Value",0)))</f>
        <v>Sensors</v>
      </c>
      <c r="T914" t="str">
        <f>_xlfn.XLOOKUP(Table1[[#This Row],[CustomerID_Check]],Table2[CustomerID],Table2[CustomerType],"Missing Value",0)</f>
        <v>Strategic</v>
      </c>
    </row>
    <row r="915" spans="1:20">
      <c r="A915" t="s">
        <v>1168</v>
      </c>
      <c r="B915" s="1">
        <v>45686</v>
      </c>
      <c r="C915" t="s">
        <v>229</v>
      </c>
      <c r="D915" t="str">
        <f>UPPER(Table1[[#This Row],[ProductID_Clean]])</f>
        <v>P-SI-001</v>
      </c>
      <c r="E915" t="s">
        <v>72</v>
      </c>
      <c r="F915" t="s">
        <v>23</v>
      </c>
      <c r="G915" t="str">
        <f>TRIM(Table1[[#This Row],[Region_Clean]])</f>
        <v>N. AMERICA</v>
      </c>
      <c r="H915" t="s">
        <v>24</v>
      </c>
      <c r="I915" t="s">
        <v>87</v>
      </c>
      <c r="J915" s="3">
        <v>2</v>
      </c>
      <c r="K915" s="3">
        <v>414.86</v>
      </c>
      <c r="L915">
        <v>485</v>
      </c>
      <c r="M915">
        <v>970</v>
      </c>
      <c r="N915">
        <v>140.28</v>
      </c>
      <c r="O915">
        <v>829.72</v>
      </c>
      <c r="P915" t="s">
        <v>26</v>
      </c>
      <c r="Q915" t="s">
        <v>35</v>
      </c>
      <c r="R915" t="s">
        <v>48</v>
      </c>
      <c r="S915" t="str">
        <f>TRIM(PROPER(_xlfn.XLOOKUP(Table1[[#This Row],[ProductID_Clean]],Table3[ProductID],Table3[Category],"Missing Value",0)))</f>
        <v>Sensors</v>
      </c>
      <c r="T915" t="str">
        <f>_xlfn.XLOOKUP(Table1[[#This Row],[CustomerID_Check]],Table2[CustomerID],Table2[CustomerType],"Missing Value",0)</f>
        <v>Standard</v>
      </c>
    </row>
    <row r="916" spans="1:20">
      <c r="A916" t="s">
        <v>1169</v>
      </c>
      <c r="B916" s="1">
        <v>45765</v>
      </c>
      <c r="C916" t="s">
        <v>146</v>
      </c>
      <c r="D916" t="str">
        <f>UPPER(Table1[[#This Row],[ProductID_Clean]])</f>
        <v>P-SI-002</v>
      </c>
      <c r="E916" t="s">
        <v>31</v>
      </c>
      <c r="F916" t="s">
        <v>47</v>
      </c>
      <c r="G916" t="str">
        <f>TRIM(Table1[[#This Row],[Region_Clean]])</f>
        <v>EMEA</v>
      </c>
      <c r="H916" t="s">
        <v>24</v>
      </c>
      <c r="I916" t="s">
        <v>87</v>
      </c>
      <c r="J916" s="3">
        <v>1</v>
      </c>
      <c r="K916" s="3">
        <v>572.76</v>
      </c>
      <c r="L916">
        <v>725</v>
      </c>
      <c r="M916">
        <v>725</v>
      </c>
      <c r="N916">
        <v>152.24</v>
      </c>
      <c r="O916">
        <v>572.76</v>
      </c>
      <c r="P916" t="s">
        <v>26</v>
      </c>
      <c r="Q916" t="s">
        <v>35</v>
      </c>
      <c r="R916" t="s">
        <v>44</v>
      </c>
      <c r="S916" t="str">
        <f>TRIM(PROPER(_xlfn.XLOOKUP(Table1[[#This Row],[ProductID_Clean]],Table3[ProductID],Table3[Category],"Missing Value",0)))</f>
        <v>Sensors</v>
      </c>
      <c r="T916" t="str">
        <f>_xlfn.XLOOKUP(Table1[[#This Row],[CustomerID_Check]],Table2[CustomerID],Table2[CustomerType],"Missing Value",0)</f>
        <v>Key Account</v>
      </c>
    </row>
    <row r="917" spans="1:20">
      <c r="A917" t="s">
        <v>1170</v>
      </c>
      <c r="B917" s="1">
        <v>45662</v>
      </c>
      <c r="C917" t="s">
        <v>792</v>
      </c>
      <c r="D917" t="str">
        <f>UPPER(Table1[[#This Row],[ProductID_Clean]])</f>
        <v>P-SI-002</v>
      </c>
      <c r="E917" t="s">
        <v>31</v>
      </c>
      <c r="F917" t="s">
        <v>47</v>
      </c>
      <c r="G917" t="str">
        <f>TRIM(Table1[[#This Row],[Region_Clean]])</f>
        <v>EMEA</v>
      </c>
      <c r="H917" t="s">
        <v>24</v>
      </c>
      <c r="I917" t="s">
        <v>25</v>
      </c>
      <c r="J917" s="3">
        <v>5</v>
      </c>
      <c r="K917" s="3">
        <v>698.48</v>
      </c>
      <c r="L917">
        <v>725</v>
      </c>
      <c r="M917">
        <v>3625</v>
      </c>
      <c r="N917">
        <v>132.6</v>
      </c>
      <c r="O917">
        <v>3492.4</v>
      </c>
      <c r="P917" t="s">
        <v>26</v>
      </c>
      <c r="Q917" t="s">
        <v>35</v>
      </c>
      <c r="R917" t="s">
        <v>36</v>
      </c>
      <c r="S917" t="str">
        <f>TRIM(PROPER(_xlfn.XLOOKUP(Table1[[#This Row],[ProductID_Clean]],Table3[ProductID],Table3[Category],"Missing Value",0)))</f>
        <v>Sensors</v>
      </c>
      <c r="T917" t="str">
        <f>_xlfn.XLOOKUP(Table1[[#This Row],[CustomerID_Check]],Table2[CustomerID],Table2[CustomerType],"Missing Value",0)</f>
        <v>Standard</v>
      </c>
    </row>
    <row r="918" spans="1:20">
      <c r="A918" t="s">
        <v>1171</v>
      </c>
      <c r="B918" s="1">
        <v>45734</v>
      </c>
      <c r="C918" t="s">
        <v>121</v>
      </c>
      <c r="D918" t="str">
        <f>UPPER(Table1[[#This Row],[ProductID_Clean]])</f>
        <v>P-SA-005</v>
      </c>
      <c r="E918" t="s">
        <v>62</v>
      </c>
      <c r="F918" t="s">
        <v>58</v>
      </c>
      <c r="G918" t="str">
        <f>TRIM(Table1[[#This Row],[Region_Clean]])</f>
        <v>APAC</v>
      </c>
      <c r="H918" t="s">
        <v>53</v>
      </c>
      <c r="I918" t="s">
        <v>25</v>
      </c>
      <c r="J918" s="3">
        <v>2</v>
      </c>
      <c r="K918" s="3">
        <v>2984.73</v>
      </c>
      <c r="L918">
        <v>3200</v>
      </c>
      <c r="M918">
        <v>6400</v>
      </c>
      <c r="N918">
        <v>430.53999999999996</v>
      </c>
      <c r="O918">
        <v>5969.46</v>
      </c>
      <c r="P918" t="s">
        <v>26</v>
      </c>
      <c r="Q918" t="s">
        <v>54</v>
      </c>
      <c r="R918" t="s">
        <v>36</v>
      </c>
      <c r="S918" t="str">
        <f>TRIM(PROPER(_xlfn.XLOOKUP(Table1[[#This Row],[ProductID_Clean]],Table3[ProductID],Table3[Category],"Missing Value",0)))</f>
        <v>Software / Integration</v>
      </c>
      <c r="T918" t="str">
        <f>_xlfn.XLOOKUP(Table1[[#This Row],[CustomerID_Check]],Table2[CustomerID],Table2[CustomerType],"Missing Value",0)</f>
        <v>Key Account</v>
      </c>
    </row>
    <row r="919" spans="1:20">
      <c r="A919" t="s">
        <v>1172</v>
      </c>
      <c r="B919" s="1">
        <v>45683</v>
      </c>
      <c r="C919" t="s">
        <v>108</v>
      </c>
      <c r="D919" t="str">
        <f>UPPER(Table1[[#This Row],[ProductID_Clean]])</f>
        <v>P-SI-003</v>
      </c>
      <c r="E919" t="s">
        <v>39</v>
      </c>
      <c r="F919" t="s">
        <v>32</v>
      </c>
      <c r="G919" t="str">
        <f>TRIM(Table1[[#This Row],[Region_Clean]])</f>
        <v>LATIN AMERICA</v>
      </c>
      <c r="H919" t="s">
        <v>24</v>
      </c>
      <c r="I919" t="s">
        <v>25</v>
      </c>
      <c r="J919" s="3">
        <v>5</v>
      </c>
      <c r="K919" s="3">
        <v>1617.94</v>
      </c>
      <c r="L919">
        <v>1890</v>
      </c>
      <c r="M919">
        <v>9450</v>
      </c>
      <c r="N919">
        <v>1360.3</v>
      </c>
      <c r="O919">
        <v>8089.7</v>
      </c>
      <c r="P919" t="s">
        <v>113</v>
      </c>
      <c r="Q919" t="s">
        <v>65</v>
      </c>
      <c r="R919" t="s">
        <v>36</v>
      </c>
      <c r="S919" t="str">
        <f>TRIM(PROPER(_xlfn.XLOOKUP(Table1[[#This Row],[ProductID_Clean]],Table3[ProductID],Table3[Category],"Missing Value",0)))</f>
        <v>Instruments</v>
      </c>
      <c r="T919" t="str">
        <f>_xlfn.XLOOKUP(Table1[[#This Row],[CustomerID_Check]],Table2[CustomerID],Table2[CustomerType],"Missing Value",0)</f>
        <v>Standard</v>
      </c>
    </row>
    <row r="920" spans="1:20">
      <c r="A920" t="s">
        <v>1173</v>
      </c>
      <c r="B920" s="1">
        <v>45811</v>
      </c>
      <c r="C920" t="s">
        <v>726</v>
      </c>
      <c r="D920" t="str">
        <f>UPPER(Table1[[#This Row],[ProductID_Clean]])</f>
        <v>P-FS-004</v>
      </c>
      <c r="E920" t="s">
        <v>432</v>
      </c>
      <c r="F920" t="s">
        <v>23</v>
      </c>
      <c r="G920" t="str">
        <f>TRIM(Table1[[#This Row],[Region_Clean]])</f>
        <v>N. AMERICA</v>
      </c>
      <c r="H920" t="s">
        <v>82</v>
      </c>
      <c r="I920" t="s">
        <v>25</v>
      </c>
      <c r="J920" s="3">
        <v>1</v>
      </c>
      <c r="K920" s="3">
        <v>2927.99</v>
      </c>
      <c r="L920">
        <v>3200</v>
      </c>
      <c r="M920">
        <v>3200</v>
      </c>
      <c r="N920">
        <v>272.01</v>
      </c>
      <c r="O920">
        <v>2927.99</v>
      </c>
      <c r="P920" t="s">
        <v>26</v>
      </c>
      <c r="Q920" t="s">
        <v>35</v>
      </c>
      <c r="R920" t="s">
        <v>59</v>
      </c>
      <c r="S920" t="str">
        <f>TRIM(PROPER(_xlfn.XLOOKUP(Table1[[#This Row],[ProductID_Clean]],Table3[ProductID],Table3[Category],"Missing Value",0)))</f>
        <v>Services</v>
      </c>
      <c r="T920" t="str">
        <f>_xlfn.XLOOKUP(Table1[[#This Row],[CustomerID_Check]],Table2[CustomerID],Table2[CustomerType],"Missing Value",0)</f>
        <v>Key Account</v>
      </c>
    </row>
    <row r="921" spans="1:20">
      <c r="A921" t="s">
        <v>1174</v>
      </c>
      <c r="B921" s="1">
        <v>45838</v>
      </c>
      <c r="C921" t="s">
        <v>46</v>
      </c>
      <c r="D921" t="str">
        <f>UPPER(Table1[[#This Row],[ProductID_Clean]])</f>
        <v>P-SI-005</v>
      </c>
      <c r="E921" t="s">
        <v>57</v>
      </c>
      <c r="F921" t="s">
        <v>47</v>
      </c>
      <c r="G921" t="str">
        <f>TRIM(Table1[[#This Row],[Region_Clean]])</f>
        <v>EMEA</v>
      </c>
      <c r="H921" t="s">
        <v>24</v>
      </c>
      <c r="I921" t="s">
        <v>25</v>
      </c>
      <c r="J921" s="3">
        <v>3</v>
      </c>
      <c r="K921" s="3">
        <v>889.54</v>
      </c>
      <c r="L921">
        <v>1120</v>
      </c>
      <c r="M921">
        <v>3360</v>
      </c>
      <c r="N921">
        <v>691.38</v>
      </c>
      <c r="O921">
        <v>2668.62</v>
      </c>
      <c r="P921" t="s">
        <v>26</v>
      </c>
      <c r="Q921" t="s">
        <v>35</v>
      </c>
      <c r="R921" t="s">
        <v>48</v>
      </c>
      <c r="S921" t="str">
        <f>TRIM(PROPER(_xlfn.XLOOKUP(Table1[[#This Row],[ProductID_Clean]],Table3[ProductID],Table3[Category],"Missing Value",0)))</f>
        <v>Sensors</v>
      </c>
      <c r="T921" t="str">
        <f>_xlfn.XLOOKUP(Table1[[#This Row],[CustomerID_Check]],Table2[CustomerID],Table2[CustomerType],"Missing Value",0)</f>
        <v>Strategic</v>
      </c>
    </row>
    <row r="922" spans="1:20">
      <c r="A922" t="s">
        <v>1175</v>
      </c>
      <c r="B922" s="1">
        <v>45669</v>
      </c>
      <c r="C922" t="s">
        <v>165</v>
      </c>
      <c r="D922" t="str">
        <f>UPPER(Table1[[#This Row],[ProductID_Clean]])</f>
        <v>P-SA-001</v>
      </c>
      <c r="E922" t="s">
        <v>68</v>
      </c>
      <c r="F922" t="s">
        <v>47</v>
      </c>
      <c r="G922" t="str">
        <f>TRIM(Table1[[#This Row],[Region_Clean]])</f>
        <v>EMEA</v>
      </c>
      <c r="H922" t="s">
        <v>53</v>
      </c>
      <c r="I922" t="s">
        <v>34</v>
      </c>
      <c r="J922" s="3">
        <v>1</v>
      </c>
      <c r="K922" s="3">
        <v>3809.06</v>
      </c>
      <c r="L922">
        <v>4200</v>
      </c>
      <c r="M922">
        <v>4200</v>
      </c>
      <c r="N922">
        <v>390.94</v>
      </c>
      <c r="O922">
        <v>3809.06</v>
      </c>
      <c r="P922" t="s">
        <v>26</v>
      </c>
      <c r="Q922" t="s">
        <v>54</v>
      </c>
      <c r="R922" t="s">
        <v>28</v>
      </c>
      <c r="S922" t="str">
        <f>TRIM(PROPER(_xlfn.XLOOKUP(Table1[[#This Row],[ProductID_Clean]],Table3[ProductID],Table3[Category],"Missing Value",0)))</f>
        <v>Software</v>
      </c>
      <c r="T922" t="str">
        <f>_xlfn.XLOOKUP(Table1[[#This Row],[CustomerID_Check]],Table2[CustomerID],Table2[CustomerType],"Missing Value",0)</f>
        <v>Key Account</v>
      </c>
    </row>
    <row r="923" spans="1:20">
      <c r="A923" t="s">
        <v>1176</v>
      </c>
      <c r="B923" s="1">
        <v>45770</v>
      </c>
      <c r="C923" t="s">
        <v>222</v>
      </c>
      <c r="D923" t="str">
        <f>UPPER(Table1[[#This Row],[ProductID_Clean]])</f>
        <v>P-SI-005</v>
      </c>
      <c r="E923" t="s">
        <v>57</v>
      </c>
      <c r="F923" t="s">
        <v>47</v>
      </c>
      <c r="G923" t="str">
        <f>TRIM(Table1[[#This Row],[Region_Clean]])</f>
        <v>EMEA</v>
      </c>
      <c r="H923" t="s">
        <v>24</v>
      </c>
      <c r="I923" t="s">
        <v>87</v>
      </c>
      <c r="J923" s="3">
        <v>1</v>
      </c>
      <c r="K923" s="3">
        <v>916.83</v>
      </c>
      <c r="L923">
        <v>1120</v>
      </c>
      <c r="M923">
        <v>1120</v>
      </c>
      <c r="N923">
        <v>203.17</v>
      </c>
      <c r="O923">
        <v>916.83</v>
      </c>
      <c r="P923" t="s">
        <v>26</v>
      </c>
      <c r="Q923" t="s">
        <v>35</v>
      </c>
      <c r="R923" t="s">
        <v>28</v>
      </c>
      <c r="S923" t="str">
        <f>TRIM(PROPER(_xlfn.XLOOKUP(Table1[[#This Row],[ProductID_Clean]],Table3[ProductID],Table3[Category],"Missing Value",0)))</f>
        <v>Sensors</v>
      </c>
      <c r="T923" t="str">
        <f>_xlfn.XLOOKUP(Table1[[#This Row],[CustomerID_Check]],Table2[CustomerID],Table2[CustomerType],"Missing Value",0)</f>
        <v>Standard</v>
      </c>
    </row>
    <row r="924" spans="1:20">
      <c r="A924" t="s">
        <v>1177</v>
      </c>
      <c r="B924" s="1">
        <v>45796</v>
      </c>
      <c r="C924" t="s">
        <v>316</v>
      </c>
      <c r="D924" t="str">
        <f>UPPER(Table1[[#This Row],[ProductID_Clean]])</f>
        <v>P-SI-002</v>
      </c>
      <c r="E924" t="s">
        <v>31</v>
      </c>
      <c r="F924" t="s">
        <v>32</v>
      </c>
      <c r="G924" t="str">
        <f>TRIM(Table1[[#This Row],[Region_Clean]])</f>
        <v>LATIN AMERICA</v>
      </c>
      <c r="H924" t="s">
        <v>24</v>
      </c>
      <c r="I924" t="s">
        <v>25</v>
      </c>
      <c r="J924" s="3">
        <v>1</v>
      </c>
      <c r="K924" s="3">
        <v>644.74</v>
      </c>
      <c r="L924">
        <v>725</v>
      </c>
      <c r="M924">
        <v>725</v>
      </c>
      <c r="N924">
        <v>80.260000000000005</v>
      </c>
      <c r="O924">
        <v>644.74</v>
      </c>
      <c r="P924" t="s">
        <v>26</v>
      </c>
      <c r="Q924" t="s">
        <v>35</v>
      </c>
      <c r="R924" t="s">
        <v>48</v>
      </c>
      <c r="S924" t="str">
        <f>TRIM(PROPER(_xlfn.XLOOKUP(Table1[[#This Row],[ProductID_Clean]],Table3[ProductID],Table3[Category],"Missing Value",0)))</f>
        <v>Sensors</v>
      </c>
      <c r="T924" t="str">
        <f>_xlfn.XLOOKUP(Table1[[#This Row],[CustomerID_Check]],Table2[CustomerID],Table2[CustomerType],"Missing Value",0)</f>
        <v>Key Account</v>
      </c>
    </row>
    <row r="925" spans="1:20">
      <c r="A925" t="s">
        <v>1178</v>
      </c>
      <c r="B925" s="1">
        <v>45672</v>
      </c>
      <c r="C925" t="s">
        <v>104</v>
      </c>
      <c r="D925" t="str">
        <f>UPPER(Table1[[#This Row],[ProductID_Clean]])</f>
        <v>P-SI-008</v>
      </c>
      <c r="E925" t="s">
        <v>152</v>
      </c>
      <c r="F925" t="s">
        <v>198</v>
      </c>
      <c r="G925" t="str">
        <f>TRIM(Table1[[#This Row],[Region_Clean]])</f>
        <v>APAC</v>
      </c>
      <c r="H925" t="s">
        <v>24</v>
      </c>
      <c r="I925" t="s">
        <v>25</v>
      </c>
      <c r="J925" s="3">
        <v>2</v>
      </c>
      <c r="K925" s="3">
        <v>902.38</v>
      </c>
      <c r="L925">
        <v>950</v>
      </c>
      <c r="M925">
        <v>1900</v>
      </c>
      <c r="N925">
        <v>95.24</v>
      </c>
      <c r="O925">
        <v>1804.76</v>
      </c>
      <c r="P925" t="s">
        <v>26</v>
      </c>
      <c r="Q925" t="s">
        <v>35</v>
      </c>
      <c r="R925" t="s">
        <v>36</v>
      </c>
      <c r="S925" t="str">
        <f>TRIM(PROPER(_xlfn.XLOOKUP(Table1[[#This Row],[ProductID_Clean]],Table3[ProductID],Table3[Category],"Missing Value",0)))</f>
        <v>Instruments</v>
      </c>
      <c r="T925" t="str">
        <f>_xlfn.XLOOKUP(Table1[[#This Row],[CustomerID_Check]],Table2[CustomerID],Table2[CustomerType],"Missing Value",0)</f>
        <v>Standard</v>
      </c>
    </row>
    <row r="926" spans="1:20">
      <c r="A926" t="s">
        <v>1179</v>
      </c>
      <c r="B926" s="1">
        <v>45786</v>
      </c>
      <c r="C926" t="s">
        <v>212</v>
      </c>
      <c r="D926" t="str">
        <f>UPPER(Table1[[#This Row],[ProductID_Clean]])</f>
        <v>P-SA-004</v>
      </c>
      <c r="E926" t="s">
        <v>86</v>
      </c>
      <c r="F926" t="s">
        <v>47</v>
      </c>
      <c r="G926" t="str">
        <f>TRIM(Table1[[#This Row],[Region_Clean]])</f>
        <v>EMEA</v>
      </c>
      <c r="H926" t="s">
        <v>53</v>
      </c>
      <c r="I926" t="s">
        <v>25</v>
      </c>
      <c r="J926" s="3">
        <v>1</v>
      </c>
      <c r="K926" s="3">
        <v>1432.56</v>
      </c>
      <c r="L926">
        <v>1650</v>
      </c>
      <c r="M926">
        <v>1650</v>
      </c>
      <c r="N926">
        <v>217.44</v>
      </c>
      <c r="O926">
        <v>1432.56</v>
      </c>
      <c r="P926" t="s">
        <v>26</v>
      </c>
      <c r="Q926" t="s">
        <v>54</v>
      </c>
      <c r="R926" t="s">
        <v>44</v>
      </c>
      <c r="S926" t="str">
        <f>TRIM(PROPER(_xlfn.XLOOKUP(Table1[[#This Row],[ProductID_Clean]],Table3[ProductID],Table3[Category],"Missing Value",0)))</f>
        <v>Software</v>
      </c>
      <c r="T926" t="str">
        <f>_xlfn.XLOOKUP(Table1[[#This Row],[CustomerID_Check]],Table2[CustomerID],Table2[CustomerType],"Missing Value",0)</f>
        <v>Key Account</v>
      </c>
    </row>
    <row r="927" spans="1:20">
      <c r="A927" t="s">
        <v>1180</v>
      </c>
      <c r="B927" s="1">
        <v>45717</v>
      </c>
      <c r="C927" t="s">
        <v>71</v>
      </c>
      <c r="D927" t="str">
        <f>UPPER(Table1[[#This Row],[ProductID_Clean]])</f>
        <v>P-SI-001</v>
      </c>
      <c r="E927" t="s">
        <v>72</v>
      </c>
      <c r="F927" t="s">
        <v>23</v>
      </c>
      <c r="G927" t="str">
        <f>TRIM(Table1[[#This Row],[Region_Clean]])</f>
        <v>N. AMERICA</v>
      </c>
      <c r="H927" t="s">
        <v>24</v>
      </c>
      <c r="I927" t="s">
        <v>25</v>
      </c>
      <c r="J927" s="3">
        <v>3</v>
      </c>
      <c r="K927" s="3">
        <v>436.33</v>
      </c>
      <c r="L927">
        <v>485</v>
      </c>
      <c r="M927">
        <v>1455</v>
      </c>
      <c r="N927">
        <v>146.01</v>
      </c>
      <c r="O927">
        <v>1308.99</v>
      </c>
      <c r="P927" t="s">
        <v>26</v>
      </c>
      <c r="Q927" t="s">
        <v>35</v>
      </c>
      <c r="R927" t="s">
        <v>48</v>
      </c>
      <c r="S927" t="str">
        <f>TRIM(PROPER(_xlfn.XLOOKUP(Table1[[#This Row],[ProductID_Clean]],Table3[ProductID],Table3[Category],"Missing Value",0)))</f>
        <v>Sensors</v>
      </c>
      <c r="T927" t="str">
        <f>_xlfn.XLOOKUP(Table1[[#This Row],[CustomerID_Check]],Table2[CustomerID],Table2[CustomerType],"Missing Value",0)</f>
        <v>Key Account</v>
      </c>
    </row>
    <row r="928" spans="1:20">
      <c r="A928" t="s">
        <v>1181</v>
      </c>
      <c r="B928" s="1">
        <v>45805</v>
      </c>
      <c r="C928" t="s">
        <v>256</v>
      </c>
      <c r="D928" t="str">
        <f>UPPER(Table1[[#This Row],[ProductID_Clean]])</f>
        <v>P-SI-006</v>
      </c>
      <c r="E928" t="s">
        <v>43</v>
      </c>
      <c r="F928" t="s">
        <v>47</v>
      </c>
      <c r="G928" t="str">
        <f>TRIM(Table1[[#This Row],[Region_Clean]])</f>
        <v>EMEA</v>
      </c>
      <c r="H928" t="s">
        <v>24</v>
      </c>
      <c r="I928" t="s">
        <v>25</v>
      </c>
      <c r="J928" s="3">
        <v>2</v>
      </c>
      <c r="K928" s="3">
        <v>172.98</v>
      </c>
      <c r="L928">
        <v>215</v>
      </c>
      <c r="M928">
        <v>430</v>
      </c>
      <c r="N928">
        <v>84.04</v>
      </c>
      <c r="O928">
        <v>345.96</v>
      </c>
      <c r="P928" t="s">
        <v>26</v>
      </c>
      <c r="Q928" t="s">
        <v>35</v>
      </c>
      <c r="R928" t="s">
        <v>44</v>
      </c>
      <c r="S928" t="str">
        <f>TRIM(PROPER(_xlfn.XLOOKUP(Table1[[#This Row],[ProductID_Clean]],Table3[ProductID],Table3[Category],"Missing Value",0)))</f>
        <v>Sensors</v>
      </c>
      <c r="T928" t="str">
        <f>_xlfn.XLOOKUP(Table1[[#This Row],[CustomerID_Check]],Table2[CustomerID],Table2[CustomerType],"Missing Value",0)</f>
        <v>Strategic</v>
      </c>
    </row>
    <row r="929" spans="1:20">
      <c r="A929" t="s">
        <v>1182</v>
      </c>
      <c r="B929" s="1">
        <v>45718</v>
      </c>
      <c r="C929" t="s">
        <v>76</v>
      </c>
      <c r="D929" t="str">
        <f>UPPER(Table1[[#This Row],[ProductID_Clean]])</f>
        <v>P-SI-002</v>
      </c>
      <c r="E929" t="s">
        <v>31</v>
      </c>
      <c r="F929" t="s">
        <v>23</v>
      </c>
      <c r="G929" t="str">
        <f>TRIM(Table1[[#This Row],[Region_Clean]])</f>
        <v>N. AMERICA</v>
      </c>
      <c r="H929" t="s">
        <v>24</v>
      </c>
      <c r="I929" t="s">
        <v>25</v>
      </c>
      <c r="J929" s="3">
        <v>1</v>
      </c>
      <c r="K929" s="3">
        <v>657.5</v>
      </c>
      <c r="L929">
        <v>725</v>
      </c>
      <c r="M929">
        <v>725</v>
      </c>
      <c r="N929">
        <v>67.5</v>
      </c>
      <c r="O929">
        <v>657.5</v>
      </c>
      <c r="P929" t="s">
        <v>113</v>
      </c>
      <c r="Q929" t="s">
        <v>35</v>
      </c>
      <c r="R929" t="s">
        <v>48</v>
      </c>
      <c r="S929" t="str">
        <f>TRIM(PROPER(_xlfn.XLOOKUP(Table1[[#This Row],[ProductID_Clean]],Table3[ProductID],Table3[Category],"Missing Value",0)))</f>
        <v>Sensors</v>
      </c>
      <c r="T929" t="str">
        <f>_xlfn.XLOOKUP(Table1[[#This Row],[CustomerID_Check]],Table2[CustomerID],Table2[CustomerType],"Missing Value",0)</f>
        <v>Missing Value</v>
      </c>
    </row>
    <row r="930" spans="1:20">
      <c r="A930" t="s">
        <v>1183</v>
      </c>
      <c r="B930" s="1">
        <v>45694</v>
      </c>
      <c r="C930" t="s">
        <v>137</v>
      </c>
      <c r="D930" t="str">
        <f>UPPER(Table1[[#This Row],[ProductID_Clean]])</f>
        <v>P-SI-003</v>
      </c>
      <c r="E930" t="s">
        <v>39</v>
      </c>
      <c r="F930" t="s">
        <v>23</v>
      </c>
      <c r="G930" t="str">
        <f>TRIM(Table1[[#This Row],[Region_Clean]])</f>
        <v>N. AMERICA</v>
      </c>
      <c r="H930" t="s">
        <v>24</v>
      </c>
      <c r="I930" t="s">
        <v>25</v>
      </c>
      <c r="J930" s="3">
        <v>3</v>
      </c>
      <c r="K930" s="3">
        <v>1592.14</v>
      </c>
      <c r="L930">
        <v>1890</v>
      </c>
      <c r="M930">
        <v>5670</v>
      </c>
      <c r="N930">
        <v>893.58</v>
      </c>
      <c r="O930">
        <v>4776.42</v>
      </c>
      <c r="P930" t="s">
        <v>26</v>
      </c>
      <c r="Q930" t="s">
        <v>35</v>
      </c>
      <c r="R930" t="s">
        <v>28</v>
      </c>
      <c r="S930" t="str">
        <f>TRIM(PROPER(_xlfn.XLOOKUP(Table1[[#This Row],[ProductID_Clean]],Table3[ProductID],Table3[Category],"Missing Value",0)))</f>
        <v>Instruments</v>
      </c>
      <c r="T930" t="str">
        <f>_xlfn.XLOOKUP(Table1[[#This Row],[CustomerID_Check]],Table2[CustomerID],Table2[CustomerType],"Missing Value",0)</f>
        <v>Strategic</v>
      </c>
    </row>
    <row r="931" spans="1:20">
      <c r="A931" t="s">
        <v>1184</v>
      </c>
      <c r="B931" s="1">
        <v>45791</v>
      </c>
      <c r="C931" t="s">
        <v>132</v>
      </c>
      <c r="D931" t="str">
        <f>UPPER(Table1[[#This Row],[ProductID_Clean]])</f>
        <v>P-SI-006</v>
      </c>
      <c r="E931" t="s">
        <v>43</v>
      </c>
      <c r="F931" t="s">
        <v>47</v>
      </c>
      <c r="G931" t="str">
        <f>TRIM(Table1[[#This Row],[Region_Clean]])</f>
        <v>EMEA</v>
      </c>
      <c r="H931" t="s">
        <v>24</v>
      </c>
      <c r="I931" t="s">
        <v>25</v>
      </c>
      <c r="J931" s="3">
        <v>4</v>
      </c>
      <c r="K931" s="3">
        <v>169.59</v>
      </c>
      <c r="L931">
        <v>215</v>
      </c>
      <c r="M931">
        <v>860</v>
      </c>
      <c r="N931">
        <v>181.64</v>
      </c>
      <c r="O931">
        <v>678.36</v>
      </c>
      <c r="P931" t="s">
        <v>26</v>
      </c>
      <c r="Q931" t="s">
        <v>35</v>
      </c>
      <c r="R931" t="s">
        <v>48</v>
      </c>
      <c r="S931" t="str">
        <f>TRIM(PROPER(_xlfn.XLOOKUP(Table1[[#This Row],[ProductID_Clean]],Table3[ProductID],Table3[Category],"Missing Value",0)))</f>
        <v>Sensors</v>
      </c>
      <c r="T931" t="str">
        <f>_xlfn.XLOOKUP(Table1[[#This Row],[CustomerID_Check]],Table2[CustomerID],Table2[CustomerType],"Missing Value",0)</f>
        <v>Key Account</v>
      </c>
    </row>
    <row r="932" spans="1:20">
      <c r="A932" t="s">
        <v>1185</v>
      </c>
      <c r="B932" s="1">
        <v>45763</v>
      </c>
      <c r="C932" t="s">
        <v>200</v>
      </c>
      <c r="D932" t="str">
        <f>UPPER(Table1[[#This Row],[ProductID_Clean]])</f>
        <v>P-SI-002</v>
      </c>
      <c r="E932" t="s">
        <v>31</v>
      </c>
      <c r="F932" t="s">
        <v>47</v>
      </c>
      <c r="G932" t="str">
        <f>TRIM(Table1[[#This Row],[Region_Clean]])</f>
        <v>EMEA</v>
      </c>
      <c r="H932" t="s">
        <v>24</v>
      </c>
      <c r="I932" t="s">
        <v>87</v>
      </c>
      <c r="J932" s="3">
        <v>5</v>
      </c>
      <c r="K932" s="3">
        <v>583.01</v>
      </c>
      <c r="L932">
        <v>725</v>
      </c>
      <c r="M932">
        <v>3625</v>
      </c>
      <c r="N932">
        <v>709.95</v>
      </c>
      <c r="O932">
        <v>2915.05</v>
      </c>
      <c r="P932" t="s">
        <v>26</v>
      </c>
      <c r="Q932" t="s">
        <v>27</v>
      </c>
      <c r="R932" t="s">
        <v>36</v>
      </c>
      <c r="S932" t="str">
        <f>TRIM(PROPER(_xlfn.XLOOKUP(Table1[[#This Row],[ProductID_Clean]],Table3[ProductID],Table3[Category],"Missing Value",0)))</f>
        <v>Sensors</v>
      </c>
      <c r="T932" t="str">
        <f>_xlfn.XLOOKUP(Table1[[#This Row],[CustomerID_Check]],Table2[CustomerID],Table2[CustomerType],"Missing Value",0)</f>
        <v>Key Account</v>
      </c>
    </row>
    <row r="933" spans="1:20">
      <c r="A933" t="s">
        <v>1186</v>
      </c>
      <c r="B933" s="1">
        <v>45728</v>
      </c>
      <c r="C933" t="s">
        <v>188</v>
      </c>
      <c r="D933" t="str">
        <f>UPPER(Table1[[#This Row],[ProductID_Clean]])</f>
        <v>P-SA-001</v>
      </c>
      <c r="E933" t="s">
        <v>68</v>
      </c>
      <c r="F933" t="s">
        <v>58</v>
      </c>
      <c r="G933" t="str">
        <f>TRIM(Table1[[#This Row],[Region_Clean]])</f>
        <v>APAC</v>
      </c>
      <c r="H933" t="s">
        <v>53</v>
      </c>
      <c r="I933" t="s">
        <v>34</v>
      </c>
      <c r="J933" s="3">
        <v>1</v>
      </c>
      <c r="K933" s="3">
        <v>3624.68</v>
      </c>
      <c r="L933">
        <v>4200</v>
      </c>
      <c r="M933">
        <v>4200</v>
      </c>
      <c r="N933">
        <v>575.32000000000005</v>
      </c>
      <c r="O933">
        <v>3624.68</v>
      </c>
      <c r="P933" t="s">
        <v>26</v>
      </c>
      <c r="Q933" t="s">
        <v>88</v>
      </c>
      <c r="R933" t="s">
        <v>44</v>
      </c>
      <c r="S933" t="str">
        <f>TRIM(PROPER(_xlfn.XLOOKUP(Table1[[#This Row],[ProductID_Clean]],Table3[ProductID],Table3[Category],"Missing Value",0)))</f>
        <v>Software</v>
      </c>
      <c r="T933" t="str">
        <f>_xlfn.XLOOKUP(Table1[[#This Row],[CustomerID_Check]],Table2[CustomerID],Table2[CustomerType],"Missing Value",0)</f>
        <v>Key Account</v>
      </c>
    </row>
    <row r="934" spans="1:20">
      <c r="A934" t="s">
        <v>1187</v>
      </c>
      <c r="B934" s="1">
        <v>45800</v>
      </c>
      <c r="C934" t="s">
        <v>163</v>
      </c>
      <c r="D934" t="str">
        <f>UPPER(Table1[[#This Row],[ProductID_Clean]])</f>
        <v>P-FS-003</v>
      </c>
      <c r="E934" t="s">
        <v>216</v>
      </c>
      <c r="F934" t="s">
        <v>23</v>
      </c>
      <c r="G934" t="str">
        <f>TRIM(Table1[[#This Row],[Region_Clean]])</f>
        <v>N. AMERICA</v>
      </c>
      <c r="H934" t="s">
        <v>82</v>
      </c>
      <c r="I934" t="s">
        <v>25</v>
      </c>
      <c r="J934" s="3">
        <v>1</v>
      </c>
      <c r="K934" s="3">
        <v>3750.73</v>
      </c>
      <c r="L934">
        <v>4100</v>
      </c>
      <c r="M934">
        <v>4100</v>
      </c>
      <c r="N934">
        <v>349.27</v>
      </c>
      <c r="O934">
        <v>3750.73</v>
      </c>
      <c r="P934" t="s">
        <v>26</v>
      </c>
      <c r="Q934" t="s">
        <v>94</v>
      </c>
      <c r="R934" t="s">
        <v>28</v>
      </c>
      <c r="S934" t="str">
        <f>TRIM(PROPER(_xlfn.XLOOKUP(Table1[[#This Row],[ProductID_Clean]],Table3[ProductID],Table3[Category],"Missing Value",0)))</f>
        <v>Services</v>
      </c>
      <c r="T934" t="str">
        <f>_xlfn.XLOOKUP(Table1[[#This Row],[CustomerID_Check]],Table2[CustomerID],Table2[CustomerType],"Missing Value",0)</f>
        <v>Strategic</v>
      </c>
    </row>
    <row r="935" spans="1:20">
      <c r="A935" t="s">
        <v>1188</v>
      </c>
      <c r="B935" s="1">
        <v>45702</v>
      </c>
      <c r="C935" t="s">
        <v>61</v>
      </c>
      <c r="D935" t="str">
        <f>UPPER(Table1[[#This Row],[ProductID_Clean]])</f>
        <v>P-FS-006</v>
      </c>
      <c r="E935" t="s">
        <v>92</v>
      </c>
      <c r="F935" t="s">
        <v>47</v>
      </c>
      <c r="G935" t="str">
        <f>TRIM(Table1[[#This Row],[Region_Clean]])</f>
        <v>EMEA</v>
      </c>
      <c r="H935" t="s">
        <v>82</v>
      </c>
      <c r="I935" t="s">
        <v>166</v>
      </c>
      <c r="J935" s="3">
        <v>1</v>
      </c>
      <c r="K935" s="3">
        <v>1199.7</v>
      </c>
      <c r="L935">
        <v>1450</v>
      </c>
      <c r="M935">
        <v>1450</v>
      </c>
      <c r="N935">
        <v>250.3</v>
      </c>
      <c r="O935">
        <v>1199.7</v>
      </c>
      <c r="P935" t="s">
        <v>113</v>
      </c>
      <c r="Q935" t="s">
        <v>65</v>
      </c>
      <c r="R935" t="s">
        <v>48</v>
      </c>
      <c r="S935" t="str">
        <f>TRIM(PROPER(_xlfn.XLOOKUP(Table1[[#This Row],[ProductID_Clean]],Table3[ProductID],Table3[Category],"Missing Value",0)))</f>
        <v>Services</v>
      </c>
      <c r="T935" t="str">
        <f>_xlfn.XLOOKUP(Table1[[#This Row],[CustomerID_Check]],Table2[CustomerID],Table2[CustomerType],"Missing Value",0)</f>
        <v>Strategic</v>
      </c>
    </row>
    <row r="936" spans="1:20">
      <c r="A936" t="s">
        <v>1189</v>
      </c>
      <c r="B936" s="1">
        <v>45690</v>
      </c>
      <c r="C936" t="s">
        <v>78</v>
      </c>
      <c r="D936" t="str">
        <f>UPPER(Table1[[#This Row],[ProductID_Clean]])</f>
        <v>P-SI-008</v>
      </c>
      <c r="E936" t="s">
        <v>152</v>
      </c>
      <c r="F936" t="s">
        <v>58</v>
      </c>
      <c r="G936" t="str">
        <f>TRIM(Table1[[#This Row],[Region_Clean]])</f>
        <v>APAC</v>
      </c>
      <c r="H936" t="s">
        <v>24</v>
      </c>
      <c r="I936" t="s">
        <v>87</v>
      </c>
      <c r="J936" s="3">
        <v>3</v>
      </c>
      <c r="K936" s="3">
        <v>743.11</v>
      </c>
      <c r="L936">
        <v>950</v>
      </c>
      <c r="M936">
        <v>2850</v>
      </c>
      <c r="N936">
        <v>620.67000000000007</v>
      </c>
      <c r="O936">
        <v>2229.33</v>
      </c>
      <c r="P936" t="s">
        <v>26</v>
      </c>
      <c r="Q936" t="s">
        <v>27</v>
      </c>
      <c r="R936" t="s">
        <v>59</v>
      </c>
      <c r="S936" t="str">
        <f>TRIM(PROPER(_xlfn.XLOOKUP(Table1[[#This Row],[ProductID_Clean]],Table3[ProductID],Table3[Category],"Missing Value",0)))</f>
        <v>Instruments</v>
      </c>
      <c r="T936" t="str">
        <f>_xlfn.XLOOKUP(Table1[[#This Row],[CustomerID_Check]],Table2[CustomerID],Table2[CustomerType],"Missing Value",0)</f>
        <v>Emerging</v>
      </c>
    </row>
    <row r="937" spans="1:20">
      <c r="A937" t="s">
        <v>1190</v>
      </c>
      <c r="B937" s="1">
        <v>45800</v>
      </c>
      <c r="C937" t="s">
        <v>554</v>
      </c>
      <c r="D937" t="str">
        <f>UPPER(Table1[[#This Row],[ProductID_Clean]])</f>
        <v>P-SI-006</v>
      </c>
      <c r="E937" t="s">
        <v>43</v>
      </c>
      <c r="F937" t="s">
        <v>47</v>
      </c>
      <c r="G937" t="str">
        <f>TRIM(Table1[[#This Row],[Region_Clean]])</f>
        <v>EMEA</v>
      </c>
      <c r="H937" t="s">
        <v>24</v>
      </c>
      <c r="I937" t="s">
        <v>25</v>
      </c>
      <c r="J937" s="3">
        <v>3</v>
      </c>
      <c r="K937" s="3">
        <v>168.38</v>
      </c>
      <c r="L937">
        <v>215</v>
      </c>
      <c r="M937">
        <v>645</v>
      </c>
      <c r="N937">
        <v>139.86000000000001</v>
      </c>
      <c r="O937">
        <v>505.14</v>
      </c>
      <c r="P937" t="s">
        <v>26</v>
      </c>
      <c r="Q937" t="s">
        <v>35</v>
      </c>
      <c r="R937" t="s">
        <v>28</v>
      </c>
      <c r="S937" t="str">
        <f>TRIM(PROPER(_xlfn.XLOOKUP(Table1[[#This Row],[ProductID_Clean]],Table3[ProductID],Table3[Category],"Missing Value",0)))</f>
        <v>Sensors</v>
      </c>
      <c r="T937" t="str">
        <f>_xlfn.XLOOKUP(Table1[[#This Row],[CustomerID_Check]],Table2[CustomerID],Table2[CustomerType],"Missing Value",0)</f>
        <v>Standard</v>
      </c>
    </row>
    <row r="938" spans="1:20">
      <c r="A938" t="s">
        <v>1191</v>
      </c>
      <c r="B938" s="1">
        <v>45670</v>
      </c>
      <c r="C938" t="s">
        <v>454</v>
      </c>
      <c r="D938" t="str">
        <f>UPPER(Table1[[#This Row],[ProductID_Clean]])</f>
        <v>P-SI-007</v>
      </c>
      <c r="E938" t="s">
        <v>97</v>
      </c>
      <c r="F938" t="s">
        <v>47</v>
      </c>
      <c r="G938" t="str">
        <f>TRIM(Table1[[#This Row],[Region_Clean]])</f>
        <v>EMEA</v>
      </c>
      <c r="H938" t="s">
        <v>24</v>
      </c>
      <c r="I938" t="s">
        <v>98</v>
      </c>
      <c r="J938" s="3">
        <v>5</v>
      </c>
      <c r="K938" s="3">
        <v>932.14</v>
      </c>
      <c r="L938">
        <v>980</v>
      </c>
      <c r="M938">
        <v>4900</v>
      </c>
      <c r="N938">
        <v>239.3</v>
      </c>
      <c r="O938">
        <v>4660.7</v>
      </c>
      <c r="P938" t="s">
        <v>26</v>
      </c>
      <c r="Q938" t="s">
        <v>35</v>
      </c>
      <c r="R938" t="s">
        <v>28</v>
      </c>
      <c r="S938" t="str">
        <f>TRIM(PROPER(_xlfn.XLOOKUP(Table1[[#This Row],[ProductID_Clean]],Table3[ProductID],Table3[Category],"Missing Value",0)))</f>
        <v>Sensors</v>
      </c>
      <c r="T938" t="str">
        <f>_xlfn.XLOOKUP(Table1[[#This Row],[CustomerID_Check]],Table2[CustomerID],Table2[CustomerType],"Missing Value",0)</f>
        <v>Standard</v>
      </c>
    </row>
    <row r="939" spans="1:20">
      <c r="A939" t="s">
        <v>1192</v>
      </c>
      <c r="B939" s="1">
        <v>45822</v>
      </c>
      <c r="C939" t="s">
        <v>30</v>
      </c>
      <c r="D939" t="str">
        <f>UPPER(Table1[[#This Row],[ProductID_Clean]])</f>
        <v>P-SI-001</v>
      </c>
      <c r="E939" t="s">
        <v>72</v>
      </c>
      <c r="F939" t="s">
        <v>32</v>
      </c>
      <c r="G939" t="str">
        <f>TRIM(Table1[[#This Row],[Region_Clean]])</f>
        <v>LATIN AMERICA</v>
      </c>
      <c r="H939" t="s">
        <v>24</v>
      </c>
      <c r="I939" t="s">
        <v>87</v>
      </c>
      <c r="J939" s="3">
        <v>2</v>
      </c>
      <c r="K939" s="3">
        <v>326.02</v>
      </c>
      <c r="L939">
        <v>485</v>
      </c>
      <c r="M939">
        <v>970</v>
      </c>
      <c r="N939">
        <v>317.95999999999998</v>
      </c>
      <c r="O939">
        <v>652.04</v>
      </c>
      <c r="P939" t="s">
        <v>26</v>
      </c>
      <c r="Q939" t="s">
        <v>65</v>
      </c>
      <c r="R939" t="s">
        <v>36</v>
      </c>
      <c r="S939" t="str">
        <f>TRIM(PROPER(_xlfn.XLOOKUP(Table1[[#This Row],[ProductID_Clean]],Table3[ProductID],Table3[Category],"Missing Value",0)))</f>
        <v>Sensors</v>
      </c>
      <c r="T939" t="str">
        <f>_xlfn.XLOOKUP(Table1[[#This Row],[CustomerID_Check]],Table2[CustomerID],Table2[CustomerType],"Missing Value",0)</f>
        <v>Strategic</v>
      </c>
    </row>
    <row r="940" spans="1:20">
      <c r="A940" t="s">
        <v>1193</v>
      </c>
      <c r="B940" s="1">
        <v>45755</v>
      </c>
      <c r="C940" t="s">
        <v>410</v>
      </c>
      <c r="D940" t="str">
        <f>UPPER(Table1[[#This Row],[ProductID_Clean]])</f>
        <v>P-SI-002</v>
      </c>
      <c r="E940" t="s">
        <v>31</v>
      </c>
      <c r="F940" t="s">
        <v>23</v>
      </c>
      <c r="G940" t="str">
        <f>TRIM(Table1[[#This Row],[Region_Clean]])</f>
        <v>N. AMERICA</v>
      </c>
      <c r="H940" t="s">
        <v>24</v>
      </c>
      <c r="I940" t="s">
        <v>87</v>
      </c>
      <c r="J940" s="3">
        <v>4</v>
      </c>
      <c r="K940" s="3">
        <v>577.29</v>
      </c>
      <c r="L940">
        <v>725</v>
      </c>
      <c r="M940">
        <v>2900</v>
      </c>
      <c r="N940">
        <v>590.84</v>
      </c>
      <c r="O940">
        <v>2309.16</v>
      </c>
      <c r="P940" t="s">
        <v>26</v>
      </c>
      <c r="Q940" t="s">
        <v>65</v>
      </c>
      <c r="R940" t="s">
        <v>28</v>
      </c>
      <c r="S940" t="str">
        <f>TRIM(PROPER(_xlfn.XLOOKUP(Table1[[#This Row],[ProductID_Clean]],Table3[ProductID],Table3[Category],"Missing Value",0)))</f>
        <v>Sensors</v>
      </c>
      <c r="T940" t="str">
        <f>_xlfn.XLOOKUP(Table1[[#This Row],[CustomerID_Check]],Table2[CustomerID],Table2[CustomerType],"Missing Value",0)</f>
        <v>Key Account</v>
      </c>
    </row>
    <row r="941" spans="1:20">
      <c r="A941" t="s">
        <v>1194</v>
      </c>
      <c r="B941" s="1">
        <v>45739</v>
      </c>
      <c r="C941" t="s">
        <v>1126</v>
      </c>
      <c r="D941" t="str">
        <f>UPPER(Table1[[#This Row],[ProductID_Clean]])</f>
        <v>P-SA-005</v>
      </c>
      <c r="E941" t="s">
        <v>62</v>
      </c>
      <c r="F941" t="s">
        <v>58</v>
      </c>
      <c r="G941" t="str">
        <f>TRIM(Table1[[#This Row],[Region_Clean]])</f>
        <v>APAC</v>
      </c>
      <c r="H941" t="s">
        <v>53</v>
      </c>
      <c r="I941" t="s">
        <v>34</v>
      </c>
      <c r="J941" s="3">
        <v>1</v>
      </c>
      <c r="K941" s="3">
        <v>2465.4299999999998</v>
      </c>
      <c r="L941">
        <v>3200</v>
      </c>
      <c r="M941">
        <v>3200</v>
      </c>
      <c r="N941">
        <v>734.57</v>
      </c>
      <c r="O941">
        <v>2465.4299999999998</v>
      </c>
      <c r="P941" t="s">
        <v>26</v>
      </c>
      <c r="Q941" t="s">
        <v>40</v>
      </c>
      <c r="R941" t="s">
        <v>44</v>
      </c>
      <c r="S941" t="str">
        <f>TRIM(PROPER(_xlfn.XLOOKUP(Table1[[#This Row],[ProductID_Clean]],Table3[ProductID],Table3[Category],"Missing Value",0)))</f>
        <v>Software / Integration</v>
      </c>
      <c r="T941" t="str">
        <f>_xlfn.XLOOKUP(Table1[[#This Row],[CustomerID_Check]],Table2[CustomerID],Table2[CustomerType],"Missing Value",0)</f>
        <v>Standard</v>
      </c>
    </row>
    <row r="942" spans="1:20">
      <c r="A942" t="s">
        <v>1195</v>
      </c>
      <c r="B942" s="1">
        <v>45764</v>
      </c>
      <c r="C942" t="s">
        <v>268</v>
      </c>
      <c r="D942" t="str">
        <f>UPPER(Table1[[#This Row],[ProductID_Clean]])</f>
        <v>P-SA-003</v>
      </c>
      <c r="E942" t="s">
        <v>51</v>
      </c>
      <c r="F942" t="s">
        <v>23</v>
      </c>
      <c r="G942" t="str">
        <f>TRIM(Table1[[#This Row],[Region_Clean]])</f>
        <v>N. AMERICA</v>
      </c>
      <c r="H942" t="s">
        <v>53</v>
      </c>
      <c r="I942" t="s">
        <v>25</v>
      </c>
      <c r="J942" s="3">
        <v>1</v>
      </c>
      <c r="K942" s="3">
        <v>2737.92</v>
      </c>
      <c r="L942">
        <v>2750</v>
      </c>
      <c r="M942">
        <v>2750</v>
      </c>
      <c r="N942">
        <v>12.08</v>
      </c>
      <c r="O942">
        <v>2737.92</v>
      </c>
      <c r="P942" t="s">
        <v>26</v>
      </c>
      <c r="Q942" t="s">
        <v>54</v>
      </c>
      <c r="R942" t="s">
        <v>48</v>
      </c>
      <c r="S942" t="str">
        <f>TRIM(PROPER(_xlfn.XLOOKUP(Table1[[#This Row],[ProductID_Clean]],Table3[ProductID],Table3[Category],"Missing Value",0)))</f>
        <v>Software</v>
      </c>
      <c r="T942" t="str">
        <f>_xlfn.XLOOKUP(Table1[[#This Row],[CustomerID_Check]],Table2[CustomerID],Table2[CustomerType],"Missing Value",0)</f>
        <v>Standard</v>
      </c>
    </row>
    <row r="943" spans="1:20">
      <c r="A943" t="s">
        <v>1196</v>
      </c>
      <c r="B943" s="1">
        <v>45696</v>
      </c>
      <c r="C943" t="s">
        <v>132</v>
      </c>
      <c r="D943" t="str">
        <f>UPPER(Table1[[#This Row],[ProductID_Clean]])</f>
        <v>P-SA-001</v>
      </c>
      <c r="E943" t="s">
        <v>68</v>
      </c>
      <c r="F943" t="s">
        <v>47</v>
      </c>
      <c r="G943" t="str">
        <f>TRIM(Table1[[#This Row],[Region_Clean]])</f>
        <v>EMEA</v>
      </c>
      <c r="H943" t="s">
        <v>53</v>
      </c>
      <c r="I943" t="s">
        <v>25</v>
      </c>
      <c r="J943" s="3">
        <v>1</v>
      </c>
      <c r="K943" s="3">
        <v>3685.56</v>
      </c>
      <c r="L943">
        <v>4200</v>
      </c>
      <c r="M943">
        <v>4200</v>
      </c>
      <c r="N943">
        <v>514.44000000000005</v>
      </c>
      <c r="O943">
        <v>3685.56</v>
      </c>
      <c r="P943" t="s">
        <v>26</v>
      </c>
      <c r="Q943" t="s">
        <v>54</v>
      </c>
      <c r="R943" t="s">
        <v>48</v>
      </c>
      <c r="S943" t="str">
        <f>TRIM(PROPER(_xlfn.XLOOKUP(Table1[[#This Row],[ProductID_Clean]],Table3[ProductID],Table3[Category],"Missing Value",0)))</f>
        <v>Software</v>
      </c>
      <c r="T943" t="str">
        <f>_xlfn.XLOOKUP(Table1[[#This Row],[CustomerID_Check]],Table2[CustomerID],Table2[CustomerType],"Missing Value",0)</f>
        <v>Key Account</v>
      </c>
    </row>
    <row r="944" spans="1:20">
      <c r="A944" t="s">
        <v>1197</v>
      </c>
      <c r="B944" s="1">
        <v>45795</v>
      </c>
      <c r="C944" t="s">
        <v>194</v>
      </c>
      <c r="D944" t="str">
        <f>UPPER(Table1[[#This Row],[ProductID_Clean]])</f>
        <v>P-FS-001</v>
      </c>
      <c r="E944" t="s">
        <v>133</v>
      </c>
      <c r="F944" t="s">
        <v>23</v>
      </c>
      <c r="G944" t="str">
        <f>TRIM(Table1[[#This Row],[Region_Clean]])</f>
        <v>N. AMERICA</v>
      </c>
      <c r="H944" t="s">
        <v>82</v>
      </c>
      <c r="I944" t="s">
        <v>25</v>
      </c>
      <c r="J944" s="3">
        <v>1</v>
      </c>
      <c r="K944" s="3">
        <v>1436.42</v>
      </c>
      <c r="L944">
        <v>1850</v>
      </c>
      <c r="M944">
        <v>1850</v>
      </c>
      <c r="N944">
        <v>413.58</v>
      </c>
      <c r="O944">
        <v>1436.42</v>
      </c>
      <c r="P944" t="s">
        <v>26</v>
      </c>
      <c r="Q944" t="s">
        <v>35</v>
      </c>
      <c r="R944" t="s">
        <v>36</v>
      </c>
      <c r="S944" t="str">
        <f>TRIM(PROPER(_xlfn.XLOOKUP(Table1[[#This Row],[ProductID_Clean]],Table3[ProductID],Table3[Category],"Missing Value",0)))</f>
        <v>Services</v>
      </c>
      <c r="T944" t="str">
        <f>_xlfn.XLOOKUP(Table1[[#This Row],[CustomerID_Check]],Table2[CustomerID],Table2[CustomerType],"Missing Value",0)</f>
        <v>Strategic</v>
      </c>
    </row>
    <row r="945" spans="1:20">
      <c r="A945" t="s">
        <v>1198</v>
      </c>
      <c r="B945" s="1">
        <v>45767</v>
      </c>
      <c r="C945" t="s">
        <v>469</v>
      </c>
      <c r="D945" t="str">
        <f>UPPER(Table1[[#This Row],[ProductID_Clean]])</f>
        <v>P-SI-008</v>
      </c>
      <c r="E945" t="s">
        <v>152</v>
      </c>
      <c r="F945" t="s">
        <v>23</v>
      </c>
      <c r="G945" t="str">
        <f>TRIM(Table1[[#This Row],[Region_Clean]])</f>
        <v>N. AMERICA</v>
      </c>
      <c r="H945" t="s">
        <v>24</v>
      </c>
      <c r="I945" t="s">
        <v>25</v>
      </c>
      <c r="J945" s="3">
        <v>3</v>
      </c>
      <c r="K945" s="3">
        <v>817.13</v>
      </c>
      <c r="L945">
        <v>950</v>
      </c>
      <c r="M945">
        <v>2850</v>
      </c>
      <c r="N945">
        <v>398.61000000000013</v>
      </c>
      <c r="O945">
        <v>2451.39</v>
      </c>
      <c r="P945" t="s">
        <v>26</v>
      </c>
      <c r="Q945" t="s">
        <v>35</v>
      </c>
      <c r="R945" t="s">
        <v>44</v>
      </c>
      <c r="S945" t="str">
        <f>TRIM(PROPER(_xlfn.XLOOKUP(Table1[[#This Row],[ProductID_Clean]],Table3[ProductID],Table3[Category],"Missing Value",0)))</f>
        <v>Instruments</v>
      </c>
      <c r="T945" t="str">
        <f>_xlfn.XLOOKUP(Table1[[#This Row],[CustomerID_Check]],Table2[CustomerID],Table2[CustomerType],"Missing Value",0)</f>
        <v>Standard</v>
      </c>
    </row>
    <row r="946" spans="1:20">
      <c r="A946" t="s">
        <v>1199</v>
      </c>
      <c r="B946" s="1">
        <v>45734</v>
      </c>
      <c r="C946" t="s">
        <v>121</v>
      </c>
      <c r="D946" t="str">
        <f>UPPER(Table1[[#This Row],[ProductID_Clean]])</f>
        <v>P-SA-005</v>
      </c>
      <c r="E946" t="s">
        <v>62</v>
      </c>
      <c r="F946" t="s">
        <v>58</v>
      </c>
      <c r="G946" t="str">
        <f>TRIM(Table1[[#This Row],[Region_Clean]])</f>
        <v>APAC</v>
      </c>
      <c r="H946" t="s">
        <v>53</v>
      </c>
      <c r="I946" t="s">
        <v>25</v>
      </c>
      <c r="J946" s="3">
        <v>1</v>
      </c>
      <c r="K946" s="3">
        <v>2984.73</v>
      </c>
      <c r="L946">
        <v>3200</v>
      </c>
      <c r="M946">
        <v>3200</v>
      </c>
      <c r="N946">
        <v>215.27</v>
      </c>
      <c r="O946">
        <v>2984.73</v>
      </c>
      <c r="P946" t="s">
        <v>26</v>
      </c>
      <c r="Q946" t="s">
        <v>54</v>
      </c>
      <c r="R946" t="s">
        <v>36</v>
      </c>
      <c r="S946" t="str">
        <f>TRIM(PROPER(_xlfn.XLOOKUP(Table1[[#This Row],[ProductID_Clean]],Table3[ProductID],Table3[Category],"Missing Value",0)))</f>
        <v>Software / Integration</v>
      </c>
      <c r="T946" t="str">
        <f>_xlfn.XLOOKUP(Table1[[#This Row],[CustomerID_Check]],Table2[CustomerID],Table2[CustomerType],"Missing Value",0)</f>
        <v>Key Account</v>
      </c>
    </row>
    <row r="947" spans="1:20">
      <c r="A947" t="s">
        <v>1200</v>
      </c>
      <c r="B947" s="1">
        <v>45694</v>
      </c>
      <c r="C947" t="s">
        <v>30</v>
      </c>
      <c r="D947" t="str">
        <f>UPPER(Table1[[#This Row],[ProductID_Clean]])</f>
        <v>P-SI-004</v>
      </c>
      <c r="E947" t="s">
        <v>22</v>
      </c>
      <c r="F947" t="s">
        <v>32</v>
      </c>
      <c r="G947" t="str">
        <f>TRIM(Table1[[#This Row],[Region_Clean]])</f>
        <v>LATIN AMERICA</v>
      </c>
      <c r="H947" t="s">
        <v>24</v>
      </c>
      <c r="I947" t="s">
        <v>25</v>
      </c>
      <c r="J947" s="3">
        <v>1</v>
      </c>
      <c r="K947" s="3">
        <v>1980.78</v>
      </c>
      <c r="L947">
        <v>2450</v>
      </c>
      <c r="M947">
        <v>2450</v>
      </c>
      <c r="N947">
        <v>469.22</v>
      </c>
      <c r="O947">
        <v>1980.78</v>
      </c>
      <c r="P947" t="s">
        <v>26</v>
      </c>
      <c r="Q947" t="s">
        <v>27</v>
      </c>
      <c r="R947" t="s">
        <v>36</v>
      </c>
      <c r="S947" t="str">
        <f>TRIM(PROPER(_xlfn.XLOOKUP(Table1[[#This Row],[ProductID_Clean]],Table3[ProductID],Table3[Category],"Missing Value",0)))</f>
        <v>Instruments</v>
      </c>
      <c r="T947" t="str">
        <f>_xlfn.XLOOKUP(Table1[[#This Row],[CustomerID_Check]],Table2[CustomerID],Table2[CustomerType],"Missing Value",0)</f>
        <v>Strategic</v>
      </c>
    </row>
    <row r="948" spans="1:20">
      <c r="A948" t="s">
        <v>1201</v>
      </c>
      <c r="B948" s="1">
        <v>45672</v>
      </c>
      <c r="C948" t="s">
        <v>125</v>
      </c>
      <c r="D948" t="str">
        <f>UPPER(Table1[[#This Row],[ProductID_Clean]])</f>
        <v>P-SI-008</v>
      </c>
      <c r="E948" t="s">
        <v>152</v>
      </c>
      <c r="F948" t="s">
        <v>58</v>
      </c>
      <c r="G948" t="str">
        <f>TRIM(Table1[[#This Row],[Region_Clean]])</f>
        <v>APAC</v>
      </c>
      <c r="H948" t="s">
        <v>24</v>
      </c>
      <c r="I948" t="s">
        <v>25</v>
      </c>
      <c r="J948" s="3">
        <v>2</v>
      </c>
      <c r="K948" s="3">
        <v>702.94</v>
      </c>
      <c r="L948">
        <v>950</v>
      </c>
      <c r="M948">
        <v>1900</v>
      </c>
      <c r="N948">
        <v>494.12</v>
      </c>
      <c r="O948">
        <v>1405.88</v>
      </c>
      <c r="P948" t="s">
        <v>26</v>
      </c>
      <c r="Q948" t="s">
        <v>27</v>
      </c>
      <c r="R948" t="s">
        <v>36</v>
      </c>
      <c r="S948" t="str">
        <f>TRIM(PROPER(_xlfn.XLOOKUP(Table1[[#This Row],[ProductID_Clean]],Table3[ProductID],Table3[Category],"Missing Value",0)))</f>
        <v>Instruments</v>
      </c>
      <c r="T948" t="str">
        <f>_xlfn.XLOOKUP(Table1[[#This Row],[CustomerID_Check]],Table2[CustomerID],Table2[CustomerType],"Missing Value",0)</f>
        <v>Strategic</v>
      </c>
    </row>
    <row r="949" spans="1:20">
      <c r="A949" t="s">
        <v>1202</v>
      </c>
      <c r="B949" s="1">
        <v>45763</v>
      </c>
      <c r="C949" t="s">
        <v>361</v>
      </c>
      <c r="D949" t="str">
        <f>UPPER(Table1[[#This Row],[ProductID_Clean]])</f>
        <v>P-SA-003</v>
      </c>
      <c r="E949" t="s">
        <v>51</v>
      </c>
      <c r="F949" t="s">
        <v>58</v>
      </c>
      <c r="G949" t="str">
        <f>TRIM(Table1[[#This Row],[Region_Clean]])</f>
        <v>APAC</v>
      </c>
      <c r="H949" t="s">
        <v>53</v>
      </c>
      <c r="I949" t="s">
        <v>87</v>
      </c>
      <c r="J949" s="3">
        <v>1</v>
      </c>
      <c r="K949" s="3">
        <v>2085.2600000000002</v>
      </c>
      <c r="L949">
        <v>2750</v>
      </c>
      <c r="M949">
        <v>2750</v>
      </c>
      <c r="N949">
        <v>664.74</v>
      </c>
      <c r="O949">
        <v>2085.2600000000002</v>
      </c>
      <c r="P949" t="s">
        <v>26</v>
      </c>
      <c r="Q949" t="s">
        <v>189</v>
      </c>
      <c r="R949" t="s">
        <v>44</v>
      </c>
      <c r="S949" t="str">
        <f>TRIM(PROPER(_xlfn.XLOOKUP(Table1[[#This Row],[ProductID_Clean]],Table3[ProductID],Table3[Category],"Missing Value",0)))</f>
        <v>Software</v>
      </c>
      <c r="T949" t="str">
        <f>_xlfn.XLOOKUP(Table1[[#This Row],[CustomerID_Check]],Table2[CustomerID],Table2[CustomerType],"Missing Value",0)</f>
        <v>Standard</v>
      </c>
    </row>
    <row r="950" spans="1:20">
      <c r="A950" t="s">
        <v>1203</v>
      </c>
      <c r="B950" s="1">
        <v>45800</v>
      </c>
      <c r="C950" t="s">
        <v>163</v>
      </c>
      <c r="D950" t="str">
        <f>UPPER(Table1[[#This Row],[ProductID_Clean]])</f>
        <v>P-SI-001</v>
      </c>
      <c r="E950" t="s">
        <v>72</v>
      </c>
      <c r="F950" t="s">
        <v>23</v>
      </c>
      <c r="G950" t="str">
        <f>TRIM(Table1[[#This Row],[Region_Clean]])</f>
        <v>N. AMERICA</v>
      </c>
      <c r="H950" t="s">
        <v>24</v>
      </c>
      <c r="I950" t="s">
        <v>87</v>
      </c>
      <c r="J950" s="3">
        <v>2</v>
      </c>
      <c r="K950" s="3">
        <v>379.05</v>
      </c>
      <c r="L950">
        <v>485</v>
      </c>
      <c r="M950">
        <v>970</v>
      </c>
      <c r="N950">
        <v>211.9</v>
      </c>
      <c r="O950">
        <v>758.1</v>
      </c>
      <c r="P950" t="s">
        <v>26</v>
      </c>
      <c r="Q950" t="s">
        <v>27</v>
      </c>
      <c r="R950" t="s">
        <v>28</v>
      </c>
      <c r="S950" t="str">
        <f>TRIM(PROPER(_xlfn.XLOOKUP(Table1[[#This Row],[ProductID_Clean]],Table3[ProductID],Table3[Category],"Missing Value",0)))</f>
        <v>Sensors</v>
      </c>
      <c r="T950" t="str">
        <f>_xlfn.XLOOKUP(Table1[[#This Row],[CustomerID_Check]],Table2[CustomerID],Table2[CustomerType],"Missing Value",0)</f>
        <v>Strategic</v>
      </c>
    </row>
    <row r="951" spans="1:20">
      <c r="A951" t="s">
        <v>1204</v>
      </c>
      <c r="B951" s="1">
        <v>45692</v>
      </c>
      <c r="C951" t="s">
        <v>591</v>
      </c>
      <c r="D951" t="str">
        <f>UPPER(Table1[[#This Row],[ProductID_Clean]])</f>
        <v>P-SI-001</v>
      </c>
      <c r="E951" t="s">
        <v>72</v>
      </c>
      <c r="F951" t="s">
        <v>47</v>
      </c>
      <c r="G951" t="str">
        <f>TRIM(Table1[[#This Row],[Region_Clean]])</f>
        <v>EMEA</v>
      </c>
      <c r="H951" t="s">
        <v>24</v>
      </c>
      <c r="I951" t="s">
        <v>25</v>
      </c>
      <c r="J951" s="3">
        <v>2</v>
      </c>
      <c r="K951" s="3">
        <v>423.35</v>
      </c>
      <c r="L951">
        <v>485</v>
      </c>
      <c r="M951">
        <v>970</v>
      </c>
      <c r="N951">
        <v>123.3</v>
      </c>
      <c r="O951">
        <v>846.7</v>
      </c>
      <c r="P951" t="s">
        <v>126</v>
      </c>
      <c r="Q951" t="s">
        <v>35</v>
      </c>
      <c r="R951" t="s">
        <v>44</v>
      </c>
      <c r="S951" t="str">
        <f>TRIM(PROPER(_xlfn.XLOOKUP(Table1[[#This Row],[ProductID_Clean]],Table3[ProductID],Table3[Category],"Missing Value",0)))</f>
        <v>Sensors</v>
      </c>
      <c r="T951" t="str">
        <f>_xlfn.XLOOKUP(Table1[[#This Row],[CustomerID_Check]],Table2[CustomerID],Table2[CustomerType],"Missing Value",0)</f>
        <v>Standard</v>
      </c>
    </row>
    <row r="952" spans="1:20">
      <c r="A952" t="s">
        <v>1205</v>
      </c>
      <c r="B952" s="1">
        <v>45750</v>
      </c>
      <c r="C952" t="s">
        <v>320</v>
      </c>
      <c r="D952" t="str">
        <f>UPPER(Table1[[#This Row],[ProductID_Clean]])</f>
        <v>P-SI-003</v>
      </c>
      <c r="E952" t="s">
        <v>39</v>
      </c>
      <c r="F952" t="s">
        <v>47</v>
      </c>
      <c r="G952" t="str">
        <f>TRIM(Table1[[#This Row],[Region_Clean]])</f>
        <v>EMEA</v>
      </c>
      <c r="H952" t="s">
        <v>24</v>
      </c>
      <c r="I952" t="s">
        <v>25</v>
      </c>
      <c r="J952" s="3">
        <v>1</v>
      </c>
      <c r="K952" s="3">
        <v>1758.02</v>
      </c>
      <c r="L952">
        <v>1890</v>
      </c>
      <c r="M952">
        <v>1890</v>
      </c>
      <c r="N952">
        <v>131.97999999999999</v>
      </c>
      <c r="O952">
        <v>1758.02</v>
      </c>
      <c r="P952" t="s">
        <v>26</v>
      </c>
      <c r="Q952" t="s">
        <v>27</v>
      </c>
      <c r="R952" t="s">
        <v>44</v>
      </c>
      <c r="S952" t="str">
        <f>TRIM(PROPER(_xlfn.XLOOKUP(Table1[[#This Row],[ProductID_Clean]],Table3[ProductID],Table3[Category],"Missing Value",0)))</f>
        <v>Instruments</v>
      </c>
      <c r="T952" t="str">
        <f>_xlfn.XLOOKUP(Table1[[#This Row],[CustomerID_Check]],Table2[CustomerID],Table2[CustomerType],"Missing Value",0)</f>
        <v>Standard</v>
      </c>
    </row>
    <row r="953" spans="1:20">
      <c r="A953" t="s">
        <v>1206</v>
      </c>
      <c r="B953" s="1">
        <v>45710</v>
      </c>
      <c r="C953" t="s">
        <v>1207</v>
      </c>
      <c r="D953" t="str">
        <f>UPPER(Table1[[#This Row],[ProductID_Clean]])</f>
        <v>P-SI-001</v>
      </c>
      <c r="E953" t="s">
        <v>72</v>
      </c>
      <c r="F953" t="s">
        <v>47</v>
      </c>
      <c r="G953" t="str">
        <f>TRIM(Table1[[#This Row],[Region_Clean]])</f>
        <v>EMEA</v>
      </c>
      <c r="H953" t="s">
        <v>24</v>
      </c>
      <c r="I953" t="s">
        <v>87</v>
      </c>
      <c r="J953" s="3">
        <v>2</v>
      </c>
      <c r="K953" s="3">
        <v>396.7</v>
      </c>
      <c r="L953">
        <v>485</v>
      </c>
      <c r="M953">
        <v>970</v>
      </c>
      <c r="N953">
        <v>176.6</v>
      </c>
      <c r="O953">
        <v>793.4</v>
      </c>
      <c r="P953" t="s">
        <v>26</v>
      </c>
      <c r="Q953" t="s">
        <v>40</v>
      </c>
      <c r="R953" t="s">
        <v>48</v>
      </c>
      <c r="S953" t="str">
        <f>TRIM(PROPER(_xlfn.XLOOKUP(Table1[[#This Row],[ProductID_Clean]],Table3[ProductID],Table3[Category],"Missing Value",0)))</f>
        <v>Sensors</v>
      </c>
      <c r="T953" t="str">
        <f>_xlfn.XLOOKUP(Table1[[#This Row],[CustomerID_Check]],Table2[CustomerID],Table2[CustomerType],"Missing Value",0)</f>
        <v>Standard</v>
      </c>
    </row>
    <row r="954" spans="1:20">
      <c r="A954" t="s">
        <v>1208</v>
      </c>
      <c r="B954" s="1">
        <v>45823</v>
      </c>
      <c r="C954" t="s">
        <v>989</v>
      </c>
      <c r="D954" t="str">
        <f>UPPER(Table1[[#This Row],[ProductID_Clean]])</f>
        <v>P-SI-004</v>
      </c>
      <c r="E954" t="s">
        <v>22</v>
      </c>
      <c r="F954" t="s">
        <v>32</v>
      </c>
      <c r="G954" t="str">
        <f>TRIM(Table1[[#This Row],[Region_Clean]])</f>
        <v>LATIN AMERICA</v>
      </c>
      <c r="H954" t="s">
        <v>24</v>
      </c>
      <c r="I954" t="s">
        <v>87</v>
      </c>
      <c r="J954" s="3">
        <v>1</v>
      </c>
      <c r="K954" s="3">
        <v>1836.21</v>
      </c>
      <c r="L954">
        <v>2450</v>
      </c>
      <c r="M954">
        <v>2450</v>
      </c>
      <c r="N954">
        <v>613.79</v>
      </c>
      <c r="O954">
        <v>1836.21</v>
      </c>
      <c r="P954" t="s">
        <v>26</v>
      </c>
      <c r="Q954" t="s">
        <v>35</v>
      </c>
      <c r="R954" t="s">
        <v>44</v>
      </c>
      <c r="S954" t="str">
        <f>TRIM(PROPER(_xlfn.XLOOKUP(Table1[[#This Row],[ProductID_Clean]],Table3[ProductID],Table3[Category],"Missing Value",0)))</f>
        <v>Instruments</v>
      </c>
      <c r="T954" t="str">
        <f>_xlfn.XLOOKUP(Table1[[#This Row],[CustomerID_Check]],Table2[CustomerID],Table2[CustomerType],"Missing Value",0)</f>
        <v>Standard</v>
      </c>
    </row>
    <row r="955" spans="1:20">
      <c r="A955" t="s">
        <v>1209</v>
      </c>
      <c r="B955" s="1">
        <v>45773</v>
      </c>
      <c r="C955" t="s">
        <v>272</v>
      </c>
      <c r="D955" t="str">
        <f>UPPER(Table1[[#This Row],[ProductID_Clean]])</f>
        <v>P-SI-004</v>
      </c>
      <c r="E955" t="s">
        <v>22</v>
      </c>
      <c r="F955" t="s">
        <v>47</v>
      </c>
      <c r="G955" t="str">
        <f>TRIM(Table1[[#This Row],[Region_Clean]])</f>
        <v>EMEA</v>
      </c>
      <c r="H955" t="s">
        <v>24</v>
      </c>
      <c r="I955" t="s">
        <v>98</v>
      </c>
      <c r="J955" s="3">
        <v>2</v>
      </c>
      <c r="K955" s="3">
        <v>2247.46</v>
      </c>
      <c r="L955">
        <v>2450</v>
      </c>
      <c r="M955">
        <v>4900</v>
      </c>
      <c r="N955">
        <v>405.08</v>
      </c>
      <c r="O955">
        <v>4494.92</v>
      </c>
      <c r="P955" t="s">
        <v>26</v>
      </c>
      <c r="Q955" t="s">
        <v>35</v>
      </c>
      <c r="R955" t="s">
        <v>36</v>
      </c>
      <c r="S955" t="str">
        <f>TRIM(PROPER(_xlfn.XLOOKUP(Table1[[#This Row],[ProductID_Clean]],Table3[ProductID],Table3[Category],"Missing Value",0)))</f>
        <v>Instruments</v>
      </c>
      <c r="T955" t="str">
        <f>_xlfn.XLOOKUP(Table1[[#This Row],[CustomerID_Check]],Table2[CustomerID],Table2[CustomerType],"Missing Value",0)</f>
        <v>Key Account</v>
      </c>
    </row>
    <row r="956" spans="1:20">
      <c r="A956" t="s">
        <v>1210</v>
      </c>
      <c r="B956" s="1">
        <v>45795</v>
      </c>
      <c r="C956" t="s">
        <v>172</v>
      </c>
      <c r="D956" t="str">
        <f>UPPER(Table1[[#This Row],[ProductID_Clean]])</f>
        <v>P-SI-006</v>
      </c>
      <c r="E956" t="s">
        <v>43</v>
      </c>
      <c r="F956" t="s">
        <v>23</v>
      </c>
      <c r="G956" t="str">
        <f>TRIM(Table1[[#This Row],[Region_Clean]])</f>
        <v>N. AMERICA</v>
      </c>
      <c r="H956" t="s">
        <v>24</v>
      </c>
      <c r="I956" t="s">
        <v>25</v>
      </c>
      <c r="J956" s="3">
        <v>2</v>
      </c>
      <c r="K956" s="3">
        <v>184.94</v>
      </c>
      <c r="L956">
        <v>215</v>
      </c>
      <c r="M956">
        <v>430</v>
      </c>
      <c r="N956">
        <v>60.12</v>
      </c>
      <c r="O956">
        <v>369.88</v>
      </c>
      <c r="P956" t="s">
        <v>26</v>
      </c>
      <c r="Q956" t="s">
        <v>27</v>
      </c>
      <c r="R956" t="s">
        <v>36</v>
      </c>
      <c r="S956" t="str">
        <f>TRIM(PROPER(_xlfn.XLOOKUP(Table1[[#This Row],[ProductID_Clean]],Table3[ProductID],Table3[Category],"Missing Value",0)))</f>
        <v>Sensors</v>
      </c>
      <c r="T956" t="str">
        <f>_xlfn.XLOOKUP(Table1[[#This Row],[CustomerID_Check]],Table2[CustomerID],Table2[CustomerType],"Missing Value",0)</f>
        <v>Key Account</v>
      </c>
    </row>
    <row r="957" spans="1:20">
      <c r="A957" t="s">
        <v>1211</v>
      </c>
      <c r="B957" s="1">
        <v>45706</v>
      </c>
      <c r="C957" t="s">
        <v>1212</v>
      </c>
      <c r="D957" t="str">
        <f>UPPER(Table1[[#This Row],[ProductID_Clean]])</f>
        <v>P-SI-008</v>
      </c>
      <c r="E957" t="s">
        <v>152</v>
      </c>
      <c r="F957" t="s">
        <v>32</v>
      </c>
      <c r="G957" t="str">
        <f>TRIM(Table1[[#This Row],[Region_Clean]])</f>
        <v>LATIN AMERICA</v>
      </c>
      <c r="H957" t="s">
        <v>24</v>
      </c>
      <c r="I957" t="s">
        <v>40</v>
      </c>
      <c r="J957" s="3">
        <v>3</v>
      </c>
      <c r="K957" s="3">
        <v>815.49</v>
      </c>
      <c r="L957">
        <v>950</v>
      </c>
      <c r="M957">
        <v>2850</v>
      </c>
      <c r="N957">
        <v>403.53</v>
      </c>
      <c r="O957">
        <v>2446.4699999999998</v>
      </c>
      <c r="P957" t="s">
        <v>26</v>
      </c>
      <c r="Q957" t="s">
        <v>35</v>
      </c>
      <c r="R957" t="s">
        <v>28</v>
      </c>
      <c r="S957" t="str">
        <f>TRIM(PROPER(_xlfn.XLOOKUP(Table1[[#This Row],[ProductID_Clean]],Table3[ProductID],Table3[Category],"Missing Value",0)))</f>
        <v>Instruments</v>
      </c>
      <c r="T957" t="str">
        <f>_xlfn.XLOOKUP(Table1[[#This Row],[CustomerID_Check]],Table2[CustomerID],Table2[CustomerType],"Missing Value",0)</f>
        <v>Emerging</v>
      </c>
    </row>
    <row r="958" spans="1:20">
      <c r="A958" t="s">
        <v>1213</v>
      </c>
      <c r="B958" s="1">
        <v>45726</v>
      </c>
      <c r="C958" t="s">
        <v>535</v>
      </c>
      <c r="D958" t="str">
        <f>UPPER(Table1[[#This Row],[ProductID_Clean]])</f>
        <v>P-SI-001</v>
      </c>
      <c r="E958" t="s">
        <v>72</v>
      </c>
      <c r="F958" t="s">
        <v>23</v>
      </c>
      <c r="G958" t="str">
        <f>TRIM(Table1[[#This Row],[Region_Clean]])</f>
        <v>N. AMERICA</v>
      </c>
      <c r="H958" t="s">
        <v>24</v>
      </c>
      <c r="I958" t="s">
        <v>25</v>
      </c>
      <c r="J958" s="3">
        <v>15</v>
      </c>
      <c r="K958" s="3">
        <v>446.85</v>
      </c>
      <c r="L958">
        <v>485</v>
      </c>
      <c r="M958">
        <v>7275</v>
      </c>
      <c r="N958">
        <v>572.25</v>
      </c>
      <c r="O958">
        <v>6702.75</v>
      </c>
      <c r="P958" t="s">
        <v>26</v>
      </c>
      <c r="Q958" t="s">
        <v>35</v>
      </c>
      <c r="R958" t="s">
        <v>36</v>
      </c>
      <c r="S958" t="str">
        <f>TRIM(PROPER(_xlfn.XLOOKUP(Table1[[#This Row],[ProductID_Clean]],Table3[ProductID],Table3[Category],"Missing Value",0)))</f>
        <v>Sensors</v>
      </c>
      <c r="T958" t="str">
        <f>_xlfn.XLOOKUP(Table1[[#This Row],[CustomerID_Check]],Table2[CustomerID],Table2[CustomerType],"Missing Value",0)</f>
        <v>Emerging</v>
      </c>
    </row>
    <row r="959" spans="1:20">
      <c r="A959" t="s">
        <v>1214</v>
      </c>
      <c r="B959" s="1">
        <v>45830</v>
      </c>
      <c r="C959" t="s">
        <v>38</v>
      </c>
      <c r="D959" t="str">
        <f>UPPER(Table1[[#This Row],[ProductID_Clean]])</f>
        <v>P-FS-005</v>
      </c>
      <c r="E959" t="s">
        <v>101</v>
      </c>
      <c r="F959" t="s">
        <v>32</v>
      </c>
      <c r="G959" t="str">
        <f>TRIM(Table1[[#This Row],[Region_Clean]])</f>
        <v>LATIN AMERICA</v>
      </c>
      <c r="H959" t="s">
        <v>82</v>
      </c>
      <c r="I959" t="s">
        <v>87</v>
      </c>
      <c r="J959" s="3">
        <v>1</v>
      </c>
      <c r="K959" s="3">
        <v>699.24</v>
      </c>
      <c r="L959">
        <v>950</v>
      </c>
      <c r="M959">
        <v>950</v>
      </c>
      <c r="N959">
        <v>250.76</v>
      </c>
      <c r="O959">
        <v>699.24</v>
      </c>
      <c r="P959" t="s">
        <v>26</v>
      </c>
      <c r="Q959" t="s">
        <v>35</v>
      </c>
      <c r="R959" t="s">
        <v>36</v>
      </c>
      <c r="S959" t="str">
        <f>TRIM(PROPER(_xlfn.XLOOKUP(Table1[[#This Row],[ProductID_Clean]],Table3[ProductID],Table3[Category],"Missing Value",0)))</f>
        <v>Services</v>
      </c>
      <c r="T959" t="str">
        <f>_xlfn.XLOOKUP(Table1[[#This Row],[CustomerID_Check]],Table2[CustomerID],Table2[CustomerType],"Missing Value",0)</f>
        <v>Standard</v>
      </c>
    </row>
    <row r="960" spans="1:20">
      <c r="A960" t="s">
        <v>1215</v>
      </c>
      <c r="B960" s="1">
        <v>45812</v>
      </c>
      <c r="C960" t="s">
        <v>80</v>
      </c>
      <c r="D960" t="str">
        <f>UPPER(Table1[[#This Row],[ProductID_Clean]])</f>
        <v>P-SA-005</v>
      </c>
      <c r="E960" t="s">
        <v>62</v>
      </c>
      <c r="F960" t="s">
        <v>23</v>
      </c>
      <c r="G960" t="str">
        <f>TRIM(Table1[[#This Row],[Region_Clean]])</f>
        <v>N. AMERICA</v>
      </c>
      <c r="H960" t="s">
        <v>53</v>
      </c>
      <c r="I960" t="s">
        <v>25</v>
      </c>
      <c r="J960" s="3">
        <v>1</v>
      </c>
      <c r="K960" s="3">
        <v>2834.02</v>
      </c>
      <c r="L960">
        <v>3200</v>
      </c>
      <c r="M960">
        <v>3200</v>
      </c>
      <c r="N960">
        <v>365.98</v>
      </c>
      <c r="O960">
        <v>2834.02</v>
      </c>
      <c r="P960" t="s">
        <v>113</v>
      </c>
      <c r="Q960" t="s">
        <v>54</v>
      </c>
      <c r="R960" t="s">
        <v>48</v>
      </c>
      <c r="S960" t="str">
        <f>TRIM(PROPER(_xlfn.XLOOKUP(Table1[[#This Row],[ProductID_Clean]],Table3[ProductID],Table3[Category],"Missing Value",0)))</f>
        <v>Software / Integration</v>
      </c>
      <c r="T960" t="str">
        <f>_xlfn.XLOOKUP(Table1[[#This Row],[CustomerID_Check]],Table2[CustomerID],Table2[CustomerType],"Missing Value",0)</f>
        <v>Strategic</v>
      </c>
    </row>
    <row r="961" spans="1:20">
      <c r="A961" t="s">
        <v>1216</v>
      </c>
      <c r="B961" s="1">
        <v>45676</v>
      </c>
      <c r="C961" t="s">
        <v>332</v>
      </c>
      <c r="D961" t="str">
        <f>UPPER(Table1[[#This Row],[ProductID_Clean]])</f>
        <v>P-FS-004</v>
      </c>
      <c r="E961" t="s">
        <v>432</v>
      </c>
      <c r="F961" t="s">
        <v>23</v>
      </c>
      <c r="G961" t="str">
        <f>TRIM(Table1[[#This Row],[Region_Clean]])</f>
        <v>N. AMERICA</v>
      </c>
      <c r="H961" t="s">
        <v>82</v>
      </c>
      <c r="I961" t="s">
        <v>25</v>
      </c>
      <c r="J961" s="3">
        <v>1</v>
      </c>
      <c r="K961" s="3">
        <v>2950.66</v>
      </c>
      <c r="L961">
        <v>3200</v>
      </c>
      <c r="M961">
        <v>3200</v>
      </c>
      <c r="N961">
        <v>249.34</v>
      </c>
      <c r="O961">
        <v>2950.66</v>
      </c>
      <c r="P961" t="s">
        <v>26</v>
      </c>
      <c r="Q961" t="s">
        <v>35</v>
      </c>
      <c r="R961" t="s">
        <v>28</v>
      </c>
      <c r="S961" t="str">
        <f>TRIM(PROPER(_xlfn.XLOOKUP(Table1[[#This Row],[ProductID_Clean]],Table3[ProductID],Table3[Category],"Missing Value",0)))</f>
        <v>Services</v>
      </c>
      <c r="T961" t="str">
        <f>_xlfn.XLOOKUP(Table1[[#This Row],[CustomerID_Check]],Table2[CustomerID],Table2[CustomerType],"Missing Value",0)</f>
        <v>Key Account</v>
      </c>
    </row>
    <row r="962" spans="1:20">
      <c r="A962" t="s">
        <v>1217</v>
      </c>
      <c r="B962" s="1">
        <v>45808</v>
      </c>
      <c r="C962" t="s">
        <v>135</v>
      </c>
      <c r="D962" t="str">
        <f>UPPER(Table1[[#This Row],[ProductID_Clean]])</f>
        <v>P-FS-001</v>
      </c>
      <c r="E962" t="s">
        <v>133</v>
      </c>
      <c r="F962" t="s">
        <v>58</v>
      </c>
      <c r="G962" t="str">
        <f>TRIM(Table1[[#This Row],[Region_Clean]])</f>
        <v>APAC</v>
      </c>
      <c r="H962" t="s">
        <v>82</v>
      </c>
      <c r="I962" t="s">
        <v>87</v>
      </c>
      <c r="J962" s="3">
        <v>1</v>
      </c>
      <c r="K962" s="3">
        <v>1223.08</v>
      </c>
      <c r="L962">
        <v>1850</v>
      </c>
      <c r="M962">
        <v>1850</v>
      </c>
      <c r="N962">
        <v>626.91999999999996</v>
      </c>
      <c r="O962">
        <v>1223.08</v>
      </c>
      <c r="P962" t="s">
        <v>26</v>
      </c>
      <c r="Q962" t="s">
        <v>35</v>
      </c>
      <c r="R962" t="s">
        <v>28</v>
      </c>
      <c r="S962" t="str">
        <f>TRIM(PROPER(_xlfn.XLOOKUP(Table1[[#This Row],[ProductID_Clean]],Table3[ProductID],Table3[Category],"Missing Value",0)))</f>
        <v>Services</v>
      </c>
      <c r="T962" t="str">
        <f>_xlfn.XLOOKUP(Table1[[#This Row],[CustomerID_Check]],Table2[CustomerID],Table2[CustomerType],"Missing Value",0)</f>
        <v>Strategic</v>
      </c>
    </row>
    <row r="963" spans="1:20">
      <c r="A963" t="s">
        <v>1218</v>
      </c>
      <c r="B963" s="1">
        <v>45713</v>
      </c>
      <c r="C963" t="s">
        <v>91</v>
      </c>
      <c r="D963" t="str">
        <f>UPPER(Table1[[#This Row],[ProductID_Clean]])</f>
        <v>P-SI-001</v>
      </c>
      <c r="E963" t="s">
        <v>72</v>
      </c>
      <c r="F963" t="s">
        <v>23</v>
      </c>
      <c r="G963" t="str">
        <f>TRIM(Table1[[#This Row],[Region_Clean]])</f>
        <v>N. AMERICA</v>
      </c>
      <c r="H963" t="s">
        <v>24</v>
      </c>
      <c r="I963" t="s">
        <v>25</v>
      </c>
      <c r="J963" s="3">
        <v>1</v>
      </c>
      <c r="K963" s="3">
        <v>449.97</v>
      </c>
      <c r="L963">
        <v>485</v>
      </c>
      <c r="M963">
        <v>485</v>
      </c>
      <c r="N963">
        <v>35.03</v>
      </c>
      <c r="O963">
        <v>449.97</v>
      </c>
      <c r="P963" t="s">
        <v>113</v>
      </c>
      <c r="Q963" t="s">
        <v>35</v>
      </c>
      <c r="R963" t="s">
        <v>48</v>
      </c>
      <c r="S963" t="str">
        <f>TRIM(PROPER(_xlfn.XLOOKUP(Table1[[#This Row],[ProductID_Clean]],Table3[ProductID],Table3[Category],"Missing Value",0)))</f>
        <v>Sensors</v>
      </c>
      <c r="T963" t="str">
        <f>_xlfn.XLOOKUP(Table1[[#This Row],[CustomerID_Check]],Table2[CustomerID],Table2[CustomerType],"Missing Value",0)</f>
        <v>Key Account</v>
      </c>
    </row>
    <row r="964" spans="1:20">
      <c r="A964" t="s">
        <v>1219</v>
      </c>
      <c r="B964" s="1">
        <v>45711</v>
      </c>
      <c r="C964" t="s">
        <v>442</v>
      </c>
      <c r="D964" t="str">
        <f>UPPER(Table1[[#This Row],[ProductID_Clean]])</f>
        <v>P-SA-003</v>
      </c>
      <c r="E964" t="s">
        <v>51</v>
      </c>
      <c r="F964" t="s">
        <v>23</v>
      </c>
      <c r="G964" t="str">
        <f>TRIM(Table1[[#This Row],[Region_Clean]])</f>
        <v>N. AMERICA</v>
      </c>
      <c r="H964" t="s">
        <v>53</v>
      </c>
      <c r="I964" t="s">
        <v>34</v>
      </c>
      <c r="J964" s="3">
        <v>1</v>
      </c>
      <c r="K964" s="3">
        <v>2420.96</v>
      </c>
      <c r="L964">
        <v>2750</v>
      </c>
      <c r="M964">
        <v>2750</v>
      </c>
      <c r="N964">
        <v>329.04</v>
      </c>
      <c r="O964">
        <v>2420.96</v>
      </c>
      <c r="P964" t="s">
        <v>26</v>
      </c>
      <c r="Q964" t="s">
        <v>54</v>
      </c>
      <c r="R964" t="s">
        <v>36</v>
      </c>
      <c r="S964" t="str">
        <f>TRIM(PROPER(_xlfn.XLOOKUP(Table1[[#This Row],[ProductID_Clean]],Table3[ProductID],Table3[Category],"Missing Value",0)))</f>
        <v>Software</v>
      </c>
      <c r="T964" t="str">
        <f>_xlfn.XLOOKUP(Table1[[#This Row],[CustomerID_Check]],Table2[CustomerID],Table2[CustomerType],"Missing Value",0)</f>
        <v>Standard</v>
      </c>
    </row>
    <row r="965" spans="1:20">
      <c r="A965" t="s">
        <v>1220</v>
      </c>
      <c r="B965" s="1">
        <v>45735</v>
      </c>
      <c r="C965" t="s">
        <v>259</v>
      </c>
      <c r="D965" t="str">
        <f>UPPER(Table1[[#This Row],[ProductID_Clean]])</f>
        <v>P-FS-002</v>
      </c>
      <c r="E965" t="s">
        <v>81</v>
      </c>
      <c r="F965" t="s">
        <v>23</v>
      </c>
      <c r="G965" t="str">
        <f>TRIM(Table1[[#This Row],[Region_Clean]])</f>
        <v>N. AMERICA</v>
      </c>
      <c r="H965" t="s">
        <v>82</v>
      </c>
      <c r="I965" t="s">
        <v>34</v>
      </c>
      <c r="J965" s="3">
        <v>1</v>
      </c>
      <c r="K965" s="3">
        <v>2256.46</v>
      </c>
      <c r="L965">
        <v>2400</v>
      </c>
      <c r="M965">
        <v>2400</v>
      </c>
      <c r="N965">
        <v>143.54</v>
      </c>
      <c r="O965">
        <v>2256.46</v>
      </c>
      <c r="P965" t="s">
        <v>113</v>
      </c>
      <c r="Q965" t="s">
        <v>94</v>
      </c>
      <c r="R965" t="s">
        <v>48</v>
      </c>
      <c r="S965" t="str">
        <f>TRIM(PROPER(_xlfn.XLOOKUP(Table1[[#This Row],[ProductID_Clean]],Table3[ProductID],Table3[Category],"Missing Value",0)))</f>
        <v>Services</v>
      </c>
      <c r="T965" t="str">
        <f>_xlfn.XLOOKUP(Table1[[#This Row],[CustomerID_Check]],Table2[CustomerID],Table2[CustomerType],"Missing Value",0)</f>
        <v>Standard</v>
      </c>
    </row>
    <row r="966" spans="1:20">
      <c r="A966" t="s">
        <v>1221</v>
      </c>
      <c r="B966" s="1">
        <v>45688</v>
      </c>
      <c r="C966" t="s">
        <v>282</v>
      </c>
      <c r="D966" t="str">
        <f>UPPER(Table1[[#This Row],[ProductID_Clean]])</f>
        <v>P-FS-002</v>
      </c>
      <c r="E966" t="s">
        <v>81</v>
      </c>
      <c r="F966" t="s">
        <v>23</v>
      </c>
      <c r="G966" t="str">
        <f>TRIM(Table1[[#This Row],[Region_Clean]])</f>
        <v>N. AMERICA</v>
      </c>
      <c r="H966" t="s">
        <v>82</v>
      </c>
      <c r="I966" t="s">
        <v>25</v>
      </c>
      <c r="J966" s="3">
        <v>1</v>
      </c>
      <c r="K966" s="3">
        <v>2027.37</v>
      </c>
      <c r="L966">
        <v>2400</v>
      </c>
      <c r="M966">
        <v>2400</v>
      </c>
      <c r="N966">
        <v>372.63</v>
      </c>
      <c r="O966">
        <v>2027.37</v>
      </c>
      <c r="P966" t="s">
        <v>26</v>
      </c>
      <c r="Q966" t="s">
        <v>83</v>
      </c>
      <c r="R966" t="s">
        <v>59</v>
      </c>
      <c r="S966" t="str">
        <f>TRIM(PROPER(_xlfn.XLOOKUP(Table1[[#This Row],[ProductID_Clean]],Table3[ProductID],Table3[Category],"Missing Value",0)))</f>
        <v>Services</v>
      </c>
      <c r="T966" t="str">
        <f>_xlfn.XLOOKUP(Table1[[#This Row],[CustomerID_Check]],Table2[CustomerID],Table2[CustomerType],"Missing Value",0)</f>
        <v>Strategic</v>
      </c>
    </row>
    <row r="967" spans="1:20">
      <c r="A967" t="s">
        <v>1222</v>
      </c>
      <c r="B967" s="1">
        <v>45720</v>
      </c>
      <c r="C967" t="s">
        <v>168</v>
      </c>
      <c r="D967" t="str">
        <f>UPPER(Table1[[#This Row],[ProductID_Clean]])</f>
        <v>P-SI-004</v>
      </c>
      <c r="E967" t="s">
        <v>22</v>
      </c>
      <c r="F967" t="s">
        <v>47</v>
      </c>
      <c r="G967" t="str">
        <f>TRIM(Table1[[#This Row],[Region_Clean]])</f>
        <v>EMEA</v>
      </c>
      <c r="H967" t="s">
        <v>24</v>
      </c>
      <c r="I967" t="s">
        <v>25</v>
      </c>
      <c r="J967" s="3">
        <v>1</v>
      </c>
      <c r="K967" s="3">
        <v>2302.8200000000002</v>
      </c>
      <c r="L967">
        <v>2450</v>
      </c>
      <c r="M967">
        <v>2450</v>
      </c>
      <c r="N967">
        <v>147.18</v>
      </c>
      <c r="O967">
        <v>2302.8200000000002</v>
      </c>
      <c r="P967" t="s">
        <v>26</v>
      </c>
      <c r="Q967" t="s">
        <v>27</v>
      </c>
      <c r="R967" t="s">
        <v>36</v>
      </c>
      <c r="S967" t="str">
        <f>TRIM(PROPER(_xlfn.XLOOKUP(Table1[[#This Row],[ProductID_Clean]],Table3[ProductID],Table3[Category],"Missing Value",0)))</f>
        <v>Instruments</v>
      </c>
      <c r="T967" t="str">
        <f>_xlfn.XLOOKUP(Table1[[#This Row],[CustomerID_Check]],Table2[CustomerID],Table2[CustomerType],"Missing Value",0)</f>
        <v>Standard</v>
      </c>
    </row>
    <row r="968" spans="1:20">
      <c r="A968" t="s">
        <v>1223</v>
      </c>
      <c r="B968" s="1">
        <v>45812</v>
      </c>
      <c r="C968" t="s">
        <v>488</v>
      </c>
      <c r="D968" t="str">
        <f>UPPER(Table1[[#This Row],[ProductID_Clean]])</f>
        <v>P-SI-007</v>
      </c>
      <c r="E968" t="s">
        <v>97</v>
      </c>
      <c r="F968" t="s">
        <v>32</v>
      </c>
      <c r="G968" t="str">
        <f>TRIM(Table1[[#This Row],[Region_Clean]])</f>
        <v>LATIN AMERICA</v>
      </c>
      <c r="H968" t="s">
        <v>24</v>
      </c>
      <c r="I968" t="s">
        <v>87</v>
      </c>
      <c r="J968" s="3">
        <v>10</v>
      </c>
      <c r="K968" s="3">
        <v>655.5</v>
      </c>
      <c r="L968">
        <v>980</v>
      </c>
      <c r="M968">
        <v>9800</v>
      </c>
      <c r="N968">
        <v>3245</v>
      </c>
      <c r="O968">
        <v>6555</v>
      </c>
      <c r="P968" t="s">
        <v>26</v>
      </c>
      <c r="Q968" t="s">
        <v>35</v>
      </c>
      <c r="R968" t="s">
        <v>36</v>
      </c>
      <c r="S968" t="str">
        <f>TRIM(PROPER(_xlfn.XLOOKUP(Table1[[#This Row],[ProductID_Clean]],Table3[ProductID],Table3[Category],"Missing Value",0)))</f>
        <v>Sensors</v>
      </c>
      <c r="T968" t="str">
        <f>_xlfn.XLOOKUP(Table1[[#This Row],[CustomerID_Check]],Table2[CustomerID],Table2[CustomerType],"Missing Value",0)</f>
        <v>Strategic</v>
      </c>
    </row>
    <row r="969" spans="1:20">
      <c r="A969" t="s">
        <v>1224</v>
      </c>
      <c r="B969" s="1">
        <v>45710</v>
      </c>
      <c r="C969" t="s">
        <v>466</v>
      </c>
      <c r="D969" t="str">
        <f>UPPER(Table1[[#This Row],[ProductID_Clean]])</f>
        <v>P-SI-001</v>
      </c>
      <c r="E969" t="s">
        <v>72</v>
      </c>
      <c r="F969" t="s">
        <v>23</v>
      </c>
      <c r="G969" t="str">
        <f>TRIM(Table1[[#This Row],[Region_Clean]])</f>
        <v>N. AMERICA</v>
      </c>
      <c r="H969" t="s">
        <v>24</v>
      </c>
      <c r="I969" t="s">
        <v>87</v>
      </c>
      <c r="J969" s="3">
        <v>15</v>
      </c>
      <c r="K969" s="3">
        <v>415.61</v>
      </c>
      <c r="L969">
        <v>485</v>
      </c>
      <c r="M969">
        <v>7275</v>
      </c>
      <c r="N969">
        <v>1040.8499999999999</v>
      </c>
      <c r="O969">
        <v>6234.15</v>
      </c>
      <c r="P969" t="s">
        <v>26</v>
      </c>
      <c r="Q969" t="s">
        <v>35</v>
      </c>
      <c r="R969" t="s">
        <v>59</v>
      </c>
      <c r="S969" t="str">
        <f>TRIM(PROPER(_xlfn.XLOOKUP(Table1[[#This Row],[ProductID_Clean]],Table3[ProductID],Table3[Category],"Missing Value",0)))</f>
        <v>Sensors</v>
      </c>
      <c r="T969" t="str">
        <f>_xlfn.XLOOKUP(Table1[[#This Row],[CustomerID_Check]],Table2[CustomerID],Table2[CustomerType],"Missing Value",0)</f>
        <v>Standard</v>
      </c>
    </row>
    <row r="970" spans="1:20">
      <c r="A970" t="s">
        <v>1225</v>
      </c>
      <c r="B970" s="1">
        <v>45719</v>
      </c>
      <c r="C970" t="s">
        <v>157</v>
      </c>
      <c r="D970" t="str">
        <f>UPPER(Table1[[#This Row],[ProductID_Clean]])</f>
        <v>P-SI-006</v>
      </c>
      <c r="E970" t="s">
        <v>43</v>
      </c>
      <c r="F970" t="s">
        <v>23</v>
      </c>
      <c r="G970" t="str">
        <f>TRIM(Table1[[#This Row],[Region_Clean]])</f>
        <v>N. AMERICA</v>
      </c>
      <c r="H970" t="s">
        <v>24</v>
      </c>
      <c r="I970" t="s">
        <v>25</v>
      </c>
      <c r="J970" s="3">
        <v>5</v>
      </c>
      <c r="K970" s="3">
        <v>189.51</v>
      </c>
      <c r="L970">
        <v>215</v>
      </c>
      <c r="M970">
        <v>1075</v>
      </c>
      <c r="N970">
        <v>127.45</v>
      </c>
      <c r="O970">
        <v>947.55</v>
      </c>
      <c r="P970" t="s">
        <v>26</v>
      </c>
      <c r="Q970" t="s">
        <v>27</v>
      </c>
      <c r="R970" t="s">
        <v>36</v>
      </c>
      <c r="S970" t="str">
        <f>TRIM(PROPER(_xlfn.XLOOKUP(Table1[[#This Row],[ProductID_Clean]],Table3[ProductID],Table3[Category],"Missing Value",0)))</f>
        <v>Sensors</v>
      </c>
      <c r="T970" t="str">
        <f>_xlfn.XLOOKUP(Table1[[#This Row],[CustomerID_Check]],Table2[CustomerID],Table2[CustomerType],"Missing Value",0)</f>
        <v>Key Account</v>
      </c>
    </row>
    <row r="971" spans="1:20">
      <c r="A971" t="s">
        <v>1226</v>
      </c>
      <c r="B971" s="1">
        <v>45740</v>
      </c>
      <c r="C971" t="s">
        <v>46</v>
      </c>
      <c r="D971" t="str">
        <f>UPPER(Table1[[#This Row],[ProductID_Clean]])</f>
        <v>P-SI-008</v>
      </c>
      <c r="E971" t="s">
        <v>152</v>
      </c>
      <c r="F971" t="s">
        <v>47</v>
      </c>
      <c r="G971" t="str">
        <f>TRIM(Table1[[#This Row],[Region_Clean]])</f>
        <v>EMEA</v>
      </c>
      <c r="H971" t="s">
        <v>24</v>
      </c>
      <c r="I971" t="s">
        <v>25</v>
      </c>
      <c r="J971" s="3">
        <v>5</v>
      </c>
      <c r="K971" s="3">
        <v>857.82</v>
      </c>
      <c r="L971">
        <v>950</v>
      </c>
      <c r="M971">
        <v>4750</v>
      </c>
      <c r="N971">
        <v>460.9</v>
      </c>
      <c r="O971">
        <v>4289.1000000000004</v>
      </c>
      <c r="P971" t="s">
        <v>26</v>
      </c>
      <c r="Q971" t="s">
        <v>27</v>
      </c>
      <c r="R971" t="s">
        <v>48</v>
      </c>
      <c r="S971" t="str">
        <f>TRIM(PROPER(_xlfn.XLOOKUP(Table1[[#This Row],[ProductID_Clean]],Table3[ProductID],Table3[Category],"Missing Value",0)))</f>
        <v>Instruments</v>
      </c>
      <c r="T971" t="str">
        <f>_xlfn.XLOOKUP(Table1[[#This Row],[CustomerID_Check]],Table2[CustomerID],Table2[CustomerType],"Missing Value",0)</f>
        <v>Strategic</v>
      </c>
    </row>
    <row r="972" spans="1:20">
      <c r="A972" t="s">
        <v>1227</v>
      </c>
      <c r="B972" s="1">
        <v>45755</v>
      </c>
      <c r="C972" t="s">
        <v>266</v>
      </c>
      <c r="D972" t="str">
        <f>UPPER(Table1[[#This Row],[ProductID_Clean]])</f>
        <v>P-SA-002</v>
      </c>
      <c r="E972" t="s">
        <v>147</v>
      </c>
      <c r="F972" t="s">
        <v>23</v>
      </c>
      <c r="G972" t="str">
        <f>TRIM(Table1[[#This Row],[Region_Clean]])</f>
        <v>N. AMERICA</v>
      </c>
      <c r="H972" t="s">
        <v>53</v>
      </c>
      <c r="I972" t="s">
        <v>25</v>
      </c>
      <c r="J972" s="3">
        <v>1</v>
      </c>
      <c r="K972" s="3">
        <v>8595.17</v>
      </c>
      <c r="L972">
        <v>9800</v>
      </c>
      <c r="M972">
        <v>9800</v>
      </c>
      <c r="N972">
        <v>1204.83</v>
      </c>
      <c r="O972">
        <v>8595.17</v>
      </c>
      <c r="P972" t="s">
        <v>26</v>
      </c>
      <c r="Q972" t="s">
        <v>54</v>
      </c>
      <c r="R972" t="s">
        <v>44</v>
      </c>
      <c r="S972" t="str">
        <f>TRIM(PROPER(_xlfn.XLOOKUP(Table1[[#This Row],[ProductID_Clean]],Table3[ProductID],Table3[Category],"Missing Value",0)))</f>
        <v>Software</v>
      </c>
      <c r="T972" t="str">
        <f>_xlfn.XLOOKUP(Table1[[#This Row],[CustomerID_Check]],Table2[CustomerID],Table2[CustomerType],"Missing Value",0)</f>
        <v>Strategic</v>
      </c>
    </row>
    <row r="973" spans="1:20">
      <c r="A973" t="s">
        <v>1228</v>
      </c>
      <c r="B973" s="1">
        <v>45794</v>
      </c>
      <c r="C973" t="s">
        <v>163</v>
      </c>
      <c r="D973" t="str">
        <f>UPPER(Table1[[#This Row],[ProductID_Clean]])</f>
        <v>P-SA-002</v>
      </c>
      <c r="E973" t="s">
        <v>147</v>
      </c>
      <c r="F973" t="s">
        <v>23</v>
      </c>
      <c r="G973" t="str">
        <f>TRIM(Table1[[#This Row],[Region_Clean]])</f>
        <v>N. AMERICA</v>
      </c>
      <c r="H973" t="s">
        <v>53</v>
      </c>
      <c r="I973" t="s">
        <v>25</v>
      </c>
      <c r="J973" s="3">
        <v>1</v>
      </c>
      <c r="K973" s="3">
        <v>8745.41</v>
      </c>
      <c r="L973">
        <v>9800</v>
      </c>
      <c r="M973">
        <v>9800</v>
      </c>
      <c r="N973">
        <v>1054.5899999999999</v>
      </c>
      <c r="O973">
        <v>8745.41</v>
      </c>
      <c r="P973" t="s">
        <v>26</v>
      </c>
      <c r="Q973" t="s">
        <v>189</v>
      </c>
      <c r="R973" t="s">
        <v>28</v>
      </c>
      <c r="S973" t="str">
        <f>TRIM(PROPER(_xlfn.XLOOKUP(Table1[[#This Row],[ProductID_Clean]],Table3[ProductID],Table3[Category],"Missing Value",0)))</f>
        <v>Software</v>
      </c>
      <c r="T973" t="str">
        <f>_xlfn.XLOOKUP(Table1[[#This Row],[CustomerID_Check]],Table2[CustomerID],Table2[CustomerType],"Missing Value",0)</f>
        <v>Strategic</v>
      </c>
    </row>
    <row r="974" spans="1:20">
      <c r="A974" t="s">
        <v>1229</v>
      </c>
      <c r="B974" s="1">
        <v>45749</v>
      </c>
      <c r="C974" t="s">
        <v>303</v>
      </c>
      <c r="D974" t="str">
        <f>UPPER(Table1[[#This Row],[ProductID_Clean]])</f>
        <v>P-SI-001</v>
      </c>
      <c r="E974" t="s">
        <v>72</v>
      </c>
      <c r="F974" t="s">
        <v>23</v>
      </c>
      <c r="G974" t="str">
        <f>TRIM(Table1[[#This Row],[Region_Clean]])</f>
        <v>N. AMERICA</v>
      </c>
      <c r="H974" t="s">
        <v>24</v>
      </c>
      <c r="I974" t="s">
        <v>87</v>
      </c>
      <c r="J974" s="3">
        <v>1</v>
      </c>
      <c r="K974" s="3">
        <v>429.16</v>
      </c>
      <c r="L974">
        <v>485</v>
      </c>
      <c r="M974">
        <v>485</v>
      </c>
      <c r="N974">
        <v>55.84</v>
      </c>
      <c r="O974">
        <v>429.16</v>
      </c>
      <c r="P974" t="s">
        <v>26</v>
      </c>
      <c r="Q974" t="s">
        <v>35</v>
      </c>
      <c r="R974" t="s">
        <v>59</v>
      </c>
      <c r="S974" t="str">
        <f>TRIM(PROPER(_xlfn.XLOOKUP(Table1[[#This Row],[ProductID_Clean]],Table3[ProductID],Table3[Category],"Missing Value",0)))</f>
        <v>Sensors</v>
      </c>
      <c r="T974" t="str">
        <f>_xlfn.XLOOKUP(Table1[[#This Row],[CustomerID_Check]],Table2[CustomerID],Table2[CustomerType],"Missing Value",0)</f>
        <v>Standard</v>
      </c>
    </row>
    <row r="975" spans="1:20">
      <c r="A975" t="s">
        <v>1230</v>
      </c>
      <c r="B975" s="1">
        <v>45789</v>
      </c>
      <c r="C975" t="s">
        <v>225</v>
      </c>
      <c r="D975" t="str">
        <f>UPPER(Table1[[#This Row],[ProductID_Clean]])</f>
        <v>P-SI-008</v>
      </c>
      <c r="E975" t="s">
        <v>152</v>
      </c>
      <c r="F975" t="s">
        <v>23</v>
      </c>
      <c r="G975" t="str">
        <f>TRIM(Table1[[#This Row],[Region_Clean]])</f>
        <v>N. AMERICA</v>
      </c>
      <c r="H975" t="s">
        <v>24</v>
      </c>
      <c r="I975" t="s">
        <v>25</v>
      </c>
      <c r="J975" s="3">
        <v>3</v>
      </c>
      <c r="K975" s="3">
        <v>914.75</v>
      </c>
      <c r="L975">
        <v>950</v>
      </c>
      <c r="M975">
        <v>2850</v>
      </c>
      <c r="N975">
        <v>105.75</v>
      </c>
      <c r="O975">
        <v>2744.25</v>
      </c>
      <c r="P975" t="s">
        <v>26</v>
      </c>
      <c r="Q975" t="s">
        <v>35</v>
      </c>
      <c r="R975" t="s">
        <v>36</v>
      </c>
      <c r="S975" t="str">
        <f>TRIM(PROPER(_xlfn.XLOOKUP(Table1[[#This Row],[ProductID_Clean]],Table3[ProductID],Table3[Category],"Missing Value",0)))</f>
        <v>Instruments</v>
      </c>
      <c r="T975" t="str">
        <f>_xlfn.XLOOKUP(Table1[[#This Row],[CustomerID_Check]],Table2[CustomerID],Table2[CustomerType],"Missing Value",0)</f>
        <v>Key Account</v>
      </c>
    </row>
    <row r="976" spans="1:20">
      <c r="A976" t="s">
        <v>1231</v>
      </c>
      <c r="B976" s="1">
        <v>45777</v>
      </c>
      <c r="C976" t="s">
        <v>602</v>
      </c>
      <c r="D976" t="str">
        <f>UPPER(Table1[[#This Row],[ProductID_Clean]])</f>
        <v>P-SA-004</v>
      </c>
      <c r="E976" t="s">
        <v>86</v>
      </c>
      <c r="F976" t="s">
        <v>23</v>
      </c>
      <c r="G976" t="str">
        <f>TRIM(Table1[[#This Row],[Region_Clean]])</f>
        <v>N. AMERICA</v>
      </c>
      <c r="H976" t="s">
        <v>53</v>
      </c>
      <c r="I976" t="s">
        <v>25</v>
      </c>
      <c r="J976" s="3">
        <v>1</v>
      </c>
      <c r="K976" s="3">
        <v>1560.64</v>
      </c>
      <c r="L976">
        <v>1650</v>
      </c>
      <c r="M976">
        <v>1650</v>
      </c>
      <c r="N976">
        <v>89.36</v>
      </c>
      <c r="O976">
        <v>1560.64</v>
      </c>
      <c r="P976" t="s">
        <v>26</v>
      </c>
      <c r="Q976" t="s">
        <v>54</v>
      </c>
      <c r="R976" t="s">
        <v>48</v>
      </c>
      <c r="S976" t="str">
        <f>TRIM(PROPER(_xlfn.XLOOKUP(Table1[[#This Row],[ProductID_Clean]],Table3[ProductID],Table3[Category],"Missing Value",0)))</f>
        <v>Software</v>
      </c>
      <c r="T976" t="str">
        <f>_xlfn.XLOOKUP(Table1[[#This Row],[CustomerID_Check]],Table2[CustomerID],Table2[CustomerType],"Missing Value",0)</f>
        <v>Standard</v>
      </c>
    </row>
    <row r="977" spans="1:20" hidden="1">
      <c r="A977" t="s">
        <v>1232</v>
      </c>
      <c r="B977" s="1">
        <v>45778</v>
      </c>
      <c r="C977" t="s">
        <v>100</v>
      </c>
      <c r="D977" t="str">
        <f>UPPER(Table1[[#This Row],[ProductID_Clean]])</f>
        <v>INVALID ID</v>
      </c>
      <c r="E977" t="s">
        <v>76</v>
      </c>
      <c r="F977" t="s">
        <v>47</v>
      </c>
      <c r="G977" t="str">
        <f>TRIM(Table1[[#This Row],[Region_Clean]])</f>
        <v>EMEA</v>
      </c>
      <c r="H977" t="s">
        <v>53</v>
      </c>
      <c r="I977" t="s">
        <v>25</v>
      </c>
      <c r="J977" s="3">
        <v>1</v>
      </c>
      <c r="K977" s="3">
        <v>1488.6</v>
      </c>
      <c r="L977">
        <v>1650</v>
      </c>
      <c r="M977">
        <v>1650</v>
      </c>
      <c r="N977">
        <v>161.4</v>
      </c>
      <c r="O977">
        <v>1488.6</v>
      </c>
      <c r="P977" t="s">
        <v>26</v>
      </c>
      <c r="Q977" t="s">
        <v>88</v>
      </c>
      <c r="R977" t="s">
        <v>36</v>
      </c>
      <c r="S977" t="str">
        <f>TRIM(PROPER(_xlfn.XLOOKUP(Table1[[#This Row],[ProductID_Clean]],Table3[ProductID],Table3[Category],"Missing Value",0)))</f>
        <v>Missing Value</v>
      </c>
      <c r="T977" t="str">
        <f>_xlfn.XLOOKUP(Table1[[#This Row],[CustomerID_Check]],Table2[CustomerID],Table2[CustomerType],"Missing Value",0)</f>
        <v>Strategic</v>
      </c>
    </row>
    <row r="978" spans="1:20">
      <c r="A978" t="s">
        <v>1233</v>
      </c>
      <c r="B978" s="1">
        <v>45710</v>
      </c>
      <c r="C978" t="s">
        <v>239</v>
      </c>
      <c r="D978" t="str">
        <f>UPPER(Table1[[#This Row],[ProductID_Clean]])</f>
        <v>P-SI-006</v>
      </c>
      <c r="E978" t="s">
        <v>43</v>
      </c>
      <c r="F978" t="s">
        <v>23</v>
      </c>
      <c r="G978" t="str">
        <f>TRIM(Table1[[#This Row],[Region_Clean]])</f>
        <v>N. AMERICA</v>
      </c>
      <c r="H978" t="s">
        <v>24</v>
      </c>
      <c r="I978" t="s">
        <v>25</v>
      </c>
      <c r="J978" s="3">
        <v>2</v>
      </c>
      <c r="K978" s="3">
        <v>156.52000000000001</v>
      </c>
      <c r="L978">
        <v>215</v>
      </c>
      <c r="M978">
        <v>430</v>
      </c>
      <c r="N978">
        <v>116.96</v>
      </c>
      <c r="O978">
        <v>313.04000000000002</v>
      </c>
      <c r="P978" t="s">
        <v>26</v>
      </c>
      <c r="Q978" t="s">
        <v>35</v>
      </c>
      <c r="R978" t="s">
        <v>44</v>
      </c>
      <c r="S978" t="str">
        <f>TRIM(PROPER(_xlfn.XLOOKUP(Table1[[#This Row],[ProductID_Clean]],Table3[ProductID],Table3[Category],"Missing Value",0)))</f>
        <v>Sensors</v>
      </c>
      <c r="T978" t="str">
        <f>_xlfn.XLOOKUP(Table1[[#This Row],[CustomerID_Check]],Table2[CustomerID],Table2[CustomerType],"Missing Value",0)</f>
        <v>Strategic</v>
      </c>
    </row>
    <row r="979" spans="1:20">
      <c r="A979" t="s">
        <v>1234</v>
      </c>
      <c r="B979" s="1">
        <v>45738</v>
      </c>
      <c r="C979" t="s">
        <v>30</v>
      </c>
      <c r="D979" t="str">
        <f>UPPER(Table1[[#This Row],[ProductID_Clean]])</f>
        <v>P-SI-002</v>
      </c>
      <c r="E979" t="s">
        <v>31</v>
      </c>
      <c r="F979" t="s">
        <v>32</v>
      </c>
      <c r="G979" t="str">
        <f>TRIM(Table1[[#This Row],[Region_Clean]])</f>
        <v>LATIN AMERICA</v>
      </c>
      <c r="H979" t="s">
        <v>24</v>
      </c>
      <c r="I979" t="s">
        <v>25</v>
      </c>
      <c r="J979" s="3">
        <v>3</v>
      </c>
      <c r="K979" s="3">
        <v>631.64</v>
      </c>
      <c r="L979">
        <v>725</v>
      </c>
      <c r="M979">
        <v>2175</v>
      </c>
      <c r="N979">
        <v>280.08</v>
      </c>
      <c r="O979">
        <v>1894.92</v>
      </c>
      <c r="P979" t="s">
        <v>26</v>
      </c>
      <c r="Q979" t="s">
        <v>35</v>
      </c>
      <c r="R979" t="s">
        <v>36</v>
      </c>
      <c r="S979" t="str">
        <f>TRIM(PROPER(_xlfn.XLOOKUP(Table1[[#This Row],[ProductID_Clean]],Table3[ProductID],Table3[Category],"Missing Value",0)))</f>
        <v>Sensors</v>
      </c>
      <c r="T979" t="str">
        <f>_xlfn.XLOOKUP(Table1[[#This Row],[CustomerID_Check]],Table2[CustomerID],Table2[CustomerType],"Missing Value",0)</f>
        <v>Strategic</v>
      </c>
    </row>
    <row r="980" spans="1:20">
      <c r="A980" t="s">
        <v>1235</v>
      </c>
      <c r="B980" s="1">
        <v>45669</v>
      </c>
      <c r="C980" t="s">
        <v>250</v>
      </c>
      <c r="D980" t="str">
        <f>UPPER(Table1[[#This Row],[ProductID_Clean]])</f>
        <v>P-SA-002</v>
      </c>
      <c r="E980" t="s">
        <v>147</v>
      </c>
      <c r="F980" t="s">
        <v>23</v>
      </c>
      <c r="G980" t="str">
        <f>TRIM(Table1[[#This Row],[Region_Clean]])</f>
        <v>N. AMERICA</v>
      </c>
      <c r="H980" t="s">
        <v>53</v>
      </c>
      <c r="I980" t="s">
        <v>25</v>
      </c>
      <c r="J980" s="3">
        <v>1</v>
      </c>
      <c r="K980" s="3">
        <v>9549.08</v>
      </c>
      <c r="L980">
        <v>9800</v>
      </c>
      <c r="M980">
        <v>9800</v>
      </c>
      <c r="N980">
        <v>250.92</v>
      </c>
      <c r="O980">
        <v>9549.08</v>
      </c>
      <c r="P980" t="s">
        <v>26</v>
      </c>
      <c r="Q980" t="s">
        <v>54</v>
      </c>
      <c r="R980" t="s">
        <v>36</v>
      </c>
      <c r="S980" t="str">
        <f>TRIM(PROPER(_xlfn.XLOOKUP(Table1[[#This Row],[ProductID_Clean]],Table3[ProductID],Table3[Category],"Missing Value",0)))</f>
        <v>Software</v>
      </c>
      <c r="T980" t="str">
        <f>_xlfn.XLOOKUP(Table1[[#This Row],[CustomerID_Check]],Table2[CustomerID],Table2[CustomerType],"Missing Value",0)</f>
        <v>Standard</v>
      </c>
    </row>
    <row r="981" spans="1:20">
      <c r="A981" t="s">
        <v>1236</v>
      </c>
      <c r="B981" s="1">
        <v>45714</v>
      </c>
      <c r="C981" t="s">
        <v>780</v>
      </c>
      <c r="D981" t="str">
        <f>UPPER(Table1[[#This Row],[ProductID_Clean]])</f>
        <v>P-SI-002</v>
      </c>
      <c r="E981" t="s">
        <v>31</v>
      </c>
      <c r="F981" t="s">
        <v>32</v>
      </c>
      <c r="G981" t="str">
        <f>TRIM(Table1[[#This Row],[Region_Clean]])</f>
        <v>LATIN AMERICA</v>
      </c>
      <c r="H981" t="s">
        <v>24</v>
      </c>
      <c r="I981" t="s">
        <v>25</v>
      </c>
      <c r="J981" s="3">
        <v>1</v>
      </c>
      <c r="K981" s="3">
        <v>683.59</v>
      </c>
      <c r="L981">
        <v>725</v>
      </c>
      <c r="M981">
        <v>725</v>
      </c>
      <c r="N981">
        <v>41.41</v>
      </c>
      <c r="O981">
        <v>683.59</v>
      </c>
      <c r="P981" t="s">
        <v>113</v>
      </c>
      <c r="Q981" t="s">
        <v>35</v>
      </c>
      <c r="R981" t="s">
        <v>59</v>
      </c>
      <c r="S981" t="str">
        <f>TRIM(PROPER(_xlfn.XLOOKUP(Table1[[#This Row],[ProductID_Clean]],Table3[ProductID],Table3[Category],"Missing Value",0)))</f>
        <v>Sensors</v>
      </c>
      <c r="T981" t="str">
        <f>_xlfn.XLOOKUP(Table1[[#This Row],[CustomerID_Check]],Table2[CustomerID],Table2[CustomerType],"Missing Value",0)</f>
        <v>Standard</v>
      </c>
    </row>
    <row r="982" spans="1:20">
      <c r="A982" t="s">
        <v>1237</v>
      </c>
      <c r="B982" s="1">
        <v>45724</v>
      </c>
      <c r="C982" t="s">
        <v>157</v>
      </c>
      <c r="D982" t="str">
        <f>UPPER(Table1[[#This Row],[ProductID_Clean]])</f>
        <v>P-SA-004</v>
      </c>
      <c r="E982" t="s">
        <v>86</v>
      </c>
      <c r="F982" t="s">
        <v>23</v>
      </c>
      <c r="G982" t="str">
        <f>TRIM(Table1[[#This Row],[Region_Clean]])</f>
        <v>N. AMERICA</v>
      </c>
      <c r="H982" t="s">
        <v>53</v>
      </c>
      <c r="I982" t="s">
        <v>25</v>
      </c>
      <c r="J982" s="3">
        <v>1</v>
      </c>
      <c r="K982" s="3">
        <v>1508.81</v>
      </c>
      <c r="L982">
        <v>1650</v>
      </c>
      <c r="M982">
        <v>1650</v>
      </c>
      <c r="N982">
        <v>141.19</v>
      </c>
      <c r="O982">
        <v>1508.81</v>
      </c>
      <c r="P982" t="s">
        <v>26</v>
      </c>
      <c r="Q982" t="s">
        <v>54</v>
      </c>
      <c r="R982" t="s">
        <v>36</v>
      </c>
      <c r="S982" t="str">
        <f>TRIM(PROPER(_xlfn.XLOOKUP(Table1[[#This Row],[ProductID_Clean]],Table3[ProductID],Table3[Category],"Missing Value",0)))</f>
        <v>Software</v>
      </c>
      <c r="T982" t="str">
        <f>_xlfn.XLOOKUP(Table1[[#This Row],[CustomerID_Check]],Table2[CustomerID],Table2[CustomerType],"Missing Value",0)</f>
        <v>Key Account</v>
      </c>
    </row>
    <row r="983" spans="1:20">
      <c r="A983" t="s">
        <v>1238</v>
      </c>
      <c r="B983" s="1">
        <v>45807</v>
      </c>
      <c r="C983" t="s">
        <v>252</v>
      </c>
      <c r="D983" t="str">
        <f>UPPER(Table1[[#This Row],[ProductID_Clean]])</f>
        <v>P-SI-003</v>
      </c>
      <c r="E983" t="s">
        <v>39</v>
      </c>
      <c r="F983" t="s">
        <v>23</v>
      </c>
      <c r="G983" t="str">
        <f>TRIM(Table1[[#This Row],[Region_Clean]])</f>
        <v>N. AMERICA</v>
      </c>
      <c r="H983" t="s">
        <v>24</v>
      </c>
      <c r="I983" t="s">
        <v>25</v>
      </c>
      <c r="J983" s="3">
        <v>5</v>
      </c>
      <c r="K983" s="3">
        <v>1703.33</v>
      </c>
      <c r="L983">
        <v>1890</v>
      </c>
      <c r="M983">
        <v>9450</v>
      </c>
      <c r="N983">
        <v>933.35</v>
      </c>
      <c r="O983">
        <v>8516.65</v>
      </c>
      <c r="P983" t="s">
        <v>26</v>
      </c>
      <c r="Q983" t="s">
        <v>65</v>
      </c>
      <c r="R983" t="s">
        <v>44</v>
      </c>
      <c r="S983" t="str">
        <f>TRIM(PROPER(_xlfn.XLOOKUP(Table1[[#This Row],[ProductID_Clean]],Table3[ProductID],Table3[Category],"Missing Value",0)))</f>
        <v>Instruments</v>
      </c>
      <c r="T983" t="str">
        <f>_xlfn.XLOOKUP(Table1[[#This Row],[CustomerID_Check]],Table2[CustomerID],Table2[CustomerType],"Missing Value",0)</f>
        <v>Strategic</v>
      </c>
    </row>
    <row r="984" spans="1:20">
      <c r="A984" t="s">
        <v>1239</v>
      </c>
      <c r="B984" s="1">
        <v>45733</v>
      </c>
      <c r="C984" t="s">
        <v>559</v>
      </c>
      <c r="D984" t="str">
        <f>UPPER(Table1[[#This Row],[ProductID_Clean]])</f>
        <v>P-SI-008</v>
      </c>
      <c r="E984" t="s">
        <v>152</v>
      </c>
      <c r="F984" t="s">
        <v>58</v>
      </c>
      <c r="G984" t="str">
        <f>TRIM(Table1[[#This Row],[Region_Clean]])</f>
        <v>APAC</v>
      </c>
      <c r="H984" t="s">
        <v>24</v>
      </c>
      <c r="I984" t="s">
        <v>87</v>
      </c>
      <c r="J984" s="3">
        <v>10</v>
      </c>
      <c r="K984" s="3">
        <v>759.45</v>
      </c>
      <c r="L984">
        <v>950</v>
      </c>
      <c r="M984">
        <v>9500</v>
      </c>
      <c r="N984">
        <v>1905.5</v>
      </c>
      <c r="O984">
        <v>7594.5</v>
      </c>
      <c r="P984" t="s">
        <v>26</v>
      </c>
      <c r="Q984" t="s">
        <v>27</v>
      </c>
      <c r="R984" t="s">
        <v>36</v>
      </c>
      <c r="S984" t="str">
        <f>TRIM(PROPER(_xlfn.XLOOKUP(Table1[[#This Row],[ProductID_Clean]],Table3[ProductID],Table3[Category],"Missing Value",0)))</f>
        <v>Instruments</v>
      </c>
      <c r="T984" t="str">
        <f>_xlfn.XLOOKUP(Table1[[#This Row],[CustomerID_Check]],Table2[CustomerID],Table2[CustomerType],"Missing Value",0)</f>
        <v>Standard</v>
      </c>
    </row>
    <row r="985" spans="1:20">
      <c r="A985" t="s">
        <v>1240</v>
      </c>
      <c r="B985" s="1">
        <v>45708</v>
      </c>
      <c r="C985" t="s">
        <v>190</v>
      </c>
      <c r="D985" t="str">
        <f>UPPER(Table1[[#This Row],[ProductID_Clean]])</f>
        <v>P-SI-004</v>
      </c>
      <c r="E985" t="s">
        <v>22</v>
      </c>
      <c r="F985" t="s">
        <v>47</v>
      </c>
      <c r="G985" t="str">
        <f>TRIM(Table1[[#This Row],[Region_Clean]])</f>
        <v>EMEA</v>
      </c>
      <c r="H985" t="s">
        <v>24</v>
      </c>
      <c r="I985" t="s">
        <v>87</v>
      </c>
      <c r="J985" s="3">
        <v>1</v>
      </c>
      <c r="K985" s="3">
        <v>1786.64</v>
      </c>
      <c r="L985">
        <v>2450</v>
      </c>
      <c r="M985">
        <v>2450</v>
      </c>
      <c r="N985">
        <v>663.36</v>
      </c>
      <c r="O985">
        <v>1786.64</v>
      </c>
      <c r="P985" t="s">
        <v>26</v>
      </c>
      <c r="Q985" t="s">
        <v>35</v>
      </c>
      <c r="R985" t="s">
        <v>36</v>
      </c>
      <c r="S985" t="str">
        <f>TRIM(PROPER(_xlfn.XLOOKUP(Table1[[#This Row],[ProductID_Clean]],Table3[ProductID],Table3[Category],"Missing Value",0)))</f>
        <v>Instruments</v>
      </c>
      <c r="T985" t="str">
        <f>_xlfn.XLOOKUP(Table1[[#This Row],[CustomerID_Check]],Table2[CustomerID],Table2[CustomerType],"Missing Value",0)</f>
        <v>Strategic</v>
      </c>
    </row>
    <row r="986" spans="1:20">
      <c r="A986" t="s">
        <v>1241</v>
      </c>
      <c r="B986" s="1">
        <v>45716</v>
      </c>
      <c r="C986" t="s">
        <v>266</v>
      </c>
      <c r="D986" t="str">
        <f>UPPER(Table1[[#This Row],[ProductID_Clean]])</f>
        <v>P-FS-001</v>
      </c>
      <c r="E986" t="s">
        <v>133</v>
      </c>
      <c r="F986" t="s">
        <v>23</v>
      </c>
      <c r="G986" t="str">
        <f>TRIM(Table1[[#This Row],[Region_Clean]])</f>
        <v>N. AMERICA</v>
      </c>
      <c r="H986" t="s">
        <v>82</v>
      </c>
      <c r="I986" t="s">
        <v>87</v>
      </c>
      <c r="J986" s="3">
        <v>1</v>
      </c>
      <c r="K986" s="3">
        <v>1219.67</v>
      </c>
      <c r="L986">
        <v>1850</v>
      </c>
      <c r="M986">
        <v>1850</v>
      </c>
      <c r="N986">
        <v>630.33000000000004</v>
      </c>
      <c r="O986">
        <v>1219.67</v>
      </c>
      <c r="P986" t="s">
        <v>26</v>
      </c>
      <c r="Q986" t="s">
        <v>35</v>
      </c>
      <c r="R986" t="s">
        <v>44</v>
      </c>
      <c r="S986" t="str">
        <f>TRIM(PROPER(_xlfn.XLOOKUP(Table1[[#This Row],[ProductID_Clean]],Table3[ProductID],Table3[Category],"Missing Value",0)))</f>
        <v>Services</v>
      </c>
      <c r="T986" t="str">
        <f>_xlfn.XLOOKUP(Table1[[#This Row],[CustomerID_Check]],Table2[CustomerID],Table2[CustomerType],"Missing Value",0)</f>
        <v>Strategic</v>
      </c>
    </row>
    <row r="987" spans="1:20">
      <c r="A987" t="s">
        <v>1242</v>
      </c>
      <c r="B987" s="1">
        <v>45785</v>
      </c>
      <c r="C987" t="s">
        <v>76</v>
      </c>
      <c r="D987" t="str">
        <f>UPPER(Table1[[#This Row],[ProductID_Clean]])</f>
        <v>P-SI-006</v>
      </c>
      <c r="E987" t="s">
        <v>43</v>
      </c>
      <c r="F987" t="s">
        <v>58</v>
      </c>
      <c r="G987" t="str">
        <f>TRIM(Table1[[#This Row],[Region_Clean]])</f>
        <v>APAC</v>
      </c>
      <c r="H987" t="s">
        <v>24</v>
      </c>
      <c r="I987" t="s">
        <v>34</v>
      </c>
      <c r="J987" s="3">
        <v>2</v>
      </c>
      <c r="K987" s="3">
        <v>165.43</v>
      </c>
      <c r="L987">
        <v>215</v>
      </c>
      <c r="M987">
        <v>430</v>
      </c>
      <c r="N987">
        <v>99.14</v>
      </c>
      <c r="O987">
        <v>330.86</v>
      </c>
      <c r="P987" t="s">
        <v>26</v>
      </c>
      <c r="Q987" t="s">
        <v>27</v>
      </c>
      <c r="R987" t="s">
        <v>48</v>
      </c>
      <c r="S987" t="str">
        <f>TRIM(PROPER(_xlfn.XLOOKUP(Table1[[#This Row],[ProductID_Clean]],Table3[ProductID],Table3[Category],"Missing Value",0)))</f>
        <v>Sensors</v>
      </c>
      <c r="T987" t="str">
        <f>_xlfn.XLOOKUP(Table1[[#This Row],[CustomerID_Check]],Table2[CustomerID],Table2[CustomerType],"Missing Value",0)</f>
        <v>Missing Value</v>
      </c>
    </row>
    <row r="988" spans="1:20">
      <c r="A988" t="s">
        <v>1243</v>
      </c>
      <c r="B988" s="1">
        <v>45825</v>
      </c>
      <c r="C988" t="s">
        <v>163</v>
      </c>
      <c r="D988" t="str">
        <f>UPPER(Table1[[#This Row],[ProductID_Clean]])</f>
        <v>P-SI-006</v>
      </c>
      <c r="E988" t="s">
        <v>43</v>
      </c>
      <c r="F988" t="s">
        <v>23</v>
      </c>
      <c r="G988" t="str">
        <f>TRIM(Table1[[#This Row],[Region_Clean]])</f>
        <v>N. AMERICA</v>
      </c>
      <c r="H988" t="s">
        <v>24</v>
      </c>
      <c r="I988" t="s">
        <v>87</v>
      </c>
      <c r="J988" s="3">
        <v>10</v>
      </c>
      <c r="K988" s="3">
        <v>156.9</v>
      </c>
      <c r="L988">
        <v>215</v>
      </c>
      <c r="M988">
        <v>2150</v>
      </c>
      <c r="N988">
        <v>581</v>
      </c>
      <c r="O988">
        <v>1569</v>
      </c>
      <c r="P988" t="s">
        <v>26</v>
      </c>
      <c r="Q988" t="s">
        <v>27</v>
      </c>
      <c r="R988" t="s">
        <v>28</v>
      </c>
      <c r="S988" t="str">
        <f>TRIM(PROPER(_xlfn.XLOOKUP(Table1[[#This Row],[ProductID_Clean]],Table3[ProductID],Table3[Category],"Missing Value",0)))</f>
        <v>Sensors</v>
      </c>
      <c r="T988" t="str">
        <f>_xlfn.XLOOKUP(Table1[[#This Row],[CustomerID_Check]],Table2[CustomerID],Table2[CustomerType],"Missing Value",0)</f>
        <v>Strategic</v>
      </c>
    </row>
    <row r="989" spans="1:20">
      <c r="A989" t="s">
        <v>1244</v>
      </c>
      <c r="B989" s="1">
        <v>45744</v>
      </c>
      <c r="C989" t="s">
        <v>182</v>
      </c>
      <c r="D989" t="str">
        <f>UPPER(Table1[[#This Row],[ProductID_Clean]])</f>
        <v>P-FS-004</v>
      </c>
      <c r="E989" t="s">
        <v>432</v>
      </c>
      <c r="F989" t="s">
        <v>47</v>
      </c>
      <c r="G989" t="str">
        <f>TRIM(Table1[[#This Row],[Region_Clean]])</f>
        <v>EMEA</v>
      </c>
      <c r="H989" t="s">
        <v>82</v>
      </c>
      <c r="I989" t="s">
        <v>25</v>
      </c>
      <c r="J989" s="3">
        <v>1</v>
      </c>
      <c r="K989" s="3">
        <v>3014.21</v>
      </c>
      <c r="L989">
        <v>3200</v>
      </c>
      <c r="M989">
        <v>3200</v>
      </c>
      <c r="N989">
        <v>185.79</v>
      </c>
      <c r="O989">
        <v>3014.21</v>
      </c>
      <c r="P989" t="s">
        <v>26</v>
      </c>
      <c r="Q989" t="s">
        <v>35</v>
      </c>
      <c r="R989" t="s">
        <v>44</v>
      </c>
      <c r="S989" t="str">
        <f>TRIM(PROPER(_xlfn.XLOOKUP(Table1[[#This Row],[ProductID_Clean]],Table3[ProductID],Table3[Category],"Missing Value",0)))</f>
        <v>Services</v>
      </c>
      <c r="T989" t="str">
        <f>_xlfn.XLOOKUP(Table1[[#This Row],[CustomerID_Check]],Table2[CustomerID],Table2[CustomerType],"Missing Value",0)</f>
        <v>Key Account</v>
      </c>
    </row>
    <row r="990" spans="1:20">
      <c r="A990" t="s">
        <v>1245</v>
      </c>
      <c r="B990" s="1">
        <v>45822</v>
      </c>
      <c r="C990" t="s">
        <v>46</v>
      </c>
      <c r="D990" t="str">
        <f>UPPER(Table1[[#This Row],[ProductID_Clean]])</f>
        <v>P-SI-006</v>
      </c>
      <c r="E990" t="s">
        <v>43</v>
      </c>
      <c r="F990" t="s">
        <v>47</v>
      </c>
      <c r="G990" t="str">
        <f>TRIM(Table1[[#This Row],[Region_Clean]])</f>
        <v>EMEA</v>
      </c>
      <c r="H990" t="s">
        <v>24</v>
      </c>
      <c r="I990" t="s">
        <v>34</v>
      </c>
      <c r="J990" s="3">
        <v>15</v>
      </c>
      <c r="K990" s="3">
        <v>172.08</v>
      </c>
      <c r="L990">
        <v>215</v>
      </c>
      <c r="M990">
        <v>3225</v>
      </c>
      <c r="N990">
        <v>643.79999999999995</v>
      </c>
      <c r="O990">
        <v>2581.1999999999998</v>
      </c>
      <c r="P990" t="s">
        <v>26</v>
      </c>
      <c r="Q990" t="s">
        <v>35</v>
      </c>
      <c r="R990" t="s">
        <v>48</v>
      </c>
      <c r="S990" t="str">
        <f>TRIM(PROPER(_xlfn.XLOOKUP(Table1[[#This Row],[ProductID_Clean]],Table3[ProductID],Table3[Category],"Missing Value",0)))</f>
        <v>Sensors</v>
      </c>
      <c r="T990" t="str">
        <f>_xlfn.XLOOKUP(Table1[[#This Row],[CustomerID_Check]],Table2[CustomerID],Table2[CustomerType],"Missing Value",0)</f>
        <v>Strategic</v>
      </c>
    </row>
    <row r="991" spans="1:20">
      <c r="A991" t="s">
        <v>1246</v>
      </c>
      <c r="B991" s="1">
        <v>45783</v>
      </c>
      <c r="C991" t="s">
        <v>194</v>
      </c>
      <c r="D991" t="str">
        <f>UPPER(Table1[[#This Row],[ProductID_Clean]])</f>
        <v>P-SI-006</v>
      </c>
      <c r="E991" t="s">
        <v>43</v>
      </c>
      <c r="F991" t="s">
        <v>23</v>
      </c>
      <c r="G991" t="str">
        <f>TRIM(Table1[[#This Row],[Region_Clean]])</f>
        <v>N. AMERICA</v>
      </c>
      <c r="H991" t="s">
        <v>24</v>
      </c>
      <c r="I991" t="s">
        <v>25</v>
      </c>
      <c r="J991" s="3">
        <v>10</v>
      </c>
      <c r="K991" s="3">
        <v>164.3</v>
      </c>
      <c r="L991">
        <v>215</v>
      </c>
      <c r="M991">
        <v>2150</v>
      </c>
      <c r="N991">
        <v>507</v>
      </c>
      <c r="O991">
        <v>1643</v>
      </c>
      <c r="P991" t="s">
        <v>26</v>
      </c>
      <c r="Q991" t="s">
        <v>35</v>
      </c>
      <c r="R991" t="s">
        <v>36</v>
      </c>
      <c r="S991" t="str">
        <f>TRIM(PROPER(_xlfn.XLOOKUP(Table1[[#This Row],[ProductID_Clean]],Table3[ProductID],Table3[Category],"Missing Value",0)))</f>
        <v>Sensors</v>
      </c>
      <c r="T991" t="str">
        <f>_xlfn.XLOOKUP(Table1[[#This Row],[CustomerID_Check]],Table2[CustomerID],Table2[CustomerType],"Missing Value",0)</f>
        <v>Strategic</v>
      </c>
    </row>
    <row r="992" spans="1:20">
      <c r="A992" t="s">
        <v>1247</v>
      </c>
      <c r="B992" s="1">
        <v>45701</v>
      </c>
      <c r="C992" t="s">
        <v>276</v>
      </c>
      <c r="D992" t="str">
        <f>UPPER(Table1[[#This Row],[ProductID_Clean]])</f>
        <v>P-SI-007</v>
      </c>
      <c r="E992" t="s">
        <v>97</v>
      </c>
      <c r="F992" t="s">
        <v>58</v>
      </c>
      <c r="G992" t="str">
        <f>TRIM(Table1[[#This Row],[Region_Clean]])</f>
        <v>APAC</v>
      </c>
      <c r="H992" t="s">
        <v>24</v>
      </c>
      <c r="I992" t="s">
        <v>87</v>
      </c>
      <c r="J992" s="3">
        <v>1</v>
      </c>
      <c r="K992" s="3">
        <v>751.73</v>
      </c>
      <c r="L992">
        <v>980</v>
      </c>
      <c r="M992">
        <v>980</v>
      </c>
      <c r="N992">
        <v>228.27</v>
      </c>
      <c r="O992">
        <v>751.73</v>
      </c>
      <c r="P992" t="s">
        <v>26</v>
      </c>
      <c r="Q992" t="s">
        <v>35</v>
      </c>
      <c r="R992" t="s">
        <v>59</v>
      </c>
      <c r="S992" t="str">
        <f>TRIM(PROPER(_xlfn.XLOOKUP(Table1[[#This Row],[ProductID_Clean]],Table3[ProductID],Table3[Category],"Missing Value",0)))</f>
        <v>Sensors</v>
      </c>
      <c r="T992" t="str">
        <f>_xlfn.XLOOKUP(Table1[[#This Row],[CustomerID_Check]],Table2[CustomerID],Table2[CustomerType],"Missing Value",0)</f>
        <v>Key Account</v>
      </c>
    </row>
    <row r="993" spans="1:20">
      <c r="A993" t="s">
        <v>1248</v>
      </c>
      <c r="B993" s="1">
        <v>45748</v>
      </c>
      <c r="C993" t="s">
        <v>112</v>
      </c>
      <c r="D993" t="str">
        <f>UPPER(Table1[[#This Row],[ProductID_Clean]])</f>
        <v>P-FS-002</v>
      </c>
      <c r="E993" t="s">
        <v>81</v>
      </c>
      <c r="F993" t="s">
        <v>58</v>
      </c>
      <c r="G993" t="str">
        <f>TRIM(Table1[[#This Row],[Region_Clean]])</f>
        <v>APAC</v>
      </c>
      <c r="H993" t="s">
        <v>82</v>
      </c>
      <c r="I993" t="s">
        <v>34</v>
      </c>
      <c r="J993" s="3">
        <v>1</v>
      </c>
      <c r="K993" s="3">
        <v>2050.91</v>
      </c>
      <c r="L993">
        <v>2400</v>
      </c>
      <c r="M993">
        <v>2400</v>
      </c>
      <c r="N993">
        <v>349.09</v>
      </c>
      <c r="O993">
        <v>2050.91</v>
      </c>
      <c r="P993" t="s">
        <v>113</v>
      </c>
      <c r="Q993" t="s">
        <v>94</v>
      </c>
      <c r="R993" t="s">
        <v>36</v>
      </c>
      <c r="S993" t="str">
        <f>TRIM(PROPER(_xlfn.XLOOKUP(Table1[[#This Row],[ProductID_Clean]],Table3[ProductID],Table3[Category],"Missing Value",0)))</f>
        <v>Services</v>
      </c>
      <c r="T993" t="str">
        <f>_xlfn.XLOOKUP(Table1[[#This Row],[CustomerID_Check]],Table2[CustomerID],Table2[CustomerType],"Missing Value",0)</f>
        <v>Key Account</v>
      </c>
    </row>
    <row r="994" spans="1:20">
      <c r="A994" t="s">
        <v>1249</v>
      </c>
      <c r="B994" s="1">
        <v>45693</v>
      </c>
      <c r="C994" t="s">
        <v>188</v>
      </c>
      <c r="D994" t="str">
        <f>UPPER(Table1[[#This Row],[ProductID_Clean]])</f>
        <v>P-FS-006</v>
      </c>
      <c r="E994" t="s">
        <v>92</v>
      </c>
      <c r="F994" t="s">
        <v>58</v>
      </c>
      <c r="G994" t="str">
        <f>TRIM(Table1[[#This Row],[Region_Clean]])</f>
        <v>APAC</v>
      </c>
      <c r="H994" t="s">
        <v>82</v>
      </c>
      <c r="I994" t="s">
        <v>25</v>
      </c>
      <c r="J994" s="3">
        <v>1</v>
      </c>
      <c r="K994" s="3">
        <v>1150.02</v>
      </c>
      <c r="L994">
        <v>1450</v>
      </c>
      <c r="M994">
        <v>1450</v>
      </c>
      <c r="N994">
        <v>299.98</v>
      </c>
      <c r="O994">
        <v>1150.02</v>
      </c>
      <c r="P994" t="s">
        <v>26</v>
      </c>
      <c r="Q994" t="s">
        <v>35</v>
      </c>
      <c r="R994" t="s">
        <v>44</v>
      </c>
      <c r="S994" t="str">
        <f>TRIM(PROPER(_xlfn.XLOOKUP(Table1[[#This Row],[ProductID_Clean]],Table3[ProductID],Table3[Category],"Missing Value",0)))</f>
        <v>Services</v>
      </c>
      <c r="T994" t="str">
        <f>_xlfn.XLOOKUP(Table1[[#This Row],[CustomerID_Check]],Table2[CustomerID],Table2[CustomerType],"Missing Value",0)</f>
        <v>Key Account</v>
      </c>
    </row>
    <row r="995" spans="1:20">
      <c r="A995" t="s">
        <v>1250</v>
      </c>
      <c r="B995" s="1">
        <v>45797</v>
      </c>
      <c r="C995" t="s">
        <v>212</v>
      </c>
      <c r="D995" t="str">
        <f>UPPER(Table1[[#This Row],[ProductID_Clean]])</f>
        <v>P-SI-003</v>
      </c>
      <c r="E995" t="s">
        <v>39</v>
      </c>
      <c r="F995" t="s">
        <v>47</v>
      </c>
      <c r="G995" t="str">
        <f>TRIM(Table1[[#This Row],[Region_Clean]])</f>
        <v>EMEA</v>
      </c>
      <c r="H995" t="s">
        <v>24</v>
      </c>
      <c r="I995" t="s">
        <v>34</v>
      </c>
      <c r="J995" s="3">
        <v>3</v>
      </c>
      <c r="K995" s="3">
        <v>1686.63</v>
      </c>
      <c r="L995">
        <v>1890</v>
      </c>
      <c r="M995">
        <v>5670</v>
      </c>
      <c r="N995">
        <v>610.11</v>
      </c>
      <c r="O995">
        <v>5059.8900000000003</v>
      </c>
      <c r="P995" t="s">
        <v>26</v>
      </c>
      <c r="Q995" t="s">
        <v>40</v>
      </c>
      <c r="R995" t="s">
        <v>44</v>
      </c>
      <c r="S995" t="str">
        <f>TRIM(PROPER(_xlfn.XLOOKUP(Table1[[#This Row],[ProductID_Clean]],Table3[ProductID],Table3[Category],"Missing Value",0)))</f>
        <v>Instruments</v>
      </c>
      <c r="T995" t="str">
        <f>_xlfn.XLOOKUP(Table1[[#This Row],[CustomerID_Check]],Table2[CustomerID],Table2[CustomerType],"Missing Value",0)</f>
        <v>Key Account</v>
      </c>
    </row>
    <row r="996" spans="1:20">
      <c r="A996" t="s">
        <v>1251</v>
      </c>
      <c r="B996" s="1">
        <v>45705</v>
      </c>
      <c r="C996" t="s">
        <v>204</v>
      </c>
      <c r="D996" t="str">
        <f>UPPER(Table1[[#This Row],[ProductID_Clean]])</f>
        <v>P-SI-007</v>
      </c>
      <c r="E996" t="s">
        <v>97</v>
      </c>
      <c r="F996" t="s">
        <v>47</v>
      </c>
      <c r="G996" t="str">
        <f>TRIM(Table1[[#This Row],[Region_Clean]])</f>
        <v>EMEA</v>
      </c>
      <c r="H996" t="s">
        <v>24</v>
      </c>
      <c r="I996" t="s">
        <v>87</v>
      </c>
      <c r="J996" s="3">
        <v>8</v>
      </c>
      <c r="K996" s="3">
        <v>875.81</v>
      </c>
      <c r="L996">
        <v>980</v>
      </c>
      <c r="M996">
        <v>7840</v>
      </c>
      <c r="N996">
        <v>833.52</v>
      </c>
      <c r="O996">
        <v>7006.48</v>
      </c>
      <c r="P996" t="s">
        <v>26</v>
      </c>
      <c r="Q996" t="s">
        <v>35</v>
      </c>
      <c r="R996" t="s">
        <v>48</v>
      </c>
      <c r="S996" t="str">
        <f>TRIM(PROPER(_xlfn.XLOOKUP(Table1[[#This Row],[ProductID_Clean]],Table3[ProductID],Table3[Category],"Missing Value",0)))</f>
        <v>Sensors</v>
      </c>
      <c r="T996" t="str">
        <f>_xlfn.XLOOKUP(Table1[[#This Row],[CustomerID_Check]],Table2[CustomerID],Table2[CustomerType],"Missing Value",0)</f>
        <v>Standard</v>
      </c>
    </row>
    <row r="997" spans="1:20">
      <c r="A997" t="s">
        <v>1252</v>
      </c>
      <c r="B997" s="1">
        <v>45822</v>
      </c>
      <c r="C997" t="s">
        <v>76</v>
      </c>
      <c r="D997" t="str">
        <f>UPPER(Table1[[#This Row],[ProductID_Clean]])</f>
        <v>P-SI-006</v>
      </c>
      <c r="E997" t="s">
        <v>43</v>
      </c>
      <c r="F997" t="s">
        <v>47</v>
      </c>
      <c r="G997" t="str">
        <f>TRIM(Table1[[#This Row],[Region_Clean]])</f>
        <v>EMEA</v>
      </c>
      <c r="H997" t="s">
        <v>24</v>
      </c>
      <c r="I997" t="s">
        <v>25</v>
      </c>
      <c r="J997" s="3">
        <v>2</v>
      </c>
      <c r="K997" s="3">
        <v>154.74</v>
      </c>
      <c r="L997">
        <v>215</v>
      </c>
      <c r="M997">
        <v>430</v>
      </c>
      <c r="N997">
        <v>120.52</v>
      </c>
      <c r="O997">
        <v>309.48</v>
      </c>
      <c r="P997" t="s">
        <v>113</v>
      </c>
      <c r="Q997" t="s">
        <v>27</v>
      </c>
      <c r="R997" t="s">
        <v>48</v>
      </c>
      <c r="S997" t="str">
        <f>TRIM(PROPER(_xlfn.XLOOKUP(Table1[[#This Row],[ProductID_Clean]],Table3[ProductID],Table3[Category],"Missing Value",0)))</f>
        <v>Sensors</v>
      </c>
      <c r="T997" t="str">
        <f>_xlfn.XLOOKUP(Table1[[#This Row],[CustomerID_Check]],Table2[CustomerID],Table2[CustomerType],"Missing Value",0)</f>
        <v>Missing Value</v>
      </c>
    </row>
    <row r="998" spans="1:20">
      <c r="A998" t="s">
        <v>1253</v>
      </c>
      <c r="B998" s="1">
        <v>45792</v>
      </c>
      <c r="C998" t="s">
        <v>457</v>
      </c>
      <c r="D998" t="str">
        <f>UPPER(Table1[[#This Row],[ProductID_Clean]])</f>
        <v>P-SI-007</v>
      </c>
      <c r="E998" t="s">
        <v>97</v>
      </c>
      <c r="F998" t="s">
        <v>23</v>
      </c>
      <c r="G998" t="str">
        <f>TRIM(Table1[[#This Row],[Region_Clean]])</f>
        <v>N. AMERICA</v>
      </c>
      <c r="H998" t="s">
        <v>24</v>
      </c>
      <c r="I998" t="s">
        <v>25</v>
      </c>
      <c r="J998" s="3">
        <v>10</v>
      </c>
      <c r="K998" s="3">
        <v>882.7</v>
      </c>
      <c r="L998">
        <v>980</v>
      </c>
      <c r="M998">
        <v>9800</v>
      </c>
      <c r="N998">
        <v>973</v>
      </c>
      <c r="O998">
        <v>8827</v>
      </c>
      <c r="P998" t="s">
        <v>26</v>
      </c>
      <c r="Q998" t="s">
        <v>27</v>
      </c>
      <c r="R998" t="s">
        <v>28</v>
      </c>
      <c r="S998" t="str">
        <f>TRIM(PROPER(_xlfn.XLOOKUP(Table1[[#This Row],[ProductID_Clean]],Table3[ProductID],Table3[Category],"Missing Value",0)))</f>
        <v>Sensors</v>
      </c>
      <c r="T998" t="str">
        <f>_xlfn.XLOOKUP(Table1[[#This Row],[CustomerID_Check]],Table2[CustomerID],Table2[CustomerType],"Missing Value",0)</f>
        <v>Key Account</v>
      </c>
    </row>
    <row r="999" spans="1:20">
      <c r="A999" t="s">
        <v>1254</v>
      </c>
      <c r="B999" s="1">
        <v>45677</v>
      </c>
      <c r="C999" t="s">
        <v>527</v>
      </c>
      <c r="D999" t="str">
        <f>UPPER(Table1[[#This Row],[ProductID_Clean]])</f>
        <v>P-SI-006</v>
      </c>
      <c r="E999" t="s">
        <v>43</v>
      </c>
      <c r="F999" t="s">
        <v>23</v>
      </c>
      <c r="G999" t="str">
        <f>TRIM(Table1[[#This Row],[Region_Clean]])</f>
        <v>N. AMERICA</v>
      </c>
      <c r="H999" t="s">
        <v>24</v>
      </c>
      <c r="I999" t="s">
        <v>25</v>
      </c>
      <c r="J999" s="3">
        <v>1</v>
      </c>
      <c r="K999" s="3">
        <v>182.51</v>
      </c>
      <c r="L999">
        <v>215</v>
      </c>
      <c r="M999">
        <v>215</v>
      </c>
      <c r="N999">
        <v>32.49</v>
      </c>
      <c r="O999">
        <v>182.51</v>
      </c>
      <c r="P999" t="s">
        <v>113</v>
      </c>
      <c r="Q999" t="s">
        <v>65</v>
      </c>
      <c r="R999" t="s">
        <v>44</v>
      </c>
      <c r="S999" t="str">
        <f>TRIM(PROPER(_xlfn.XLOOKUP(Table1[[#This Row],[ProductID_Clean]],Table3[ProductID],Table3[Category],"Missing Value",0)))</f>
        <v>Sensors</v>
      </c>
      <c r="T999" t="str">
        <f>_xlfn.XLOOKUP(Table1[[#This Row],[CustomerID_Check]],Table2[CustomerID],Table2[CustomerType],"Missing Value",0)</f>
        <v>Standard</v>
      </c>
    </row>
    <row r="1000" spans="1:20">
      <c r="A1000" t="s">
        <v>1255</v>
      </c>
      <c r="B1000" s="1">
        <v>45748</v>
      </c>
      <c r="C1000" t="s">
        <v>279</v>
      </c>
      <c r="D1000" t="str">
        <f>UPPER(Table1[[#This Row],[ProductID_Clean]])</f>
        <v>P-SA-003</v>
      </c>
      <c r="E1000" t="s">
        <v>51</v>
      </c>
      <c r="F1000" t="s">
        <v>47</v>
      </c>
      <c r="G1000" t="str">
        <f>TRIM(Table1[[#This Row],[Region_Clean]])</f>
        <v>EMEA</v>
      </c>
      <c r="H1000" t="s">
        <v>53</v>
      </c>
      <c r="I1000" t="s">
        <v>87</v>
      </c>
      <c r="J1000" s="3">
        <v>3</v>
      </c>
      <c r="K1000" s="3">
        <v>2243.29</v>
      </c>
      <c r="L1000">
        <v>2750</v>
      </c>
      <c r="M1000">
        <v>8250</v>
      </c>
      <c r="N1000">
        <v>1520.13</v>
      </c>
      <c r="O1000">
        <v>6729.87</v>
      </c>
      <c r="P1000" t="s">
        <v>26</v>
      </c>
      <c r="Q1000" t="s">
        <v>189</v>
      </c>
      <c r="R1000" t="s">
        <v>36</v>
      </c>
      <c r="S1000" t="str">
        <f>TRIM(PROPER(_xlfn.XLOOKUP(Table1[[#This Row],[ProductID_Clean]],Table3[ProductID],Table3[Category],"Missing Value",0)))</f>
        <v>Software</v>
      </c>
      <c r="T1000" t="str">
        <f>_xlfn.XLOOKUP(Table1[[#This Row],[CustomerID_Check]],Table2[CustomerID],Table2[CustomerType],"Missing Value",0)</f>
        <v>Key Account</v>
      </c>
    </row>
    <row r="1001" spans="1:20">
      <c r="A1001" t="s">
        <v>1256</v>
      </c>
      <c r="B1001" s="1">
        <v>45763</v>
      </c>
      <c r="C1001" t="s">
        <v>496</v>
      </c>
      <c r="D1001" t="str">
        <f>UPPER(Table1[[#This Row],[ProductID_Clean]])</f>
        <v>P-SI-007</v>
      </c>
      <c r="E1001" t="s">
        <v>97</v>
      </c>
      <c r="F1001" t="s">
        <v>47</v>
      </c>
      <c r="G1001" t="str">
        <f>TRIM(Table1[[#This Row],[Region_Clean]])</f>
        <v>EMEA</v>
      </c>
      <c r="H1001" t="s">
        <v>24</v>
      </c>
      <c r="I1001" t="s">
        <v>25</v>
      </c>
      <c r="J1001" s="3">
        <v>3</v>
      </c>
      <c r="K1001" s="3">
        <v>822.52</v>
      </c>
      <c r="L1001">
        <v>980</v>
      </c>
      <c r="M1001">
        <v>2940</v>
      </c>
      <c r="N1001">
        <v>472.44</v>
      </c>
      <c r="O1001">
        <v>2467.56</v>
      </c>
      <c r="P1001" t="s">
        <v>26</v>
      </c>
      <c r="Q1001" t="s">
        <v>35</v>
      </c>
      <c r="R1001" t="s">
        <v>36</v>
      </c>
      <c r="S1001" t="str">
        <f>TRIM(PROPER(_xlfn.XLOOKUP(Table1[[#This Row],[ProductID_Clean]],Table3[ProductID],Table3[Category],"Missing Value",0)))</f>
        <v>Sensors</v>
      </c>
      <c r="T1001" t="str">
        <f>_xlfn.XLOOKUP(Table1[[#This Row],[CustomerID_Check]],Table2[CustomerID],Table2[CustomerType],"Missing Value",0)</f>
        <v>Key Account</v>
      </c>
    </row>
    <row r="1002" spans="1:20">
      <c r="A1002" t="s">
        <v>1257</v>
      </c>
      <c r="B1002" s="1">
        <v>45819</v>
      </c>
      <c r="C1002" t="s">
        <v>602</v>
      </c>
      <c r="D1002" t="str">
        <f>UPPER(Table1[[#This Row],[ProductID_Clean]])</f>
        <v>P-SA-004</v>
      </c>
      <c r="E1002" t="s">
        <v>86</v>
      </c>
      <c r="F1002" t="s">
        <v>23</v>
      </c>
      <c r="G1002" t="str">
        <f>TRIM(Table1[[#This Row],[Region_Clean]])</f>
        <v>N. AMERICA</v>
      </c>
      <c r="H1002" t="s">
        <v>53</v>
      </c>
      <c r="I1002" t="s">
        <v>34</v>
      </c>
      <c r="J1002" s="3">
        <v>1</v>
      </c>
      <c r="K1002" s="3">
        <v>1491.26</v>
      </c>
      <c r="L1002">
        <v>1650</v>
      </c>
      <c r="M1002">
        <v>1650</v>
      </c>
      <c r="N1002">
        <v>158.74</v>
      </c>
      <c r="O1002">
        <v>1491.26</v>
      </c>
      <c r="P1002" t="s">
        <v>26</v>
      </c>
      <c r="Q1002" t="s">
        <v>54</v>
      </c>
      <c r="R1002" t="s">
        <v>48</v>
      </c>
      <c r="S1002" t="str">
        <f>TRIM(PROPER(_xlfn.XLOOKUP(Table1[[#This Row],[ProductID_Clean]],Table3[ProductID],Table3[Category],"Missing Value",0)))</f>
        <v>Software</v>
      </c>
      <c r="T1002" t="str">
        <f>_xlfn.XLOOKUP(Table1[[#This Row],[CustomerID_Check]],Table2[CustomerID],Table2[CustomerType],"Missing Value",0)</f>
        <v>Standard</v>
      </c>
    </row>
    <row r="1003" spans="1:20">
      <c r="A1003" t="s">
        <v>1258</v>
      </c>
      <c r="B1003" s="1">
        <v>45675</v>
      </c>
      <c r="C1003" t="s">
        <v>114</v>
      </c>
      <c r="D1003" t="str">
        <f>UPPER(Table1[[#This Row],[ProductID_Clean]])</f>
        <v>P-FS-002</v>
      </c>
      <c r="E1003" t="s">
        <v>81</v>
      </c>
      <c r="F1003" t="s">
        <v>47</v>
      </c>
      <c r="G1003" t="str">
        <f>TRIM(Table1[[#This Row],[Region_Clean]])</f>
        <v>EMEA</v>
      </c>
      <c r="H1003" t="s">
        <v>82</v>
      </c>
      <c r="I1003" t="s">
        <v>87</v>
      </c>
      <c r="J1003" s="3">
        <v>1</v>
      </c>
      <c r="K1003" s="3">
        <v>2046.96</v>
      </c>
      <c r="L1003">
        <v>2400</v>
      </c>
      <c r="M1003">
        <v>2400</v>
      </c>
      <c r="N1003">
        <v>353.04</v>
      </c>
      <c r="O1003">
        <v>2046.96</v>
      </c>
      <c r="P1003" t="s">
        <v>26</v>
      </c>
      <c r="Q1003" t="s">
        <v>83</v>
      </c>
      <c r="R1003" t="s">
        <v>36</v>
      </c>
      <c r="S1003" t="str">
        <f>TRIM(PROPER(_xlfn.XLOOKUP(Table1[[#This Row],[ProductID_Clean]],Table3[ProductID],Table3[Category],"Missing Value",0)))</f>
        <v>Services</v>
      </c>
      <c r="T1003" t="str">
        <f>_xlfn.XLOOKUP(Table1[[#This Row],[CustomerID_Check]],Table2[CustomerID],Table2[CustomerType],"Missing Value",0)</f>
        <v>Standard</v>
      </c>
    </row>
    <row r="1004" spans="1:20">
      <c r="A1004" t="s">
        <v>1259</v>
      </c>
      <c r="B1004" s="1">
        <v>45696</v>
      </c>
      <c r="C1004" t="s">
        <v>225</v>
      </c>
      <c r="D1004" t="str">
        <f>UPPER(Table1[[#This Row],[ProductID_Clean]])</f>
        <v>P-SI-007</v>
      </c>
      <c r="E1004" t="s">
        <v>97</v>
      </c>
      <c r="F1004" t="s">
        <v>23</v>
      </c>
      <c r="G1004" t="str">
        <f>TRIM(Table1[[#This Row],[Region_Clean]])</f>
        <v>N. AMERICA</v>
      </c>
      <c r="H1004" t="s">
        <v>24</v>
      </c>
      <c r="I1004" t="s">
        <v>25</v>
      </c>
      <c r="J1004" s="3">
        <v>3</v>
      </c>
      <c r="K1004" s="3">
        <v>901.69</v>
      </c>
      <c r="L1004">
        <v>980</v>
      </c>
      <c r="M1004">
        <v>2940</v>
      </c>
      <c r="N1004">
        <v>234.93</v>
      </c>
      <c r="O1004">
        <v>2705.07</v>
      </c>
      <c r="P1004" t="s">
        <v>26</v>
      </c>
      <c r="Q1004" t="s">
        <v>35</v>
      </c>
      <c r="R1004" t="s">
        <v>36</v>
      </c>
      <c r="S1004" t="str">
        <f>TRIM(PROPER(_xlfn.XLOOKUP(Table1[[#This Row],[ProductID_Clean]],Table3[ProductID],Table3[Category],"Missing Value",0)))</f>
        <v>Sensors</v>
      </c>
      <c r="T1004" t="str">
        <f>_xlfn.XLOOKUP(Table1[[#This Row],[CustomerID_Check]],Table2[CustomerID],Table2[CustomerType],"Missing Value",0)</f>
        <v>Key Account</v>
      </c>
    </row>
    <row r="1005" spans="1:20">
      <c r="A1005" t="s">
        <v>1260</v>
      </c>
      <c r="B1005" s="1">
        <v>45713</v>
      </c>
      <c r="C1005" t="s">
        <v>128</v>
      </c>
      <c r="D1005" t="str">
        <f>UPPER(Table1[[#This Row],[ProductID_Clean]])</f>
        <v>P-SI-004</v>
      </c>
      <c r="E1005" t="s">
        <v>22</v>
      </c>
      <c r="F1005" t="s">
        <v>32</v>
      </c>
      <c r="G1005" t="str">
        <f>TRIM(Table1[[#This Row],[Region_Clean]])</f>
        <v>LATIN AMERICA</v>
      </c>
      <c r="H1005" t="s">
        <v>24</v>
      </c>
      <c r="I1005" t="s">
        <v>25</v>
      </c>
      <c r="J1005" s="3">
        <v>3</v>
      </c>
      <c r="K1005" s="3">
        <v>2035.29</v>
      </c>
      <c r="L1005">
        <v>2450</v>
      </c>
      <c r="M1005">
        <v>7350</v>
      </c>
      <c r="N1005">
        <v>1244.1300000000001</v>
      </c>
      <c r="O1005">
        <v>6105.87</v>
      </c>
      <c r="P1005" t="s">
        <v>26</v>
      </c>
      <c r="Q1005" t="s">
        <v>35</v>
      </c>
      <c r="R1005" t="s">
        <v>28</v>
      </c>
      <c r="S1005" t="str">
        <f>TRIM(PROPER(_xlfn.XLOOKUP(Table1[[#This Row],[ProductID_Clean]],Table3[ProductID],Table3[Category],"Missing Value",0)))</f>
        <v>Instruments</v>
      </c>
      <c r="T1005" t="str">
        <f>_xlfn.XLOOKUP(Table1[[#This Row],[CustomerID_Check]],Table2[CustomerID],Table2[CustomerType],"Missing Value",0)</f>
        <v>Key Account</v>
      </c>
    </row>
    <row r="1006" spans="1:20">
      <c r="A1006" t="s">
        <v>1261</v>
      </c>
      <c r="B1006" s="1">
        <v>45774</v>
      </c>
      <c r="C1006" t="s">
        <v>454</v>
      </c>
      <c r="D1006" t="str">
        <f>UPPER(Table1[[#This Row],[ProductID_Clean]])</f>
        <v>P-SA-005</v>
      </c>
      <c r="E1006" t="s">
        <v>62</v>
      </c>
      <c r="F1006" t="s">
        <v>47</v>
      </c>
      <c r="G1006" t="str">
        <f>TRIM(Table1[[#This Row],[Region_Clean]])</f>
        <v>EMEA</v>
      </c>
      <c r="H1006" t="s">
        <v>53</v>
      </c>
      <c r="I1006" t="s">
        <v>25</v>
      </c>
      <c r="J1006" s="3">
        <v>1</v>
      </c>
      <c r="K1006" s="3">
        <v>3052.91</v>
      </c>
      <c r="L1006">
        <v>3200</v>
      </c>
      <c r="M1006">
        <v>3200</v>
      </c>
      <c r="N1006">
        <v>147.09</v>
      </c>
      <c r="O1006">
        <v>3052.91</v>
      </c>
      <c r="P1006" t="s">
        <v>26</v>
      </c>
      <c r="Q1006" t="s">
        <v>54</v>
      </c>
      <c r="R1006" t="s">
        <v>28</v>
      </c>
      <c r="S1006" t="str">
        <f>TRIM(PROPER(_xlfn.XLOOKUP(Table1[[#This Row],[ProductID_Clean]],Table3[ProductID],Table3[Category],"Missing Value",0)))</f>
        <v>Software / Integration</v>
      </c>
      <c r="T1006" t="str">
        <f>_xlfn.XLOOKUP(Table1[[#This Row],[CustomerID_Check]],Table2[CustomerID],Table2[CustomerType],"Missing Value",0)</f>
        <v>Standard</v>
      </c>
    </row>
    <row r="1007" spans="1:20">
      <c r="A1007" t="s">
        <v>1262</v>
      </c>
      <c r="B1007" s="1">
        <v>45821</v>
      </c>
      <c r="C1007" t="s">
        <v>139</v>
      </c>
      <c r="D1007" t="str">
        <f>UPPER(Table1[[#This Row],[ProductID_Clean]])</f>
        <v>P-SI-005</v>
      </c>
      <c r="E1007" t="s">
        <v>57</v>
      </c>
      <c r="F1007" t="s">
        <v>47</v>
      </c>
      <c r="G1007" t="str">
        <f>TRIM(Table1[[#This Row],[Region_Clean]])</f>
        <v>EMEA</v>
      </c>
      <c r="H1007" t="s">
        <v>24</v>
      </c>
      <c r="I1007" t="s">
        <v>25</v>
      </c>
      <c r="J1007" s="3">
        <v>5</v>
      </c>
      <c r="K1007" s="3">
        <v>983.01</v>
      </c>
      <c r="L1007">
        <v>1120</v>
      </c>
      <c r="M1007">
        <v>5600</v>
      </c>
      <c r="N1007">
        <v>684.95</v>
      </c>
      <c r="O1007">
        <v>4915.05</v>
      </c>
      <c r="P1007" t="s">
        <v>26</v>
      </c>
      <c r="Q1007" t="s">
        <v>35</v>
      </c>
      <c r="R1007" t="s">
        <v>59</v>
      </c>
      <c r="S1007" t="str">
        <f>TRIM(PROPER(_xlfn.XLOOKUP(Table1[[#This Row],[ProductID_Clean]],Table3[ProductID],Table3[Category],"Missing Value",0)))</f>
        <v>Sensors</v>
      </c>
      <c r="T1007" t="str">
        <f>_xlfn.XLOOKUP(Table1[[#This Row],[CustomerID_Check]],Table2[CustomerID],Table2[CustomerType],"Missing Value",0)</f>
        <v>Key Account</v>
      </c>
    </row>
    <row r="1008" spans="1:20">
      <c r="A1008" t="s">
        <v>1263</v>
      </c>
      <c r="B1008" s="1">
        <v>45815</v>
      </c>
      <c r="C1008" t="s">
        <v>128</v>
      </c>
      <c r="D1008" t="str">
        <f>UPPER(Table1[[#This Row],[ProductID_Clean]])</f>
        <v>P-SI-001</v>
      </c>
      <c r="E1008" t="s">
        <v>72</v>
      </c>
      <c r="F1008" t="s">
        <v>32</v>
      </c>
      <c r="G1008" t="str">
        <f>TRIM(Table1[[#This Row],[Region_Clean]])</f>
        <v>LATIN AMERICA</v>
      </c>
      <c r="H1008" t="s">
        <v>24</v>
      </c>
      <c r="I1008" t="s">
        <v>34</v>
      </c>
      <c r="J1008" s="3">
        <v>4</v>
      </c>
      <c r="K1008" s="3">
        <v>401.31</v>
      </c>
      <c r="L1008">
        <v>485</v>
      </c>
      <c r="M1008">
        <v>1940</v>
      </c>
      <c r="N1008">
        <v>334.76</v>
      </c>
      <c r="O1008">
        <v>1605.24</v>
      </c>
      <c r="P1008" t="s">
        <v>26</v>
      </c>
      <c r="Q1008" t="s">
        <v>35</v>
      </c>
      <c r="R1008" t="s">
        <v>28</v>
      </c>
      <c r="S1008" t="str">
        <f>TRIM(PROPER(_xlfn.XLOOKUP(Table1[[#This Row],[ProductID_Clean]],Table3[ProductID],Table3[Category],"Missing Value",0)))</f>
        <v>Sensors</v>
      </c>
      <c r="T1008" t="str">
        <f>_xlfn.XLOOKUP(Table1[[#This Row],[CustomerID_Check]],Table2[CustomerID],Table2[CustomerType],"Missing Value",0)</f>
        <v>Key Account</v>
      </c>
    </row>
    <row r="1009" spans="1:20">
      <c r="A1009" t="s">
        <v>1264</v>
      </c>
      <c r="B1009" s="1">
        <v>45826</v>
      </c>
      <c r="C1009" t="s">
        <v>227</v>
      </c>
      <c r="D1009" t="str">
        <f>UPPER(Table1[[#This Row],[ProductID_Clean]])</f>
        <v>P-SA-003</v>
      </c>
      <c r="E1009" t="s">
        <v>51</v>
      </c>
      <c r="F1009" t="s">
        <v>23</v>
      </c>
      <c r="G1009" t="str">
        <f>TRIM(Table1[[#This Row],[Region_Clean]])</f>
        <v>N. AMERICA</v>
      </c>
      <c r="H1009" t="s">
        <v>53</v>
      </c>
      <c r="I1009" t="s">
        <v>25</v>
      </c>
      <c r="J1009" s="3">
        <v>2</v>
      </c>
      <c r="K1009" s="3">
        <v>2557.89</v>
      </c>
      <c r="L1009">
        <v>2750</v>
      </c>
      <c r="M1009">
        <v>5500</v>
      </c>
      <c r="N1009">
        <v>384.22</v>
      </c>
      <c r="O1009">
        <v>5115.78</v>
      </c>
      <c r="P1009" t="s">
        <v>26</v>
      </c>
      <c r="Q1009" t="s">
        <v>54</v>
      </c>
      <c r="R1009" t="s">
        <v>36</v>
      </c>
      <c r="S1009" t="str">
        <f>TRIM(PROPER(_xlfn.XLOOKUP(Table1[[#This Row],[ProductID_Clean]],Table3[ProductID],Table3[Category],"Missing Value",0)))</f>
        <v>Software</v>
      </c>
      <c r="T1009" t="str">
        <f>_xlfn.XLOOKUP(Table1[[#This Row],[CustomerID_Check]],Table2[CustomerID],Table2[CustomerType],"Missing Value",0)</f>
        <v>Standard</v>
      </c>
    </row>
    <row r="1010" spans="1:20">
      <c r="A1010" t="s">
        <v>1265</v>
      </c>
      <c r="B1010" s="1">
        <v>45750</v>
      </c>
      <c r="C1010" t="s">
        <v>463</v>
      </c>
      <c r="D1010" t="str">
        <f>UPPER(Table1[[#This Row],[ProductID_Clean]])</f>
        <v>P-SA-003</v>
      </c>
      <c r="E1010" t="s">
        <v>51</v>
      </c>
      <c r="F1010" t="s">
        <v>47</v>
      </c>
      <c r="G1010" t="str">
        <f>TRIM(Table1[[#This Row],[Region_Clean]])</f>
        <v>EMEA</v>
      </c>
      <c r="H1010" t="s">
        <v>53</v>
      </c>
      <c r="I1010" t="s">
        <v>34</v>
      </c>
      <c r="J1010" s="3">
        <v>3</v>
      </c>
      <c r="K1010" s="3">
        <v>2239.48</v>
      </c>
      <c r="L1010">
        <v>2750</v>
      </c>
      <c r="M1010">
        <v>8250</v>
      </c>
      <c r="N1010">
        <v>1531.5600000000004</v>
      </c>
      <c r="O1010">
        <v>6718.44</v>
      </c>
      <c r="P1010" t="s">
        <v>113</v>
      </c>
      <c r="Q1010" t="s">
        <v>54</v>
      </c>
      <c r="R1010" t="s">
        <v>48</v>
      </c>
      <c r="S1010" t="str">
        <f>TRIM(PROPER(_xlfn.XLOOKUP(Table1[[#This Row],[ProductID_Clean]],Table3[ProductID],Table3[Category],"Missing Value",0)))</f>
        <v>Software</v>
      </c>
      <c r="T1010" t="str">
        <f>_xlfn.XLOOKUP(Table1[[#This Row],[CustomerID_Check]],Table2[CustomerID],Table2[CustomerType],"Missing Value",0)</f>
        <v>Key Account</v>
      </c>
    </row>
    <row r="1011" spans="1:20">
      <c r="A1011" t="s">
        <v>1266</v>
      </c>
      <c r="B1011" s="1">
        <v>45794</v>
      </c>
      <c r="C1011" t="s">
        <v>21</v>
      </c>
      <c r="D1011" t="str">
        <f>UPPER(Table1[[#This Row],[ProductID_Clean]])</f>
        <v>P-SI-007</v>
      </c>
      <c r="E1011" t="s">
        <v>97</v>
      </c>
      <c r="F1011" t="s">
        <v>23</v>
      </c>
      <c r="G1011" t="str">
        <f>TRIM(Table1[[#This Row],[Region_Clean]])</f>
        <v>N. AMERICA</v>
      </c>
      <c r="H1011" t="s">
        <v>24</v>
      </c>
      <c r="I1011" t="s">
        <v>34</v>
      </c>
      <c r="J1011" s="3">
        <v>3</v>
      </c>
      <c r="K1011" s="3">
        <v>813.9</v>
      </c>
      <c r="L1011">
        <v>980</v>
      </c>
      <c r="M1011">
        <v>2940</v>
      </c>
      <c r="N1011">
        <v>498.3</v>
      </c>
      <c r="O1011">
        <v>2441.6999999999998</v>
      </c>
      <c r="P1011" t="s">
        <v>26</v>
      </c>
      <c r="Q1011" t="s">
        <v>35</v>
      </c>
      <c r="R1011" t="s">
        <v>28</v>
      </c>
      <c r="S1011" t="str">
        <f>TRIM(PROPER(_xlfn.XLOOKUP(Table1[[#This Row],[ProductID_Clean]],Table3[ProductID],Table3[Category],"Missing Value",0)))</f>
        <v>Sensors</v>
      </c>
      <c r="T1011" t="str">
        <f>_xlfn.XLOOKUP(Table1[[#This Row],[CustomerID_Check]],Table2[CustomerID],Table2[CustomerType],"Missing Value",0)</f>
        <v>Standard</v>
      </c>
    </row>
    <row r="1012" spans="1:20">
      <c r="A1012" t="s">
        <v>1267</v>
      </c>
      <c r="B1012" s="1">
        <v>45763</v>
      </c>
      <c r="C1012" t="s">
        <v>89</v>
      </c>
      <c r="D1012" t="str">
        <f>UPPER(Table1[[#This Row],[ProductID_Clean]])</f>
        <v>P-SA-004</v>
      </c>
      <c r="E1012" t="s">
        <v>86</v>
      </c>
      <c r="F1012" t="s">
        <v>58</v>
      </c>
      <c r="G1012" t="str">
        <f>TRIM(Table1[[#This Row],[Region_Clean]])</f>
        <v>APAC</v>
      </c>
      <c r="H1012" t="s">
        <v>53</v>
      </c>
      <c r="I1012" t="s">
        <v>34</v>
      </c>
      <c r="J1012" s="3">
        <v>1</v>
      </c>
      <c r="K1012" s="3">
        <v>1250.8800000000001</v>
      </c>
      <c r="L1012">
        <v>1650</v>
      </c>
      <c r="M1012">
        <v>1650</v>
      </c>
      <c r="N1012">
        <v>399.12</v>
      </c>
      <c r="O1012">
        <v>1250.8800000000001</v>
      </c>
      <c r="P1012" t="s">
        <v>26</v>
      </c>
      <c r="Q1012" t="s">
        <v>54</v>
      </c>
      <c r="R1012" t="s">
        <v>44</v>
      </c>
      <c r="S1012" t="str">
        <f>TRIM(PROPER(_xlfn.XLOOKUP(Table1[[#This Row],[ProductID_Clean]],Table3[ProductID],Table3[Category],"Missing Value",0)))</f>
        <v>Software</v>
      </c>
      <c r="T1012" t="str">
        <f>_xlfn.XLOOKUP(Table1[[#This Row],[CustomerID_Check]],Table2[CustomerID],Table2[CustomerType],"Missing Value",0)</f>
        <v>Strategic</v>
      </c>
    </row>
    <row r="1013" spans="1:20">
      <c r="A1013" t="s">
        <v>1268</v>
      </c>
      <c r="B1013" s="1">
        <v>45662</v>
      </c>
      <c r="C1013" t="s">
        <v>100</v>
      </c>
      <c r="D1013" t="str">
        <f>UPPER(Table1[[#This Row],[ProductID_Clean]])</f>
        <v>P-SI-007</v>
      </c>
      <c r="E1013" t="s">
        <v>97</v>
      </c>
      <c r="F1013" t="s">
        <v>47</v>
      </c>
      <c r="G1013" t="str">
        <f>TRIM(Table1[[#This Row],[Region_Clean]])</f>
        <v>EMEA</v>
      </c>
      <c r="H1013" t="s">
        <v>24</v>
      </c>
      <c r="I1013" t="s">
        <v>87</v>
      </c>
      <c r="J1013" s="3">
        <v>2</v>
      </c>
      <c r="K1013" s="3">
        <v>757.49</v>
      </c>
      <c r="L1013">
        <v>980</v>
      </c>
      <c r="M1013">
        <v>1960</v>
      </c>
      <c r="N1013">
        <v>445.02</v>
      </c>
      <c r="O1013">
        <v>1514.98</v>
      </c>
      <c r="P1013" t="s">
        <v>26</v>
      </c>
      <c r="Q1013" t="s">
        <v>35</v>
      </c>
      <c r="R1013" t="s">
        <v>36</v>
      </c>
      <c r="S1013" t="str">
        <f>TRIM(PROPER(_xlfn.XLOOKUP(Table1[[#This Row],[ProductID_Clean]],Table3[ProductID],Table3[Category],"Missing Value",0)))</f>
        <v>Sensors</v>
      </c>
      <c r="T1013" t="str">
        <f>_xlfn.XLOOKUP(Table1[[#This Row],[CustomerID_Check]],Table2[CustomerID],Table2[CustomerType],"Missing Value",0)</f>
        <v>Strategic</v>
      </c>
    </row>
    <row r="1014" spans="1:20">
      <c r="A1014" t="s">
        <v>1269</v>
      </c>
      <c r="B1014" s="1">
        <v>45728</v>
      </c>
      <c r="C1014" t="s">
        <v>442</v>
      </c>
      <c r="D1014" t="str">
        <f>UPPER(Table1[[#This Row],[ProductID_Clean]])</f>
        <v>P-FS-004</v>
      </c>
      <c r="E1014" t="s">
        <v>432</v>
      </c>
      <c r="F1014" t="s">
        <v>23</v>
      </c>
      <c r="G1014" t="str">
        <f>TRIM(Table1[[#This Row],[Region_Clean]])</f>
        <v>N. AMERICA</v>
      </c>
      <c r="H1014" t="s">
        <v>82</v>
      </c>
      <c r="I1014" t="s">
        <v>25</v>
      </c>
      <c r="J1014" s="3">
        <v>1</v>
      </c>
      <c r="K1014" s="3">
        <v>3056.38</v>
      </c>
      <c r="L1014">
        <v>3200</v>
      </c>
      <c r="M1014">
        <v>3200</v>
      </c>
      <c r="N1014">
        <v>143.62</v>
      </c>
      <c r="O1014">
        <v>3056.38</v>
      </c>
      <c r="P1014" t="s">
        <v>26</v>
      </c>
      <c r="Q1014" t="s">
        <v>35</v>
      </c>
      <c r="R1014" t="s">
        <v>36</v>
      </c>
      <c r="S1014" t="str">
        <f>TRIM(PROPER(_xlfn.XLOOKUP(Table1[[#This Row],[ProductID_Clean]],Table3[ProductID],Table3[Category],"Missing Value",0)))</f>
        <v>Services</v>
      </c>
      <c r="T1014" t="str">
        <f>_xlfn.XLOOKUP(Table1[[#This Row],[CustomerID_Check]],Table2[CustomerID],Table2[CustomerType],"Missing Value",0)</f>
        <v>Standard</v>
      </c>
    </row>
    <row r="1015" spans="1:20">
      <c r="A1015" t="s">
        <v>1270</v>
      </c>
      <c r="B1015" s="1">
        <v>45731</v>
      </c>
      <c r="C1015" t="s">
        <v>720</v>
      </c>
      <c r="D1015" t="str">
        <f>UPPER(Table1[[#This Row],[ProductID_Clean]])</f>
        <v>P-SI-002</v>
      </c>
      <c r="E1015" t="s">
        <v>31</v>
      </c>
      <c r="F1015" t="s">
        <v>198</v>
      </c>
      <c r="G1015" t="str">
        <f>TRIM(Table1[[#This Row],[Region_Clean]])</f>
        <v>APAC</v>
      </c>
      <c r="H1015" t="s">
        <v>24</v>
      </c>
      <c r="I1015" t="s">
        <v>25</v>
      </c>
      <c r="J1015" s="3">
        <v>3</v>
      </c>
      <c r="K1015" s="3">
        <v>625.4</v>
      </c>
      <c r="L1015">
        <v>725</v>
      </c>
      <c r="M1015">
        <v>2175</v>
      </c>
      <c r="N1015">
        <v>298.8</v>
      </c>
      <c r="O1015">
        <v>1876.2</v>
      </c>
      <c r="P1015" t="s">
        <v>26</v>
      </c>
      <c r="Q1015" t="s">
        <v>35</v>
      </c>
      <c r="R1015" t="s">
        <v>44</v>
      </c>
      <c r="S1015" t="str">
        <f>TRIM(PROPER(_xlfn.XLOOKUP(Table1[[#This Row],[ProductID_Clean]],Table3[ProductID],Table3[Category],"Missing Value",0)))</f>
        <v>Sensors</v>
      </c>
      <c r="T1015" t="str">
        <f>_xlfn.XLOOKUP(Table1[[#This Row],[CustomerID_Check]],Table2[CustomerID],Table2[CustomerType],"Missing Value",0)</f>
        <v>Standard</v>
      </c>
    </row>
    <row r="1016" spans="1:20">
      <c r="A1016" t="s">
        <v>1271</v>
      </c>
      <c r="B1016" s="1">
        <v>45786</v>
      </c>
      <c r="C1016" t="s">
        <v>160</v>
      </c>
      <c r="D1016" t="str">
        <f>UPPER(Table1[[#This Row],[ProductID_Clean]])</f>
        <v>P-SA-004</v>
      </c>
      <c r="E1016" t="s">
        <v>86</v>
      </c>
      <c r="F1016" t="s">
        <v>47</v>
      </c>
      <c r="G1016" t="str">
        <f>TRIM(Table1[[#This Row],[Region_Clean]])</f>
        <v>EMEA</v>
      </c>
      <c r="H1016" t="s">
        <v>53</v>
      </c>
      <c r="I1016" t="s">
        <v>25</v>
      </c>
      <c r="J1016" s="3">
        <v>1</v>
      </c>
      <c r="K1016" s="3">
        <v>1505.48</v>
      </c>
      <c r="L1016">
        <v>1650</v>
      </c>
      <c r="M1016">
        <v>1650</v>
      </c>
      <c r="N1016">
        <v>144.52000000000001</v>
      </c>
      <c r="O1016">
        <v>1505.48</v>
      </c>
      <c r="P1016" t="s">
        <v>26</v>
      </c>
      <c r="Q1016" t="s">
        <v>54</v>
      </c>
      <c r="R1016" t="s">
        <v>59</v>
      </c>
      <c r="S1016" t="str">
        <f>TRIM(PROPER(_xlfn.XLOOKUP(Table1[[#This Row],[ProductID_Clean]],Table3[ProductID],Table3[Category],"Missing Value",0)))</f>
        <v>Software</v>
      </c>
      <c r="T1016" t="str">
        <f>_xlfn.XLOOKUP(Table1[[#This Row],[CustomerID_Check]],Table2[CustomerID],Table2[CustomerType],"Missing Value",0)</f>
        <v>Key Account</v>
      </c>
    </row>
    <row r="1017" spans="1:20">
      <c r="A1017" t="s">
        <v>1272</v>
      </c>
      <c r="B1017" s="1">
        <v>45830</v>
      </c>
      <c r="C1017" t="s">
        <v>256</v>
      </c>
      <c r="D1017" t="str">
        <f>UPPER(Table1[[#This Row],[ProductID_Clean]])</f>
        <v>P-SI-005</v>
      </c>
      <c r="E1017" t="s">
        <v>57</v>
      </c>
      <c r="F1017" t="s">
        <v>47</v>
      </c>
      <c r="G1017" t="str">
        <f>TRIM(Table1[[#This Row],[Region_Clean]])</f>
        <v>EMEA</v>
      </c>
      <c r="H1017" t="s">
        <v>24</v>
      </c>
      <c r="I1017" t="s">
        <v>25</v>
      </c>
      <c r="J1017" s="3">
        <v>2</v>
      </c>
      <c r="K1017" s="3">
        <v>933.43</v>
      </c>
      <c r="L1017">
        <v>1120</v>
      </c>
      <c r="M1017">
        <v>2240</v>
      </c>
      <c r="N1017">
        <v>373.14</v>
      </c>
      <c r="O1017">
        <v>1866.86</v>
      </c>
      <c r="P1017" t="s">
        <v>26</v>
      </c>
      <c r="Q1017" t="s">
        <v>35</v>
      </c>
      <c r="R1017" t="s">
        <v>44</v>
      </c>
      <c r="S1017" t="str">
        <f>TRIM(PROPER(_xlfn.XLOOKUP(Table1[[#This Row],[ProductID_Clean]],Table3[ProductID],Table3[Category],"Missing Value",0)))</f>
        <v>Sensors</v>
      </c>
      <c r="T1017" t="str">
        <f>_xlfn.XLOOKUP(Table1[[#This Row],[CustomerID_Check]],Table2[CustomerID],Table2[CustomerType],"Missing Value",0)</f>
        <v>Strategic</v>
      </c>
    </row>
    <row r="1018" spans="1:20">
      <c r="A1018" t="s">
        <v>1273</v>
      </c>
      <c r="B1018" s="1">
        <v>45703</v>
      </c>
      <c r="C1018" t="s">
        <v>212</v>
      </c>
      <c r="D1018" t="str">
        <f>UPPER(Table1[[#This Row],[ProductID_Clean]])</f>
        <v>P-SI-007</v>
      </c>
      <c r="E1018" t="s">
        <v>97</v>
      </c>
      <c r="F1018" t="s">
        <v>47</v>
      </c>
      <c r="G1018" t="str">
        <f>TRIM(Table1[[#This Row],[Region_Clean]])</f>
        <v>EMEA</v>
      </c>
      <c r="H1018" t="s">
        <v>24</v>
      </c>
      <c r="I1018" t="s">
        <v>25</v>
      </c>
      <c r="J1018" s="3">
        <v>4</v>
      </c>
      <c r="K1018" s="3">
        <v>842.44</v>
      </c>
      <c r="L1018">
        <v>980</v>
      </c>
      <c r="M1018">
        <v>3920</v>
      </c>
      <c r="N1018">
        <v>550.24</v>
      </c>
      <c r="O1018">
        <v>3369.76</v>
      </c>
      <c r="P1018" t="s">
        <v>26</v>
      </c>
      <c r="Q1018" t="s">
        <v>27</v>
      </c>
      <c r="R1018" t="s">
        <v>44</v>
      </c>
      <c r="S1018" t="str">
        <f>TRIM(PROPER(_xlfn.XLOOKUP(Table1[[#This Row],[ProductID_Clean]],Table3[ProductID],Table3[Category],"Missing Value",0)))</f>
        <v>Sensors</v>
      </c>
      <c r="T1018" t="str">
        <f>_xlfn.XLOOKUP(Table1[[#This Row],[CustomerID_Check]],Table2[CustomerID],Table2[CustomerType],"Missing Value",0)</f>
        <v>Key Account</v>
      </c>
    </row>
    <row r="1019" spans="1:20">
      <c r="A1019" t="s">
        <v>1274</v>
      </c>
      <c r="B1019" s="1">
        <v>45682</v>
      </c>
      <c r="C1019" t="s">
        <v>323</v>
      </c>
      <c r="D1019" t="str">
        <f>UPPER(Table1[[#This Row],[ProductID_Clean]])</f>
        <v>P-FS-002</v>
      </c>
      <c r="E1019" t="s">
        <v>81</v>
      </c>
      <c r="F1019" t="s">
        <v>23</v>
      </c>
      <c r="G1019" t="str">
        <f>TRIM(Table1[[#This Row],[Region_Clean]])</f>
        <v>N. AMERICA</v>
      </c>
      <c r="H1019" t="s">
        <v>82</v>
      </c>
      <c r="I1019" t="s">
        <v>87</v>
      </c>
      <c r="J1019" s="3">
        <v>1</v>
      </c>
      <c r="K1019" s="3">
        <v>1787.8</v>
      </c>
      <c r="L1019">
        <v>2400</v>
      </c>
      <c r="M1019">
        <v>2400</v>
      </c>
      <c r="N1019">
        <v>612.20000000000005</v>
      </c>
      <c r="O1019">
        <v>1787.8</v>
      </c>
      <c r="P1019" t="s">
        <v>26</v>
      </c>
      <c r="Q1019" t="s">
        <v>94</v>
      </c>
      <c r="R1019" t="s">
        <v>59</v>
      </c>
      <c r="S1019" t="str">
        <f>TRIM(PROPER(_xlfn.XLOOKUP(Table1[[#This Row],[ProductID_Clean]],Table3[ProductID],Table3[Category],"Missing Value",0)))</f>
        <v>Services</v>
      </c>
      <c r="T1019" t="str">
        <f>_xlfn.XLOOKUP(Table1[[#This Row],[CustomerID_Check]],Table2[CustomerID],Table2[CustomerType],"Missing Value",0)</f>
        <v>Key Account</v>
      </c>
    </row>
    <row r="1020" spans="1:20">
      <c r="A1020" t="s">
        <v>1275</v>
      </c>
      <c r="B1020" s="1">
        <v>45696</v>
      </c>
      <c r="C1020" t="s">
        <v>266</v>
      </c>
      <c r="D1020" t="str">
        <f>UPPER(Table1[[#This Row],[ProductID_Clean]])</f>
        <v>P-SI-001</v>
      </c>
      <c r="E1020" t="s">
        <v>72</v>
      </c>
      <c r="F1020" t="s">
        <v>23</v>
      </c>
      <c r="G1020" t="str">
        <f>TRIM(Table1[[#This Row],[Region_Clean]])</f>
        <v>N. AMERICA</v>
      </c>
      <c r="H1020" t="s">
        <v>24</v>
      </c>
      <c r="I1020" t="s">
        <v>98</v>
      </c>
      <c r="J1020" s="3">
        <v>3</v>
      </c>
      <c r="K1020" s="3">
        <v>415.53</v>
      </c>
      <c r="L1020">
        <v>485</v>
      </c>
      <c r="M1020">
        <v>1455</v>
      </c>
      <c r="N1020">
        <v>208.41</v>
      </c>
      <c r="O1020">
        <v>1246.5899999999999</v>
      </c>
      <c r="P1020" t="s">
        <v>26</v>
      </c>
      <c r="Q1020" t="s">
        <v>27</v>
      </c>
      <c r="R1020" t="s">
        <v>44</v>
      </c>
      <c r="S1020" t="str">
        <f>TRIM(PROPER(_xlfn.XLOOKUP(Table1[[#This Row],[ProductID_Clean]],Table3[ProductID],Table3[Category],"Missing Value",0)))</f>
        <v>Sensors</v>
      </c>
      <c r="T1020" t="str">
        <f>_xlfn.XLOOKUP(Table1[[#This Row],[CustomerID_Check]],Table2[CustomerID],Table2[CustomerType],"Missing Value",0)</f>
        <v>Strategic</v>
      </c>
    </row>
    <row r="1021" spans="1:20">
      <c r="A1021" t="s">
        <v>1276</v>
      </c>
      <c r="B1021" s="1">
        <v>45707</v>
      </c>
      <c r="C1021" t="s">
        <v>496</v>
      </c>
      <c r="D1021" t="str">
        <f>UPPER(Table1[[#This Row],[ProductID_Clean]])</f>
        <v>P-SI-006</v>
      </c>
      <c r="E1021" t="s">
        <v>43</v>
      </c>
      <c r="F1021" t="s">
        <v>102</v>
      </c>
      <c r="G1021" t="str">
        <f>TRIM(Table1[[#This Row],[Region_Clean]])</f>
        <v>EMEA</v>
      </c>
      <c r="H1021" t="s">
        <v>24</v>
      </c>
      <c r="I1021" t="s">
        <v>25</v>
      </c>
      <c r="J1021" s="3">
        <v>12</v>
      </c>
      <c r="K1021" s="3">
        <v>176.34</v>
      </c>
      <c r="L1021">
        <v>215</v>
      </c>
      <c r="M1021">
        <v>2580</v>
      </c>
      <c r="N1021">
        <v>463.92</v>
      </c>
      <c r="O1021">
        <v>2116.08</v>
      </c>
      <c r="P1021" t="s">
        <v>26</v>
      </c>
      <c r="Q1021" t="s">
        <v>35</v>
      </c>
      <c r="R1021" t="s">
        <v>36</v>
      </c>
      <c r="S1021" t="str">
        <f>TRIM(PROPER(_xlfn.XLOOKUP(Table1[[#This Row],[ProductID_Clean]],Table3[ProductID],Table3[Category],"Missing Value",0)))</f>
        <v>Sensors</v>
      </c>
      <c r="T1021" t="str">
        <f>_xlfn.XLOOKUP(Table1[[#This Row],[CustomerID_Check]],Table2[CustomerID],Table2[CustomerType],"Missing Value",0)</f>
        <v>Key Account</v>
      </c>
    </row>
    <row r="1022" spans="1:20">
      <c r="A1022" t="s">
        <v>1277</v>
      </c>
      <c r="B1022" s="1">
        <v>45709</v>
      </c>
      <c r="C1022" t="s">
        <v>457</v>
      </c>
      <c r="D1022" t="str">
        <f>UPPER(Table1[[#This Row],[ProductID_Clean]])</f>
        <v>P-SI-001</v>
      </c>
      <c r="E1022" t="s">
        <v>72</v>
      </c>
      <c r="F1022" t="s">
        <v>23</v>
      </c>
      <c r="G1022" t="str">
        <f>TRIM(Table1[[#This Row],[Region_Clean]])</f>
        <v>N. AMERICA</v>
      </c>
      <c r="H1022" t="s">
        <v>24</v>
      </c>
      <c r="I1022" t="s">
        <v>25</v>
      </c>
      <c r="J1022" s="3">
        <v>3</v>
      </c>
      <c r="K1022" s="3">
        <v>429.36</v>
      </c>
      <c r="L1022">
        <v>485</v>
      </c>
      <c r="M1022">
        <v>1455</v>
      </c>
      <c r="N1022">
        <v>166.92000000000007</v>
      </c>
      <c r="O1022">
        <v>1288.08</v>
      </c>
      <c r="P1022" t="s">
        <v>26</v>
      </c>
      <c r="Q1022" t="s">
        <v>35</v>
      </c>
      <c r="R1022" t="s">
        <v>28</v>
      </c>
      <c r="S1022" t="str">
        <f>TRIM(PROPER(_xlfn.XLOOKUP(Table1[[#This Row],[ProductID_Clean]],Table3[ProductID],Table3[Category],"Missing Value",0)))</f>
        <v>Sensors</v>
      </c>
      <c r="T1022" t="str">
        <f>_xlfn.XLOOKUP(Table1[[#This Row],[CustomerID_Check]],Table2[CustomerID],Table2[CustomerType],"Missing Value",0)</f>
        <v>Key Account</v>
      </c>
    </row>
    <row r="1023" spans="1:20">
      <c r="A1023" t="s">
        <v>1278</v>
      </c>
      <c r="B1023" s="1">
        <v>45748</v>
      </c>
      <c r="C1023" t="s">
        <v>143</v>
      </c>
      <c r="D1023" t="str">
        <f>UPPER(Table1[[#This Row],[ProductID_Clean]])</f>
        <v>P-SI-003</v>
      </c>
      <c r="E1023" t="s">
        <v>39</v>
      </c>
      <c r="F1023" t="s">
        <v>23</v>
      </c>
      <c r="G1023" t="str">
        <f>TRIM(Table1[[#This Row],[Region_Clean]])</f>
        <v>N. AMERICA</v>
      </c>
      <c r="H1023" t="s">
        <v>24</v>
      </c>
      <c r="I1023" t="s">
        <v>34</v>
      </c>
      <c r="J1023" s="3">
        <v>1</v>
      </c>
      <c r="K1023" s="3">
        <v>1498.66</v>
      </c>
      <c r="L1023">
        <v>1890</v>
      </c>
      <c r="M1023">
        <v>1890</v>
      </c>
      <c r="N1023">
        <v>391.34</v>
      </c>
      <c r="O1023">
        <v>1498.66</v>
      </c>
      <c r="P1023" t="s">
        <v>26</v>
      </c>
      <c r="Q1023" t="s">
        <v>35</v>
      </c>
      <c r="R1023" t="s">
        <v>28</v>
      </c>
      <c r="S1023" t="str">
        <f>TRIM(PROPER(_xlfn.XLOOKUP(Table1[[#This Row],[ProductID_Clean]],Table3[ProductID],Table3[Category],"Missing Value",0)))</f>
        <v>Instruments</v>
      </c>
      <c r="T1023" t="str">
        <f>_xlfn.XLOOKUP(Table1[[#This Row],[CustomerID_Check]],Table2[CustomerID],Table2[CustomerType],"Missing Value",0)</f>
        <v>Strategic</v>
      </c>
    </row>
    <row r="1024" spans="1:20">
      <c r="A1024" t="s">
        <v>1279</v>
      </c>
      <c r="B1024" s="1">
        <v>45759</v>
      </c>
      <c r="C1024" t="s">
        <v>112</v>
      </c>
      <c r="D1024" t="str">
        <f>UPPER(Table1[[#This Row],[ProductID_Clean]])</f>
        <v>P-SI-004</v>
      </c>
      <c r="E1024" t="s">
        <v>22</v>
      </c>
      <c r="F1024" t="s">
        <v>58</v>
      </c>
      <c r="G1024" t="str">
        <f>TRIM(Table1[[#This Row],[Region_Clean]])</f>
        <v>APAC</v>
      </c>
      <c r="H1024" t="s">
        <v>24</v>
      </c>
      <c r="I1024" t="s">
        <v>34</v>
      </c>
      <c r="J1024" s="3">
        <v>2</v>
      </c>
      <c r="K1024" s="3">
        <v>1729.19</v>
      </c>
      <c r="L1024">
        <v>2450</v>
      </c>
      <c r="M1024">
        <v>4900</v>
      </c>
      <c r="N1024">
        <v>1441.62</v>
      </c>
      <c r="O1024">
        <v>3458.38</v>
      </c>
      <c r="P1024" t="s">
        <v>26</v>
      </c>
      <c r="Q1024" t="s">
        <v>27</v>
      </c>
      <c r="R1024" t="s">
        <v>36</v>
      </c>
      <c r="S1024" t="str">
        <f>TRIM(PROPER(_xlfn.XLOOKUP(Table1[[#This Row],[ProductID_Clean]],Table3[ProductID],Table3[Category],"Missing Value",0)))</f>
        <v>Instruments</v>
      </c>
      <c r="T1024" t="str">
        <f>_xlfn.XLOOKUP(Table1[[#This Row],[CustomerID_Check]],Table2[CustomerID],Table2[CustomerType],"Missing Value",0)</f>
        <v>Key Account</v>
      </c>
    </row>
    <row r="1025" spans="1:20">
      <c r="A1025" t="s">
        <v>1280</v>
      </c>
      <c r="B1025" s="1">
        <v>45753</v>
      </c>
      <c r="C1025" t="s">
        <v>76</v>
      </c>
      <c r="D1025" t="str">
        <f>UPPER(Table1[[#This Row],[ProductID_Clean]])</f>
        <v>P-SI-006</v>
      </c>
      <c r="E1025" t="s">
        <v>43</v>
      </c>
      <c r="F1025" t="s">
        <v>58</v>
      </c>
      <c r="G1025" t="str">
        <f>TRIM(Table1[[#This Row],[Region_Clean]])</f>
        <v>APAC</v>
      </c>
      <c r="H1025" t="s">
        <v>24</v>
      </c>
      <c r="I1025" t="s">
        <v>25</v>
      </c>
      <c r="J1025" s="3">
        <v>3</v>
      </c>
      <c r="K1025" s="3">
        <v>182.88</v>
      </c>
      <c r="L1025">
        <v>215</v>
      </c>
      <c r="M1025">
        <v>645</v>
      </c>
      <c r="N1025">
        <v>96.36</v>
      </c>
      <c r="O1025">
        <v>548.64</v>
      </c>
      <c r="P1025" t="s">
        <v>26</v>
      </c>
      <c r="Q1025" t="s">
        <v>35</v>
      </c>
      <c r="R1025" t="s">
        <v>59</v>
      </c>
      <c r="S1025" t="str">
        <f>TRIM(PROPER(_xlfn.XLOOKUP(Table1[[#This Row],[ProductID_Clean]],Table3[ProductID],Table3[Category],"Missing Value",0)))</f>
        <v>Sensors</v>
      </c>
      <c r="T1025" t="str">
        <f>_xlfn.XLOOKUP(Table1[[#This Row],[CustomerID_Check]],Table2[CustomerID],Table2[CustomerType],"Missing Value",0)</f>
        <v>Missing Value</v>
      </c>
    </row>
    <row r="1026" spans="1:20">
      <c r="A1026" t="s">
        <v>1281</v>
      </c>
      <c r="B1026" s="1">
        <v>45775</v>
      </c>
      <c r="C1026" t="s">
        <v>353</v>
      </c>
      <c r="D1026" t="str">
        <f>UPPER(Table1[[#This Row],[ProductID_Clean]])</f>
        <v>P-SI-006</v>
      </c>
      <c r="E1026" t="s">
        <v>43</v>
      </c>
      <c r="F1026" t="s">
        <v>23</v>
      </c>
      <c r="G1026" t="str">
        <f>TRIM(Table1[[#This Row],[Region_Clean]])</f>
        <v>N. AMERICA</v>
      </c>
      <c r="H1026" t="s">
        <v>24</v>
      </c>
      <c r="I1026" t="s">
        <v>87</v>
      </c>
      <c r="J1026" s="3">
        <v>2</v>
      </c>
      <c r="K1026" s="3">
        <v>148.68</v>
      </c>
      <c r="L1026">
        <v>215</v>
      </c>
      <c r="M1026">
        <v>430</v>
      </c>
      <c r="N1026">
        <v>132.63999999999999</v>
      </c>
      <c r="O1026">
        <v>297.36</v>
      </c>
      <c r="P1026" t="s">
        <v>26</v>
      </c>
      <c r="Q1026" t="s">
        <v>35</v>
      </c>
      <c r="R1026" t="s">
        <v>48</v>
      </c>
      <c r="S1026" t="str">
        <f>TRIM(PROPER(_xlfn.XLOOKUP(Table1[[#This Row],[ProductID_Clean]],Table3[ProductID],Table3[Category],"Missing Value",0)))</f>
        <v>Sensors</v>
      </c>
      <c r="T1026" t="str">
        <f>_xlfn.XLOOKUP(Table1[[#This Row],[CustomerID_Check]],Table2[CustomerID],Table2[CustomerType],"Missing Value",0)</f>
        <v>Key Account</v>
      </c>
    </row>
    <row r="1027" spans="1:20">
      <c r="A1027" t="s">
        <v>1282</v>
      </c>
      <c r="B1027" s="1">
        <v>45715</v>
      </c>
      <c r="C1027" t="s">
        <v>215</v>
      </c>
      <c r="D1027" t="str">
        <f>UPPER(Table1[[#This Row],[ProductID_Clean]])</f>
        <v>P-SA-001</v>
      </c>
      <c r="E1027" t="s">
        <v>68</v>
      </c>
      <c r="F1027" t="s">
        <v>47</v>
      </c>
      <c r="G1027" t="str">
        <f>TRIM(Table1[[#This Row],[Region_Clean]])</f>
        <v>EMEA</v>
      </c>
      <c r="H1027" t="s">
        <v>53</v>
      </c>
      <c r="I1027" t="s">
        <v>25</v>
      </c>
      <c r="J1027" s="3">
        <v>3</v>
      </c>
      <c r="K1027" s="3">
        <v>4088.52</v>
      </c>
      <c r="L1027">
        <v>4200</v>
      </c>
      <c r="M1027">
        <v>12600</v>
      </c>
      <c r="N1027">
        <v>334.44</v>
      </c>
      <c r="O1027">
        <v>12265.56</v>
      </c>
      <c r="P1027" t="s">
        <v>26</v>
      </c>
      <c r="Q1027" t="s">
        <v>88</v>
      </c>
      <c r="R1027" t="s">
        <v>36</v>
      </c>
      <c r="S1027" t="str">
        <f>TRIM(PROPER(_xlfn.XLOOKUP(Table1[[#This Row],[ProductID_Clean]],Table3[ProductID],Table3[Category],"Missing Value",0)))</f>
        <v>Software</v>
      </c>
      <c r="T1027" t="str">
        <f>_xlfn.XLOOKUP(Table1[[#This Row],[CustomerID_Check]],Table2[CustomerID],Table2[CustomerType],"Missing Value",0)</f>
        <v>Standard</v>
      </c>
    </row>
    <row r="1028" spans="1:20">
      <c r="A1028" t="s">
        <v>1283</v>
      </c>
      <c r="B1028" s="1">
        <v>45825</v>
      </c>
      <c r="C1028" t="s">
        <v>114</v>
      </c>
      <c r="D1028" t="str">
        <f>UPPER(Table1[[#This Row],[ProductID_Clean]])</f>
        <v>P-SI-007</v>
      </c>
      <c r="E1028" t="s">
        <v>97</v>
      </c>
      <c r="F1028" t="s">
        <v>47</v>
      </c>
      <c r="G1028" t="str">
        <f>TRIM(Table1[[#This Row],[Region_Clean]])</f>
        <v>EMEA</v>
      </c>
      <c r="H1028" t="s">
        <v>24</v>
      </c>
      <c r="I1028" t="s">
        <v>25</v>
      </c>
      <c r="J1028" s="3">
        <v>5</v>
      </c>
      <c r="K1028" s="3">
        <v>964.74</v>
      </c>
      <c r="L1028">
        <v>980</v>
      </c>
      <c r="M1028">
        <v>4900</v>
      </c>
      <c r="N1028">
        <v>76.3</v>
      </c>
      <c r="O1028">
        <v>4823.7</v>
      </c>
      <c r="P1028" t="s">
        <v>113</v>
      </c>
      <c r="Q1028" t="s">
        <v>35</v>
      </c>
      <c r="R1028" t="s">
        <v>36</v>
      </c>
      <c r="S1028" t="str">
        <f>TRIM(PROPER(_xlfn.XLOOKUP(Table1[[#This Row],[ProductID_Clean]],Table3[ProductID],Table3[Category],"Missing Value",0)))</f>
        <v>Sensors</v>
      </c>
      <c r="T1028" t="str">
        <f>_xlfn.XLOOKUP(Table1[[#This Row],[CustomerID_Check]],Table2[CustomerID],Table2[CustomerType],"Missing Value",0)</f>
        <v>Standard</v>
      </c>
    </row>
    <row r="1029" spans="1:20">
      <c r="A1029" t="s">
        <v>1284</v>
      </c>
      <c r="B1029" s="1">
        <v>45666</v>
      </c>
      <c r="C1029" t="s">
        <v>780</v>
      </c>
      <c r="D1029" t="str">
        <f>UPPER(Table1[[#This Row],[ProductID_Clean]])</f>
        <v>P-SI-002</v>
      </c>
      <c r="E1029" t="s">
        <v>31</v>
      </c>
      <c r="F1029" t="s">
        <v>32</v>
      </c>
      <c r="G1029" t="str">
        <f>TRIM(Table1[[#This Row],[Region_Clean]])</f>
        <v>LATIN AMERICA</v>
      </c>
      <c r="H1029" t="s">
        <v>24</v>
      </c>
      <c r="I1029" t="s">
        <v>25</v>
      </c>
      <c r="J1029" s="3">
        <v>1</v>
      </c>
      <c r="K1029" s="3">
        <v>673.7</v>
      </c>
      <c r="L1029">
        <v>725</v>
      </c>
      <c r="M1029">
        <v>725</v>
      </c>
      <c r="N1029">
        <v>51.3</v>
      </c>
      <c r="O1029">
        <v>673.7</v>
      </c>
      <c r="P1029" t="s">
        <v>26</v>
      </c>
      <c r="Q1029" t="s">
        <v>65</v>
      </c>
      <c r="R1029" t="s">
        <v>59</v>
      </c>
      <c r="S1029" t="str">
        <f>TRIM(PROPER(_xlfn.XLOOKUP(Table1[[#This Row],[ProductID_Clean]],Table3[ProductID],Table3[Category],"Missing Value",0)))</f>
        <v>Sensors</v>
      </c>
      <c r="T1029" t="str">
        <f>_xlfn.XLOOKUP(Table1[[#This Row],[CustomerID_Check]],Table2[CustomerID],Table2[CustomerType],"Missing Value",0)</f>
        <v>Standard</v>
      </c>
    </row>
    <row r="1030" spans="1:20">
      <c r="A1030" t="s">
        <v>1285</v>
      </c>
      <c r="B1030" s="1">
        <v>45761</v>
      </c>
      <c r="C1030" t="s">
        <v>297</v>
      </c>
      <c r="D1030" t="str">
        <f>UPPER(Table1[[#This Row],[ProductID_Clean]])</f>
        <v>P-SI-007</v>
      </c>
      <c r="E1030" t="s">
        <v>97</v>
      </c>
      <c r="F1030" t="s">
        <v>23</v>
      </c>
      <c r="G1030" t="str">
        <f>TRIM(Table1[[#This Row],[Region_Clean]])</f>
        <v>N. AMERICA</v>
      </c>
      <c r="H1030" t="s">
        <v>24</v>
      </c>
      <c r="I1030" t="s">
        <v>184</v>
      </c>
      <c r="J1030" s="3">
        <v>1</v>
      </c>
      <c r="K1030" s="3">
        <v>770.91</v>
      </c>
      <c r="L1030">
        <v>980</v>
      </c>
      <c r="M1030">
        <v>980</v>
      </c>
      <c r="N1030">
        <v>209.09</v>
      </c>
      <c r="O1030">
        <v>770.91</v>
      </c>
      <c r="P1030" t="s">
        <v>26</v>
      </c>
      <c r="Q1030" t="s">
        <v>35</v>
      </c>
      <c r="R1030" t="s">
        <v>36</v>
      </c>
      <c r="S1030" t="str">
        <f>TRIM(PROPER(_xlfn.XLOOKUP(Table1[[#This Row],[ProductID_Clean]],Table3[ProductID],Table3[Category],"Missing Value",0)))</f>
        <v>Sensors</v>
      </c>
      <c r="T1030" t="str">
        <f>_xlfn.XLOOKUP(Table1[[#This Row],[CustomerID_Check]],Table2[CustomerID],Table2[CustomerType],"Missing Value",0)</f>
        <v>Key Account</v>
      </c>
    </row>
    <row r="1031" spans="1:20">
      <c r="A1031" t="s">
        <v>1286</v>
      </c>
      <c r="B1031" s="1">
        <v>45754</v>
      </c>
      <c r="C1031" t="s">
        <v>190</v>
      </c>
      <c r="D1031" t="str">
        <f>UPPER(Table1[[#This Row],[ProductID_Clean]])</f>
        <v>P-SI-006</v>
      </c>
      <c r="E1031" t="s">
        <v>43</v>
      </c>
      <c r="F1031" t="s">
        <v>47</v>
      </c>
      <c r="G1031" t="str">
        <f>TRIM(Table1[[#This Row],[Region_Clean]])</f>
        <v>EMEA</v>
      </c>
      <c r="H1031" t="s">
        <v>24</v>
      </c>
      <c r="I1031" t="s">
        <v>40</v>
      </c>
      <c r="J1031" s="3">
        <v>5</v>
      </c>
      <c r="K1031" s="3">
        <v>162.66999999999999</v>
      </c>
      <c r="L1031">
        <v>215</v>
      </c>
      <c r="M1031">
        <v>1075</v>
      </c>
      <c r="N1031">
        <v>261.64999999999998</v>
      </c>
      <c r="O1031">
        <v>813.35</v>
      </c>
      <c r="P1031" t="s">
        <v>126</v>
      </c>
      <c r="Q1031" t="s">
        <v>35</v>
      </c>
      <c r="R1031" t="s">
        <v>36</v>
      </c>
      <c r="S1031" t="str">
        <f>TRIM(PROPER(_xlfn.XLOOKUP(Table1[[#This Row],[ProductID_Clean]],Table3[ProductID],Table3[Category],"Missing Value",0)))</f>
        <v>Sensors</v>
      </c>
      <c r="T1031" t="str">
        <f>_xlfn.XLOOKUP(Table1[[#This Row],[CustomerID_Check]],Table2[CustomerID],Table2[CustomerType],"Missing Value",0)</f>
        <v>Strategic</v>
      </c>
    </row>
    <row r="1032" spans="1:20">
      <c r="A1032" t="s">
        <v>1287</v>
      </c>
      <c r="B1032" s="1">
        <v>45779</v>
      </c>
      <c r="C1032" t="s">
        <v>130</v>
      </c>
      <c r="D1032" t="str">
        <f>UPPER(Table1[[#This Row],[ProductID_Clean]])</f>
        <v>P-SI-001</v>
      </c>
      <c r="E1032" t="s">
        <v>72</v>
      </c>
      <c r="F1032" t="s">
        <v>58</v>
      </c>
      <c r="G1032" t="str">
        <f>TRIM(Table1[[#This Row],[Region_Clean]])</f>
        <v>APAC</v>
      </c>
      <c r="H1032" t="s">
        <v>24</v>
      </c>
      <c r="I1032" t="s">
        <v>34</v>
      </c>
      <c r="J1032" s="3">
        <v>10</v>
      </c>
      <c r="K1032" s="3">
        <v>394.06</v>
      </c>
      <c r="L1032">
        <v>485</v>
      </c>
      <c r="M1032">
        <v>4850</v>
      </c>
      <c r="N1032">
        <v>909.4</v>
      </c>
      <c r="O1032">
        <v>3940.6</v>
      </c>
      <c r="P1032" t="s">
        <v>26</v>
      </c>
      <c r="Q1032" t="s">
        <v>27</v>
      </c>
      <c r="R1032" t="s">
        <v>48</v>
      </c>
      <c r="S1032" t="str">
        <f>TRIM(PROPER(_xlfn.XLOOKUP(Table1[[#This Row],[ProductID_Clean]],Table3[ProductID],Table3[Category],"Missing Value",0)))</f>
        <v>Sensors</v>
      </c>
      <c r="T1032" t="str">
        <f>_xlfn.XLOOKUP(Table1[[#This Row],[CustomerID_Check]],Table2[CustomerID],Table2[CustomerType],"Missing Value",0)</f>
        <v>Standard</v>
      </c>
    </row>
    <row r="1033" spans="1:20">
      <c r="A1033" t="s">
        <v>1288</v>
      </c>
      <c r="B1033" s="1">
        <v>45821</v>
      </c>
      <c r="C1033" t="s">
        <v>46</v>
      </c>
      <c r="D1033" t="str">
        <f>UPPER(Table1[[#This Row],[ProductID_Clean]])</f>
        <v>P-FS-004</v>
      </c>
      <c r="E1033" t="s">
        <v>432</v>
      </c>
      <c r="F1033" t="s">
        <v>47</v>
      </c>
      <c r="G1033" t="str">
        <f>TRIM(Table1[[#This Row],[Region_Clean]])</f>
        <v>EMEA</v>
      </c>
      <c r="H1033" t="s">
        <v>82</v>
      </c>
      <c r="I1033" t="s">
        <v>25</v>
      </c>
      <c r="J1033" s="3">
        <v>1</v>
      </c>
      <c r="K1033" s="3">
        <v>2709.62</v>
      </c>
      <c r="L1033">
        <v>3200</v>
      </c>
      <c r="M1033">
        <v>3200</v>
      </c>
      <c r="N1033">
        <v>490.38</v>
      </c>
      <c r="O1033">
        <v>2709.62</v>
      </c>
      <c r="P1033" t="s">
        <v>26</v>
      </c>
      <c r="Q1033" t="s">
        <v>35</v>
      </c>
      <c r="R1033" t="s">
        <v>48</v>
      </c>
      <c r="S1033" t="str">
        <f>TRIM(PROPER(_xlfn.XLOOKUP(Table1[[#This Row],[ProductID_Clean]],Table3[ProductID],Table3[Category],"Missing Value",0)))</f>
        <v>Services</v>
      </c>
      <c r="T1033" t="str">
        <f>_xlfn.XLOOKUP(Table1[[#This Row],[CustomerID_Check]],Table2[CustomerID],Table2[CustomerType],"Missing Value",0)</f>
        <v>Strategic</v>
      </c>
    </row>
    <row r="1034" spans="1:20">
      <c r="A1034" t="s">
        <v>1289</v>
      </c>
      <c r="B1034" s="1">
        <v>45769</v>
      </c>
      <c r="C1034" t="s">
        <v>416</v>
      </c>
      <c r="D1034" t="str">
        <f>UPPER(Table1[[#This Row],[ProductID_Clean]])</f>
        <v>P-SI-002</v>
      </c>
      <c r="E1034" t="s">
        <v>31</v>
      </c>
      <c r="F1034" t="s">
        <v>23</v>
      </c>
      <c r="G1034" t="str">
        <f>TRIM(Table1[[#This Row],[Region_Clean]])</f>
        <v>N. AMERICA</v>
      </c>
      <c r="H1034" t="s">
        <v>24</v>
      </c>
      <c r="I1034" t="s">
        <v>34</v>
      </c>
      <c r="J1034" s="3">
        <v>1</v>
      </c>
      <c r="K1034" s="3">
        <v>635.45000000000005</v>
      </c>
      <c r="L1034">
        <v>725</v>
      </c>
      <c r="M1034">
        <v>725</v>
      </c>
      <c r="N1034">
        <v>89.55</v>
      </c>
      <c r="O1034">
        <v>635.45000000000005</v>
      </c>
      <c r="P1034" t="s">
        <v>26</v>
      </c>
      <c r="Q1034" t="s">
        <v>35</v>
      </c>
      <c r="R1034" t="s">
        <v>48</v>
      </c>
      <c r="S1034" t="str">
        <f>TRIM(PROPER(_xlfn.XLOOKUP(Table1[[#This Row],[ProductID_Clean]],Table3[ProductID],Table3[Category],"Missing Value",0)))</f>
        <v>Sensors</v>
      </c>
      <c r="T1034" t="str">
        <f>_xlfn.XLOOKUP(Table1[[#This Row],[CustomerID_Check]],Table2[CustomerID],Table2[CustomerType],"Missing Value",0)</f>
        <v>Standard</v>
      </c>
    </row>
    <row r="1035" spans="1:20">
      <c r="A1035" t="s">
        <v>1290</v>
      </c>
      <c r="B1035" s="1">
        <v>45742</v>
      </c>
      <c r="C1035" t="s">
        <v>576</v>
      </c>
      <c r="D1035" t="str">
        <f>UPPER(Table1[[#This Row],[ProductID_Clean]])</f>
        <v>P-SI-003</v>
      </c>
      <c r="E1035" t="s">
        <v>39</v>
      </c>
      <c r="F1035" t="s">
        <v>58</v>
      </c>
      <c r="G1035" t="str">
        <f>TRIM(Table1[[#This Row],[Region_Clean]])</f>
        <v>APAC</v>
      </c>
      <c r="H1035" t="s">
        <v>24</v>
      </c>
      <c r="I1035" t="s">
        <v>25</v>
      </c>
      <c r="J1035" s="3">
        <v>5</v>
      </c>
      <c r="K1035" s="3">
        <v>1704.31</v>
      </c>
      <c r="L1035">
        <v>1890</v>
      </c>
      <c r="M1035">
        <v>9450</v>
      </c>
      <c r="N1035">
        <v>928.45</v>
      </c>
      <c r="O1035">
        <v>8521.5499999999993</v>
      </c>
      <c r="P1035" t="s">
        <v>26</v>
      </c>
      <c r="Q1035" t="s">
        <v>27</v>
      </c>
      <c r="R1035" t="s">
        <v>36</v>
      </c>
      <c r="S1035" t="str">
        <f>TRIM(PROPER(_xlfn.XLOOKUP(Table1[[#This Row],[ProductID_Clean]],Table3[ProductID],Table3[Category],"Missing Value",0)))</f>
        <v>Instruments</v>
      </c>
      <c r="T1035" t="str">
        <f>_xlfn.XLOOKUP(Table1[[#This Row],[CustomerID_Check]],Table2[CustomerID],Table2[CustomerType],"Missing Value",0)</f>
        <v>Standard</v>
      </c>
    </row>
    <row r="1036" spans="1:20">
      <c r="A1036" t="s">
        <v>1291</v>
      </c>
      <c r="B1036" s="1">
        <v>45793</v>
      </c>
      <c r="C1036" t="s">
        <v>666</v>
      </c>
      <c r="D1036" t="str">
        <f>UPPER(Table1[[#This Row],[ProductID_Clean]])</f>
        <v>P-SI-001</v>
      </c>
      <c r="E1036" t="s">
        <v>72</v>
      </c>
      <c r="F1036" t="s">
        <v>47</v>
      </c>
      <c r="G1036" t="str">
        <f>TRIM(Table1[[#This Row],[Region_Clean]])</f>
        <v>EMEA</v>
      </c>
      <c r="H1036" t="s">
        <v>24</v>
      </c>
      <c r="I1036" t="s">
        <v>34</v>
      </c>
      <c r="J1036" s="3">
        <v>12</v>
      </c>
      <c r="K1036" s="3">
        <v>456.57</v>
      </c>
      <c r="L1036">
        <v>485</v>
      </c>
      <c r="M1036">
        <v>5820</v>
      </c>
      <c r="N1036">
        <v>341.16</v>
      </c>
      <c r="O1036">
        <v>5478.84</v>
      </c>
      <c r="P1036" t="s">
        <v>26</v>
      </c>
      <c r="Q1036" t="s">
        <v>35</v>
      </c>
      <c r="R1036" t="s">
        <v>36</v>
      </c>
      <c r="S1036" t="str">
        <f>TRIM(PROPER(_xlfn.XLOOKUP(Table1[[#This Row],[ProductID_Clean]],Table3[ProductID],Table3[Category],"Missing Value",0)))</f>
        <v>Sensors</v>
      </c>
      <c r="T1036" t="str">
        <f>_xlfn.XLOOKUP(Table1[[#This Row],[CustomerID_Check]],Table2[CustomerID],Table2[CustomerType],"Missing Value",0)</f>
        <v>Standard</v>
      </c>
    </row>
    <row r="1037" spans="1:20">
      <c r="A1037" t="s">
        <v>1292</v>
      </c>
      <c r="B1037" s="1">
        <v>45716</v>
      </c>
      <c r="C1037" t="s">
        <v>235</v>
      </c>
      <c r="D1037" t="str">
        <f>UPPER(Table1[[#This Row],[ProductID_Clean]])</f>
        <v>P-SI-002</v>
      </c>
      <c r="E1037" t="s">
        <v>31</v>
      </c>
      <c r="F1037" t="s">
        <v>47</v>
      </c>
      <c r="G1037" t="str">
        <f>TRIM(Table1[[#This Row],[Region_Clean]])</f>
        <v>EMEA</v>
      </c>
      <c r="H1037" t="s">
        <v>24</v>
      </c>
      <c r="I1037" t="s">
        <v>34</v>
      </c>
      <c r="J1037" s="3">
        <v>2</v>
      </c>
      <c r="K1037" s="3">
        <v>661.09</v>
      </c>
      <c r="L1037">
        <v>725</v>
      </c>
      <c r="M1037">
        <v>1450</v>
      </c>
      <c r="N1037">
        <v>127.82</v>
      </c>
      <c r="O1037">
        <v>1322.18</v>
      </c>
      <c r="P1037" t="s">
        <v>26</v>
      </c>
      <c r="Q1037" t="s">
        <v>27</v>
      </c>
      <c r="R1037" t="s">
        <v>44</v>
      </c>
      <c r="S1037" t="str">
        <f>TRIM(PROPER(_xlfn.XLOOKUP(Table1[[#This Row],[ProductID_Clean]],Table3[ProductID],Table3[Category],"Missing Value",0)))</f>
        <v>Sensors</v>
      </c>
      <c r="T1037" t="str">
        <f>_xlfn.XLOOKUP(Table1[[#This Row],[CustomerID_Check]],Table2[CustomerID],Table2[CustomerType],"Missing Value",0)</f>
        <v>Key Account</v>
      </c>
    </row>
    <row r="1038" spans="1:20">
      <c r="A1038" t="s">
        <v>1293</v>
      </c>
      <c r="B1038" s="1">
        <v>45803</v>
      </c>
      <c r="C1038" t="s">
        <v>182</v>
      </c>
      <c r="D1038" t="str">
        <f>UPPER(Table1[[#This Row],[ProductID_Clean]])</f>
        <v>P-SI-002</v>
      </c>
      <c r="E1038" t="s">
        <v>31</v>
      </c>
      <c r="F1038" t="s">
        <v>47</v>
      </c>
      <c r="G1038" t="str">
        <f>TRIM(Table1[[#This Row],[Region_Clean]])</f>
        <v>EMEA</v>
      </c>
      <c r="H1038" t="s">
        <v>24</v>
      </c>
      <c r="I1038" t="s">
        <v>34</v>
      </c>
      <c r="J1038" s="3">
        <v>3</v>
      </c>
      <c r="K1038" s="3">
        <v>637.63</v>
      </c>
      <c r="L1038">
        <v>725</v>
      </c>
      <c r="M1038">
        <v>2175</v>
      </c>
      <c r="N1038">
        <v>262.11</v>
      </c>
      <c r="O1038">
        <v>1912.89</v>
      </c>
      <c r="P1038" t="s">
        <v>26</v>
      </c>
      <c r="Q1038" t="s">
        <v>35</v>
      </c>
      <c r="R1038" t="s">
        <v>44</v>
      </c>
      <c r="S1038" t="str">
        <f>TRIM(PROPER(_xlfn.XLOOKUP(Table1[[#This Row],[ProductID_Clean]],Table3[ProductID],Table3[Category],"Missing Value",0)))</f>
        <v>Sensors</v>
      </c>
      <c r="T1038" t="str">
        <f>_xlfn.XLOOKUP(Table1[[#This Row],[CustomerID_Check]],Table2[CustomerID],Table2[CustomerType],"Missing Value",0)</f>
        <v>Key Account</v>
      </c>
    </row>
    <row r="1039" spans="1:20">
      <c r="A1039" t="s">
        <v>1294</v>
      </c>
      <c r="B1039" s="1">
        <v>45677</v>
      </c>
      <c r="C1039" t="s">
        <v>410</v>
      </c>
      <c r="D1039" t="str">
        <f>UPPER(Table1[[#This Row],[ProductID_Clean]])</f>
        <v>P-SI-001</v>
      </c>
      <c r="E1039" t="s">
        <v>72</v>
      </c>
      <c r="F1039" t="s">
        <v>23</v>
      </c>
      <c r="G1039" t="str">
        <f>TRIM(Table1[[#This Row],[Region_Clean]])</f>
        <v>N. AMERICA</v>
      </c>
      <c r="H1039" t="s">
        <v>24</v>
      </c>
      <c r="I1039" t="s">
        <v>25</v>
      </c>
      <c r="J1039" s="3">
        <v>1</v>
      </c>
      <c r="K1039" s="3">
        <v>427.98</v>
      </c>
      <c r="L1039">
        <v>485</v>
      </c>
      <c r="M1039">
        <v>485</v>
      </c>
      <c r="N1039">
        <v>57.02</v>
      </c>
      <c r="O1039">
        <v>427.98</v>
      </c>
      <c r="P1039" t="s">
        <v>26</v>
      </c>
      <c r="Q1039" t="s">
        <v>65</v>
      </c>
      <c r="R1039" t="s">
        <v>28</v>
      </c>
      <c r="S1039" t="str">
        <f>TRIM(PROPER(_xlfn.XLOOKUP(Table1[[#This Row],[ProductID_Clean]],Table3[ProductID],Table3[Category],"Missing Value",0)))</f>
        <v>Sensors</v>
      </c>
      <c r="T1039" t="str">
        <f>_xlfn.XLOOKUP(Table1[[#This Row],[CustomerID_Check]],Table2[CustomerID],Table2[CustomerType],"Missing Value",0)</f>
        <v>Key Account</v>
      </c>
    </row>
    <row r="1040" spans="1:20">
      <c r="A1040" t="s">
        <v>1295</v>
      </c>
      <c r="B1040" s="1">
        <v>45802</v>
      </c>
      <c r="C1040" t="s">
        <v>504</v>
      </c>
      <c r="D1040" t="str">
        <f>UPPER(Table1[[#This Row],[ProductID_Clean]])</f>
        <v>P-SA-004</v>
      </c>
      <c r="E1040" t="s">
        <v>86</v>
      </c>
      <c r="F1040" t="s">
        <v>23</v>
      </c>
      <c r="G1040" t="str">
        <f>TRIM(Table1[[#This Row],[Region_Clean]])</f>
        <v>N. AMERICA</v>
      </c>
      <c r="H1040" t="s">
        <v>53</v>
      </c>
      <c r="I1040" t="s">
        <v>25</v>
      </c>
      <c r="J1040" s="3">
        <v>1</v>
      </c>
      <c r="K1040" s="3">
        <v>1526.21</v>
      </c>
      <c r="L1040">
        <v>1650</v>
      </c>
      <c r="M1040">
        <v>1650</v>
      </c>
      <c r="N1040">
        <v>123.79</v>
      </c>
      <c r="O1040">
        <v>1526.21</v>
      </c>
      <c r="P1040" t="s">
        <v>26</v>
      </c>
      <c r="Q1040" t="s">
        <v>88</v>
      </c>
      <c r="R1040" t="s">
        <v>44</v>
      </c>
      <c r="S1040" t="str">
        <f>TRIM(PROPER(_xlfn.XLOOKUP(Table1[[#This Row],[ProductID_Clean]],Table3[ProductID],Table3[Category],"Missing Value",0)))</f>
        <v>Software</v>
      </c>
      <c r="T1040" t="str">
        <f>_xlfn.XLOOKUP(Table1[[#This Row],[CustomerID_Check]],Table2[CustomerID],Table2[CustomerType],"Missing Value",0)</f>
        <v>Emerging</v>
      </c>
    </row>
    <row r="1041" spans="1:20">
      <c r="A1041" t="s">
        <v>1296</v>
      </c>
      <c r="B1041" s="1">
        <v>45666</v>
      </c>
      <c r="C1041" t="s">
        <v>710</v>
      </c>
      <c r="D1041" t="str">
        <f>UPPER(Table1[[#This Row],[ProductID_Clean]])</f>
        <v>P-SI-006</v>
      </c>
      <c r="E1041" t="s">
        <v>43</v>
      </c>
      <c r="F1041" t="s">
        <v>23</v>
      </c>
      <c r="G1041" t="str">
        <f>TRIM(Table1[[#This Row],[Region_Clean]])</f>
        <v>N. AMERICA</v>
      </c>
      <c r="H1041" t="s">
        <v>24</v>
      </c>
      <c r="I1041" t="s">
        <v>34</v>
      </c>
      <c r="J1041" s="3">
        <v>3</v>
      </c>
      <c r="K1041" s="3">
        <v>183.54</v>
      </c>
      <c r="L1041">
        <v>215</v>
      </c>
      <c r="M1041">
        <v>645</v>
      </c>
      <c r="N1041">
        <v>94.38</v>
      </c>
      <c r="O1041">
        <v>550.62</v>
      </c>
      <c r="P1041" t="s">
        <v>26</v>
      </c>
      <c r="Q1041" t="s">
        <v>27</v>
      </c>
      <c r="R1041" t="s">
        <v>59</v>
      </c>
      <c r="S1041" t="str">
        <f>TRIM(PROPER(_xlfn.XLOOKUP(Table1[[#This Row],[ProductID_Clean]],Table3[ProductID],Table3[Category],"Missing Value",0)))</f>
        <v>Sensors</v>
      </c>
      <c r="T1041" t="str">
        <f>_xlfn.XLOOKUP(Table1[[#This Row],[CustomerID_Check]],Table2[CustomerID],Table2[CustomerType],"Missing Value",0)</f>
        <v>Standard</v>
      </c>
    </row>
    <row r="1042" spans="1:20">
      <c r="A1042" t="s">
        <v>1297</v>
      </c>
      <c r="B1042" s="1">
        <v>45738</v>
      </c>
      <c r="C1042" t="s">
        <v>225</v>
      </c>
      <c r="D1042" t="str">
        <f>UPPER(Table1[[#This Row],[ProductID_Clean]])</f>
        <v>P-SI-002</v>
      </c>
      <c r="E1042" t="s">
        <v>31</v>
      </c>
      <c r="F1042" t="s">
        <v>23</v>
      </c>
      <c r="G1042" t="str">
        <f>TRIM(Table1[[#This Row],[Region_Clean]])</f>
        <v>N. AMERICA</v>
      </c>
      <c r="H1042" t="s">
        <v>24</v>
      </c>
      <c r="I1042" t="s">
        <v>87</v>
      </c>
      <c r="J1042" s="3">
        <v>4</v>
      </c>
      <c r="K1042" s="3">
        <v>627.27</v>
      </c>
      <c r="L1042">
        <v>725</v>
      </c>
      <c r="M1042">
        <v>2900</v>
      </c>
      <c r="N1042">
        <v>390.92</v>
      </c>
      <c r="O1042">
        <v>2509.08</v>
      </c>
      <c r="P1042" t="s">
        <v>26</v>
      </c>
      <c r="Q1042" t="s">
        <v>35</v>
      </c>
      <c r="R1042" t="s">
        <v>36</v>
      </c>
      <c r="S1042" t="str">
        <f>TRIM(PROPER(_xlfn.XLOOKUP(Table1[[#This Row],[ProductID_Clean]],Table3[ProductID],Table3[Category],"Missing Value",0)))</f>
        <v>Sensors</v>
      </c>
      <c r="T1042" t="str">
        <f>_xlfn.XLOOKUP(Table1[[#This Row],[CustomerID_Check]],Table2[CustomerID],Table2[CustomerType],"Missing Value",0)</f>
        <v>Key Account</v>
      </c>
    </row>
    <row r="1043" spans="1:20">
      <c r="A1043" t="s">
        <v>1298</v>
      </c>
      <c r="B1043" s="1">
        <v>45711</v>
      </c>
      <c r="C1043" t="s">
        <v>212</v>
      </c>
      <c r="D1043" t="str">
        <f>UPPER(Table1[[#This Row],[ProductID_Clean]])</f>
        <v>P-SI-003</v>
      </c>
      <c r="E1043" t="s">
        <v>39</v>
      </c>
      <c r="F1043" t="s">
        <v>47</v>
      </c>
      <c r="G1043" t="str">
        <f>TRIM(Table1[[#This Row],[Region_Clean]])</f>
        <v>EMEA</v>
      </c>
      <c r="H1043" t="s">
        <v>24</v>
      </c>
      <c r="I1043" t="s">
        <v>87</v>
      </c>
      <c r="J1043" s="3">
        <v>5</v>
      </c>
      <c r="K1043" s="3">
        <v>1533.93</v>
      </c>
      <c r="L1043">
        <v>1890</v>
      </c>
      <c r="M1043">
        <v>9450</v>
      </c>
      <c r="N1043">
        <v>1780.35</v>
      </c>
      <c r="O1043">
        <v>7669.65</v>
      </c>
      <c r="P1043" t="s">
        <v>26</v>
      </c>
      <c r="Q1043" t="s">
        <v>40</v>
      </c>
      <c r="R1043" t="s">
        <v>44</v>
      </c>
      <c r="S1043" t="str">
        <f>TRIM(PROPER(_xlfn.XLOOKUP(Table1[[#This Row],[ProductID_Clean]],Table3[ProductID],Table3[Category],"Missing Value",0)))</f>
        <v>Instruments</v>
      </c>
      <c r="T1043" t="str">
        <f>_xlfn.XLOOKUP(Table1[[#This Row],[CustomerID_Check]],Table2[CustomerID],Table2[CustomerType],"Missing Value",0)</f>
        <v>Key Account</v>
      </c>
    </row>
    <row r="1044" spans="1:20">
      <c r="A1044" t="s">
        <v>1299</v>
      </c>
      <c r="B1044" s="1">
        <v>45694</v>
      </c>
      <c r="C1044" t="s">
        <v>74</v>
      </c>
      <c r="D1044" t="str">
        <f>UPPER(Table1[[#This Row],[ProductID_Clean]])</f>
        <v>P-SI-006</v>
      </c>
      <c r="E1044" t="s">
        <v>43</v>
      </c>
      <c r="F1044" t="s">
        <v>47</v>
      </c>
      <c r="G1044" t="str">
        <f>TRIM(Table1[[#This Row],[Region_Clean]])</f>
        <v>EMEA</v>
      </c>
      <c r="H1044" t="s">
        <v>24</v>
      </c>
      <c r="I1044" t="s">
        <v>25</v>
      </c>
      <c r="J1044" s="3">
        <v>1</v>
      </c>
      <c r="K1044" s="3">
        <v>192.72</v>
      </c>
      <c r="L1044">
        <v>215</v>
      </c>
      <c r="M1044">
        <v>215</v>
      </c>
      <c r="N1044">
        <v>22.28</v>
      </c>
      <c r="O1044">
        <v>192.72</v>
      </c>
      <c r="P1044" t="s">
        <v>26</v>
      </c>
      <c r="Q1044" t="s">
        <v>27</v>
      </c>
      <c r="R1044" t="s">
        <v>44</v>
      </c>
      <c r="S1044" t="str">
        <f>TRIM(PROPER(_xlfn.XLOOKUP(Table1[[#This Row],[ProductID_Clean]],Table3[ProductID],Table3[Category],"Missing Value",0)))</f>
        <v>Sensors</v>
      </c>
      <c r="T1044" t="str">
        <f>_xlfn.XLOOKUP(Table1[[#This Row],[CustomerID_Check]],Table2[CustomerID],Table2[CustomerType],"Missing Value",0)</f>
        <v>Standard</v>
      </c>
    </row>
    <row r="1045" spans="1:20">
      <c r="A1045" t="s">
        <v>1300</v>
      </c>
      <c r="B1045" s="1">
        <v>45759</v>
      </c>
      <c r="C1045" t="s">
        <v>190</v>
      </c>
      <c r="D1045" t="str">
        <f>UPPER(Table1[[#This Row],[ProductID_Clean]])</f>
        <v>P-SI-007</v>
      </c>
      <c r="E1045" t="s">
        <v>97</v>
      </c>
      <c r="F1045" t="s">
        <v>47</v>
      </c>
      <c r="G1045" t="str">
        <f>TRIM(Table1[[#This Row],[Region_Clean]])</f>
        <v>EMEA</v>
      </c>
      <c r="H1045" t="s">
        <v>24</v>
      </c>
      <c r="I1045" t="s">
        <v>87</v>
      </c>
      <c r="J1045" s="3">
        <v>10</v>
      </c>
      <c r="K1045" s="3">
        <v>741.4</v>
      </c>
      <c r="L1045">
        <v>980</v>
      </c>
      <c r="M1045">
        <v>9800</v>
      </c>
      <c r="N1045">
        <v>2386</v>
      </c>
      <c r="O1045">
        <v>7414</v>
      </c>
      <c r="P1045" t="s">
        <v>26</v>
      </c>
      <c r="Q1045" t="s">
        <v>35</v>
      </c>
      <c r="R1045" t="s">
        <v>36</v>
      </c>
      <c r="S1045" t="str">
        <f>TRIM(PROPER(_xlfn.XLOOKUP(Table1[[#This Row],[ProductID_Clean]],Table3[ProductID],Table3[Category],"Missing Value",0)))</f>
        <v>Sensors</v>
      </c>
      <c r="T1045" t="str">
        <f>_xlfn.XLOOKUP(Table1[[#This Row],[CustomerID_Check]],Table2[CustomerID],Table2[CustomerType],"Missing Value",0)</f>
        <v>Strategic</v>
      </c>
    </row>
    <row r="1046" spans="1:20">
      <c r="A1046" t="s">
        <v>1301</v>
      </c>
      <c r="B1046" s="1">
        <v>45734</v>
      </c>
      <c r="C1046" t="s">
        <v>262</v>
      </c>
      <c r="D1046" t="str">
        <f>UPPER(Table1[[#This Row],[ProductID_Clean]])</f>
        <v>P-SA-004</v>
      </c>
      <c r="E1046" t="s">
        <v>86</v>
      </c>
      <c r="F1046" t="s">
        <v>23</v>
      </c>
      <c r="G1046" t="str">
        <f>TRIM(Table1[[#This Row],[Region_Clean]])</f>
        <v>N. AMERICA</v>
      </c>
      <c r="H1046" t="s">
        <v>53</v>
      </c>
      <c r="I1046" t="s">
        <v>25</v>
      </c>
      <c r="J1046" s="3">
        <v>1</v>
      </c>
      <c r="K1046" s="3">
        <v>1413.6</v>
      </c>
      <c r="L1046">
        <v>1650</v>
      </c>
      <c r="M1046">
        <v>1650</v>
      </c>
      <c r="N1046">
        <v>236.4</v>
      </c>
      <c r="O1046">
        <v>1413.6</v>
      </c>
      <c r="P1046" t="s">
        <v>26</v>
      </c>
      <c r="Q1046" t="s">
        <v>54</v>
      </c>
      <c r="R1046" t="s">
        <v>48</v>
      </c>
      <c r="S1046" t="str">
        <f>TRIM(PROPER(_xlfn.XLOOKUP(Table1[[#This Row],[ProductID_Clean]],Table3[ProductID],Table3[Category],"Missing Value",0)))</f>
        <v>Software</v>
      </c>
      <c r="T1046" t="str">
        <f>_xlfn.XLOOKUP(Table1[[#This Row],[CustomerID_Check]],Table2[CustomerID],Table2[CustomerType],"Missing Value",0)</f>
        <v>Key Account</v>
      </c>
    </row>
    <row r="1047" spans="1:20">
      <c r="A1047" t="s">
        <v>1302</v>
      </c>
      <c r="B1047" s="1">
        <v>45802</v>
      </c>
      <c r="C1047" t="s">
        <v>516</v>
      </c>
      <c r="D1047" t="str">
        <f>UPPER(Table1[[#This Row],[ProductID_Clean]])</f>
        <v>P-SA-004</v>
      </c>
      <c r="E1047" t="s">
        <v>86</v>
      </c>
      <c r="F1047" t="s">
        <v>58</v>
      </c>
      <c r="G1047" t="str">
        <f>TRIM(Table1[[#This Row],[Region_Clean]])</f>
        <v>APAC</v>
      </c>
      <c r="H1047" t="s">
        <v>53</v>
      </c>
      <c r="I1047" t="s">
        <v>184</v>
      </c>
      <c r="J1047" s="3">
        <v>1</v>
      </c>
      <c r="K1047" s="3">
        <v>1414.12</v>
      </c>
      <c r="L1047">
        <v>1650</v>
      </c>
      <c r="M1047">
        <v>1650</v>
      </c>
      <c r="N1047">
        <v>235.88</v>
      </c>
      <c r="O1047">
        <v>1414.12</v>
      </c>
      <c r="P1047" t="s">
        <v>26</v>
      </c>
      <c r="Q1047" t="s">
        <v>54</v>
      </c>
      <c r="R1047" t="s">
        <v>48</v>
      </c>
      <c r="S1047" t="str">
        <f>TRIM(PROPER(_xlfn.XLOOKUP(Table1[[#This Row],[ProductID_Clean]],Table3[ProductID],Table3[Category],"Missing Value",0)))</f>
        <v>Software</v>
      </c>
      <c r="T1047" t="str">
        <f>_xlfn.XLOOKUP(Table1[[#This Row],[CustomerID_Check]],Table2[CustomerID],Table2[CustomerType],"Missing Value",0)</f>
        <v>Standard</v>
      </c>
    </row>
    <row r="1048" spans="1:20">
      <c r="A1048" t="s">
        <v>1303</v>
      </c>
      <c r="B1048" s="1">
        <v>45803</v>
      </c>
      <c r="C1048" t="s">
        <v>235</v>
      </c>
      <c r="D1048" t="str">
        <f>UPPER(Table1[[#This Row],[ProductID_Clean]])</f>
        <v>P-SA-004</v>
      </c>
      <c r="E1048" t="s">
        <v>86</v>
      </c>
      <c r="F1048" t="s">
        <v>47</v>
      </c>
      <c r="G1048" t="str">
        <f>TRIM(Table1[[#This Row],[Region_Clean]])</f>
        <v>EMEA</v>
      </c>
      <c r="H1048" t="s">
        <v>53</v>
      </c>
      <c r="I1048" t="s">
        <v>87</v>
      </c>
      <c r="J1048" s="3">
        <v>1</v>
      </c>
      <c r="K1048" s="3">
        <v>1383.25</v>
      </c>
      <c r="L1048">
        <v>1650</v>
      </c>
      <c r="M1048">
        <v>1650</v>
      </c>
      <c r="N1048">
        <v>266.75</v>
      </c>
      <c r="O1048">
        <v>1383.25</v>
      </c>
      <c r="P1048" t="s">
        <v>26</v>
      </c>
      <c r="Q1048" t="s">
        <v>88</v>
      </c>
      <c r="R1048" t="s">
        <v>44</v>
      </c>
      <c r="S1048" t="str">
        <f>TRIM(PROPER(_xlfn.XLOOKUP(Table1[[#This Row],[ProductID_Clean]],Table3[ProductID],Table3[Category],"Missing Value",0)))</f>
        <v>Software</v>
      </c>
      <c r="T1048" t="str">
        <f>_xlfn.XLOOKUP(Table1[[#This Row],[CustomerID_Check]],Table2[CustomerID],Table2[CustomerType],"Missing Value",0)</f>
        <v>Key Account</v>
      </c>
    </row>
    <row r="1049" spans="1:20">
      <c r="A1049" t="s">
        <v>1304</v>
      </c>
      <c r="B1049" s="1">
        <v>45831</v>
      </c>
      <c r="C1049" t="s">
        <v>310</v>
      </c>
      <c r="D1049" t="str">
        <f>UPPER(Table1[[#This Row],[ProductID_Clean]])</f>
        <v>P-SA-002</v>
      </c>
      <c r="E1049" t="s">
        <v>147</v>
      </c>
      <c r="F1049" t="s">
        <v>47</v>
      </c>
      <c r="G1049" t="str">
        <f>TRIM(Table1[[#This Row],[Region_Clean]])</f>
        <v>EMEA</v>
      </c>
      <c r="H1049" t="s">
        <v>53</v>
      </c>
      <c r="I1049" t="s">
        <v>25</v>
      </c>
      <c r="J1049" s="3">
        <v>1</v>
      </c>
      <c r="K1049" s="3">
        <v>8826.9599999999991</v>
      </c>
      <c r="L1049">
        <v>9800</v>
      </c>
      <c r="M1049">
        <v>9800</v>
      </c>
      <c r="N1049">
        <v>973.04</v>
      </c>
      <c r="O1049">
        <v>8826.9599999999991</v>
      </c>
      <c r="P1049" t="s">
        <v>26</v>
      </c>
      <c r="Q1049" t="s">
        <v>88</v>
      </c>
      <c r="R1049" t="s">
        <v>44</v>
      </c>
      <c r="S1049" t="str">
        <f>TRIM(PROPER(_xlfn.XLOOKUP(Table1[[#This Row],[ProductID_Clean]],Table3[ProductID],Table3[Category],"Missing Value",0)))</f>
        <v>Software</v>
      </c>
      <c r="T1049" t="str">
        <f>_xlfn.XLOOKUP(Table1[[#This Row],[CustomerID_Check]],Table2[CustomerID],Table2[CustomerType],"Missing Value",0)</f>
        <v>Standard</v>
      </c>
    </row>
    <row r="1050" spans="1:20">
      <c r="A1050" t="s">
        <v>1305</v>
      </c>
      <c r="B1050" s="1">
        <v>45742</v>
      </c>
      <c r="C1050" t="s">
        <v>74</v>
      </c>
      <c r="D1050" t="str">
        <f>UPPER(Table1[[#This Row],[ProductID_Clean]])</f>
        <v>P-SI-007</v>
      </c>
      <c r="E1050" t="s">
        <v>97</v>
      </c>
      <c r="F1050" t="s">
        <v>47</v>
      </c>
      <c r="G1050" t="str">
        <f>TRIM(Table1[[#This Row],[Region_Clean]])</f>
        <v>EMEA</v>
      </c>
      <c r="H1050" t="s">
        <v>24</v>
      </c>
      <c r="I1050" t="s">
        <v>34</v>
      </c>
      <c r="J1050" s="3">
        <v>1</v>
      </c>
      <c r="K1050" s="3">
        <v>796.16</v>
      </c>
      <c r="L1050">
        <v>980</v>
      </c>
      <c r="M1050">
        <v>980</v>
      </c>
      <c r="N1050">
        <v>183.84</v>
      </c>
      <c r="O1050">
        <v>796.16</v>
      </c>
      <c r="P1050" t="s">
        <v>26</v>
      </c>
      <c r="Q1050" t="s">
        <v>35</v>
      </c>
      <c r="R1050" t="s">
        <v>44</v>
      </c>
      <c r="S1050" t="str">
        <f>TRIM(PROPER(_xlfn.XLOOKUP(Table1[[#This Row],[ProductID_Clean]],Table3[ProductID],Table3[Category],"Missing Value",0)))</f>
        <v>Sensors</v>
      </c>
      <c r="T1050" t="str">
        <f>_xlfn.XLOOKUP(Table1[[#This Row],[CustomerID_Check]],Table2[CustomerID],Table2[CustomerType],"Missing Value",0)</f>
        <v>Standard</v>
      </c>
    </row>
    <row r="1051" spans="1:20">
      <c r="A1051" t="s">
        <v>1306</v>
      </c>
      <c r="B1051" s="1">
        <v>45773</v>
      </c>
      <c r="C1051" t="s">
        <v>176</v>
      </c>
      <c r="D1051" t="str">
        <f>UPPER(Table1[[#This Row],[ProductID_Clean]])</f>
        <v>P-SI-002</v>
      </c>
      <c r="E1051" t="s">
        <v>31</v>
      </c>
      <c r="F1051" t="s">
        <v>198</v>
      </c>
      <c r="G1051" t="str">
        <f>TRIM(Table1[[#This Row],[Region_Clean]])</f>
        <v>APAC</v>
      </c>
      <c r="H1051" t="s">
        <v>24</v>
      </c>
      <c r="I1051" t="s">
        <v>184</v>
      </c>
      <c r="J1051" s="3">
        <v>3</v>
      </c>
      <c r="K1051" s="3">
        <v>36.25</v>
      </c>
      <c r="L1051">
        <v>725</v>
      </c>
      <c r="M1051">
        <v>2175</v>
      </c>
      <c r="N1051">
        <v>2066.25</v>
      </c>
      <c r="O1051">
        <v>108.75</v>
      </c>
      <c r="P1051" t="s">
        <v>26</v>
      </c>
      <c r="Q1051" t="s">
        <v>65</v>
      </c>
      <c r="R1051" t="s">
        <v>28</v>
      </c>
      <c r="S1051" t="str">
        <f>TRIM(PROPER(_xlfn.XLOOKUP(Table1[[#This Row],[ProductID_Clean]],Table3[ProductID],Table3[Category],"Missing Value",0)))</f>
        <v>Sensors</v>
      </c>
      <c r="T1051" t="str">
        <f>_xlfn.XLOOKUP(Table1[[#This Row],[CustomerID_Check]],Table2[CustomerID],Table2[CustomerType],"Missing Value",0)</f>
        <v>Emerging</v>
      </c>
    </row>
    <row r="1052" spans="1:20">
      <c r="A1052" t="s">
        <v>1307</v>
      </c>
      <c r="B1052" s="1">
        <v>45678</v>
      </c>
      <c r="C1052" t="s">
        <v>114</v>
      </c>
      <c r="D1052" t="str">
        <f>UPPER(Table1[[#This Row],[ProductID_Clean]])</f>
        <v>P-SI-004</v>
      </c>
      <c r="E1052" t="s">
        <v>22</v>
      </c>
      <c r="F1052" t="s">
        <v>47</v>
      </c>
      <c r="G1052" t="str">
        <f>TRIM(Table1[[#This Row],[Region_Clean]])</f>
        <v>EMEA</v>
      </c>
      <c r="H1052" t="s">
        <v>24</v>
      </c>
      <c r="I1052" t="s">
        <v>87</v>
      </c>
      <c r="J1052" s="3">
        <v>1</v>
      </c>
      <c r="K1052" s="3">
        <v>2042.53</v>
      </c>
      <c r="L1052">
        <v>2450</v>
      </c>
      <c r="M1052">
        <v>2450</v>
      </c>
      <c r="N1052">
        <v>407.47</v>
      </c>
      <c r="O1052">
        <v>2042.53</v>
      </c>
      <c r="P1052" t="s">
        <v>26</v>
      </c>
      <c r="Q1052" t="s">
        <v>35</v>
      </c>
      <c r="R1052" t="s">
        <v>36</v>
      </c>
      <c r="S1052" t="str">
        <f>TRIM(PROPER(_xlfn.XLOOKUP(Table1[[#This Row],[ProductID_Clean]],Table3[ProductID],Table3[Category],"Missing Value",0)))</f>
        <v>Instruments</v>
      </c>
      <c r="T1052" t="str">
        <f>_xlfn.XLOOKUP(Table1[[#This Row],[CustomerID_Check]],Table2[CustomerID],Table2[CustomerType],"Missing Value",0)</f>
        <v>Standard</v>
      </c>
    </row>
    <row r="1053" spans="1:20">
      <c r="A1053" t="s">
        <v>1308</v>
      </c>
      <c r="B1053" s="1">
        <v>45746</v>
      </c>
      <c r="C1053" t="s">
        <v>235</v>
      </c>
      <c r="D1053" t="str">
        <f>UPPER(Table1[[#This Row],[ProductID_Clean]])</f>
        <v>P-SA-001</v>
      </c>
      <c r="E1053" t="s">
        <v>68</v>
      </c>
      <c r="F1053" t="s">
        <v>47</v>
      </c>
      <c r="G1053" t="str">
        <f>TRIM(Table1[[#This Row],[Region_Clean]])</f>
        <v>EMEA</v>
      </c>
      <c r="H1053" t="s">
        <v>53</v>
      </c>
      <c r="I1053" t="s">
        <v>87</v>
      </c>
      <c r="J1053" s="3">
        <v>1</v>
      </c>
      <c r="K1053" s="3">
        <v>3403.28</v>
      </c>
      <c r="L1053">
        <v>4200</v>
      </c>
      <c r="M1053">
        <v>4200</v>
      </c>
      <c r="N1053">
        <v>796.72</v>
      </c>
      <c r="O1053">
        <v>3403.28</v>
      </c>
      <c r="P1053" t="s">
        <v>26</v>
      </c>
      <c r="Q1053" t="s">
        <v>88</v>
      </c>
      <c r="R1053" t="s">
        <v>44</v>
      </c>
      <c r="S1053" t="str">
        <f>TRIM(PROPER(_xlfn.XLOOKUP(Table1[[#This Row],[ProductID_Clean]],Table3[ProductID],Table3[Category],"Missing Value",0)))</f>
        <v>Software</v>
      </c>
      <c r="T1053" t="str">
        <f>_xlfn.XLOOKUP(Table1[[#This Row],[CustomerID_Check]],Table2[CustomerID],Table2[CustomerType],"Missing Value",0)</f>
        <v>Key Account</v>
      </c>
    </row>
    <row r="1054" spans="1:20">
      <c r="A1054" t="s">
        <v>1309</v>
      </c>
      <c r="B1054" s="1">
        <v>45717</v>
      </c>
      <c r="C1054" t="s">
        <v>387</v>
      </c>
      <c r="D1054" t="str">
        <f>UPPER(Table1[[#This Row],[ProductID_Clean]])</f>
        <v>P-SI-005</v>
      </c>
      <c r="E1054" t="s">
        <v>57</v>
      </c>
      <c r="F1054" t="s">
        <v>23</v>
      </c>
      <c r="G1054" t="str">
        <f>TRIM(Table1[[#This Row],[Region_Clean]])</f>
        <v>N. AMERICA</v>
      </c>
      <c r="H1054" t="s">
        <v>24</v>
      </c>
      <c r="I1054" t="s">
        <v>25</v>
      </c>
      <c r="J1054" s="3">
        <v>1</v>
      </c>
      <c r="K1054" s="3">
        <v>1037.5999999999999</v>
      </c>
      <c r="L1054">
        <v>1120</v>
      </c>
      <c r="M1054">
        <v>1120</v>
      </c>
      <c r="N1054">
        <v>82.4</v>
      </c>
      <c r="O1054">
        <v>1037.5999999999999</v>
      </c>
      <c r="P1054" t="s">
        <v>26</v>
      </c>
      <c r="Q1054" t="s">
        <v>40</v>
      </c>
      <c r="R1054" t="s">
        <v>44</v>
      </c>
      <c r="S1054" t="str">
        <f>TRIM(PROPER(_xlfn.XLOOKUP(Table1[[#This Row],[ProductID_Clean]],Table3[ProductID],Table3[Category],"Missing Value",0)))</f>
        <v>Sensors</v>
      </c>
      <c r="T1054" t="str">
        <f>_xlfn.XLOOKUP(Table1[[#This Row],[CustomerID_Check]],Table2[CustomerID],Table2[CustomerType],"Missing Value",0)</f>
        <v>Standard</v>
      </c>
    </row>
    <row r="1055" spans="1:20">
      <c r="A1055" t="s">
        <v>1310</v>
      </c>
      <c r="B1055" s="1">
        <v>45745</v>
      </c>
      <c r="C1055" t="s">
        <v>30</v>
      </c>
      <c r="D1055" t="str">
        <f>UPPER(Table1[[#This Row],[ProductID_Clean]])</f>
        <v>P-SI-006</v>
      </c>
      <c r="E1055" t="s">
        <v>43</v>
      </c>
      <c r="F1055" t="s">
        <v>32</v>
      </c>
      <c r="G1055" t="str">
        <f>TRIM(Table1[[#This Row],[Region_Clean]])</f>
        <v>LATIN AMERICA</v>
      </c>
      <c r="H1055" t="s">
        <v>24</v>
      </c>
      <c r="I1055" t="s">
        <v>87</v>
      </c>
      <c r="J1055" s="3">
        <v>1</v>
      </c>
      <c r="K1055" s="3">
        <v>139.47</v>
      </c>
      <c r="L1055">
        <v>215</v>
      </c>
      <c r="M1055">
        <v>215</v>
      </c>
      <c r="N1055">
        <v>75.53</v>
      </c>
      <c r="O1055">
        <v>139.47</v>
      </c>
      <c r="P1055" t="s">
        <v>26</v>
      </c>
      <c r="Q1055" t="s">
        <v>40</v>
      </c>
      <c r="R1055" t="s">
        <v>36</v>
      </c>
      <c r="S1055" t="str">
        <f>TRIM(PROPER(_xlfn.XLOOKUP(Table1[[#This Row],[ProductID_Clean]],Table3[ProductID],Table3[Category],"Missing Value",0)))</f>
        <v>Sensors</v>
      </c>
      <c r="T1055" t="str">
        <f>_xlfn.XLOOKUP(Table1[[#This Row],[CustomerID_Check]],Table2[CustomerID],Table2[CustomerType],"Missing Value",0)</f>
        <v>Strategic</v>
      </c>
    </row>
    <row r="1056" spans="1:20">
      <c r="A1056" t="s">
        <v>1311</v>
      </c>
      <c r="B1056" s="1">
        <v>45810</v>
      </c>
      <c r="C1056" t="s">
        <v>121</v>
      </c>
      <c r="D1056" t="str">
        <f>UPPER(Table1[[#This Row],[ProductID_Clean]])</f>
        <v>P-SI-006</v>
      </c>
      <c r="E1056" t="s">
        <v>43</v>
      </c>
      <c r="F1056" t="s">
        <v>58</v>
      </c>
      <c r="G1056" t="str">
        <f>TRIM(Table1[[#This Row],[Region_Clean]])</f>
        <v>APAC</v>
      </c>
      <c r="H1056" t="s">
        <v>24</v>
      </c>
      <c r="I1056" t="s">
        <v>87</v>
      </c>
      <c r="J1056" s="3">
        <v>1</v>
      </c>
      <c r="K1056" s="3">
        <v>155.55000000000001</v>
      </c>
      <c r="L1056">
        <v>215</v>
      </c>
      <c r="M1056">
        <v>215</v>
      </c>
      <c r="N1056">
        <v>59.45</v>
      </c>
      <c r="O1056">
        <v>155.55000000000001</v>
      </c>
      <c r="P1056" t="s">
        <v>26</v>
      </c>
      <c r="Q1056" t="s">
        <v>27</v>
      </c>
      <c r="R1056" t="s">
        <v>36</v>
      </c>
      <c r="S1056" t="str">
        <f>TRIM(PROPER(_xlfn.XLOOKUP(Table1[[#This Row],[ProductID_Clean]],Table3[ProductID],Table3[Category],"Missing Value",0)))</f>
        <v>Sensors</v>
      </c>
      <c r="T1056" t="str">
        <f>_xlfn.XLOOKUP(Table1[[#This Row],[CustomerID_Check]],Table2[CustomerID],Table2[CustomerType],"Missing Value",0)</f>
        <v>Key Account</v>
      </c>
    </row>
    <row r="1057" spans="1:20">
      <c r="A1057" t="s">
        <v>1312</v>
      </c>
      <c r="B1057" s="1">
        <v>45741</v>
      </c>
      <c r="C1057" t="s">
        <v>307</v>
      </c>
      <c r="D1057" t="str">
        <f>UPPER(Table1[[#This Row],[ProductID_Clean]])</f>
        <v>P-SI-001</v>
      </c>
      <c r="E1057" t="s">
        <v>72</v>
      </c>
      <c r="F1057" t="s">
        <v>23</v>
      </c>
      <c r="G1057" t="str">
        <f>TRIM(Table1[[#This Row],[Region_Clean]])</f>
        <v>N. AMERICA</v>
      </c>
      <c r="H1057" t="s">
        <v>24</v>
      </c>
      <c r="I1057" t="s">
        <v>87</v>
      </c>
      <c r="J1057" s="3">
        <v>8</v>
      </c>
      <c r="K1057" s="3">
        <v>433.9</v>
      </c>
      <c r="L1057">
        <v>485</v>
      </c>
      <c r="M1057">
        <v>3880</v>
      </c>
      <c r="N1057">
        <v>408.8</v>
      </c>
      <c r="O1057">
        <v>3471.2</v>
      </c>
      <c r="P1057" t="s">
        <v>26</v>
      </c>
      <c r="Q1057" t="s">
        <v>35</v>
      </c>
      <c r="R1057" t="s">
        <v>36</v>
      </c>
      <c r="S1057" t="str">
        <f>TRIM(PROPER(_xlfn.XLOOKUP(Table1[[#This Row],[ProductID_Clean]],Table3[ProductID],Table3[Category],"Missing Value",0)))</f>
        <v>Sensors</v>
      </c>
      <c r="T1057" t="str">
        <f>_xlfn.XLOOKUP(Table1[[#This Row],[CustomerID_Check]],Table2[CustomerID],Table2[CustomerType],"Missing Value",0)</f>
        <v>Standard</v>
      </c>
    </row>
    <row r="1058" spans="1:20">
      <c r="A1058" t="s">
        <v>1313</v>
      </c>
      <c r="B1058" s="1">
        <v>45820</v>
      </c>
      <c r="C1058" t="s">
        <v>188</v>
      </c>
      <c r="D1058" t="str">
        <f>UPPER(Table1[[#This Row],[ProductID_Clean]])</f>
        <v>P-SI-007</v>
      </c>
      <c r="E1058" t="s">
        <v>97</v>
      </c>
      <c r="F1058" t="s">
        <v>58</v>
      </c>
      <c r="G1058" t="str">
        <f>TRIM(Table1[[#This Row],[Region_Clean]])</f>
        <v>APAC</v>
      </c>
      <c r="H1058" t="s">
        <v>24</v>
      </c>
      <c r="I1058" t="s">
        <v>87</v>
      </c>
      <c r="J1058" s="3">
        <v>3</v>
      </c>
      <c r="K1058" s="3">
        <v>718.27</v>
      </c>
      <c r="L1058">
        <v>980</v>
      </c>
      <c r="M1058">
        <v>2940</v>
      </c>
      <c r="N1058">
        <v>785.19</v>
      </c>
      <c r="O1058">
        <v>2154.81</v>
      </c>
      <c r="P1058" t="s">
        <v>26</v>
      </c>
      <c r="Q1058" t="s">
        <v>35</v>
      </c>
      <c r="R1058" t="s">
        <v>44</v>
      </c>
      <c r="S1058" t="str">
        <f>TRIM(PROPER(_xlfn.XLOOKUP(Table1[[#This Row],[ProductID_Clean]],Table3[ProductID],Table3[Category],"Missing Value",0)))</f>
        <v>Sensors</v>
      </c>
      <c r="T1058" t="str">
        <f>_xlfn.XLOOKUP(Table1[[#This Row],[CustomerID_Check]],Table2[CustomerID],Table2[CustomerType],"Missing Value",0)</f>
        <v>Key Account</v>
      </c>
    </row>
    <row r="1059" spans="1:20">
      <c r="A1059" t="s">
        <v>1314</v>
      </c>
      <c r="B1059" s="1">
        <v>45773</v>
      </c>
      <c r="C1059" t="s">
        <v>880</v>
      </c>
      <c r="D1059" t="str">
        <f>UPPER(Table1[[#This Row],[ProductID_Clean]])</f>
        <v>P-SI-001</v>
      </c>
      <c r="E1059" t="s">
        <v>72</v>
      </c>
      <c r="F1059" t="s">
        <v>23</v>
      </c>
      <c r="G1059" t="str">
        <f>TRIM(Table1[[#This Row],[Region_Clean]])</f>
        <v>N. AMERICA</v>
      </c>
      <c r="H1059" t="s">
        <v>24</v>
      </c>
      <c r="I1059" t="s">
        <v>34</v>
      </c>
      <c r="J1059" s="3">
        <v>4</v>
      </c>
      <c r="K1059" s="3">
        <v>439.05</v>
      </c>
      <c r="L1059">
        <v>485</v>
      </c>
      <c r="M1059">
        <v>1940</v>
      </c>
      <c r="N1059">
        <v>183.8</v>
      </c>
      <c r="O1059">
        <v>1756.2</v>
      </c>
      <c r="P1059" t="s">
        <v>26</v>
      </c>
      <c r="Q1059" t="s">
        <v>35</v>
      </c>
      <c r="R1059" t="s">
        <v>36</v>
      </c>
      <c r="S1059" t="str">
        <f>TRIM(PROPER(_xlfn.XLOOKUP(Table1[[#This Row],[ProductID_Clean]],Table3[ProductID],Table3[Category],"Missing Value",0)))</f>
        <v>Sensors</v>
      </c>
      <c r="T1059" t="str">
        <f>_xlfn.XLOOKUP(Table1[[#This Row],[CustomerID_Check]],Table2[CustomerID],Table2[CustomerType],"Missing Value",0)</f>
        <v>Standard</v>
      </c>
    </row>
    <row r="1060" spans="1:20">
      <c r="A1060" t="s">
        <v>1315</v>
      </c>
      <c r="B1060" s="1">
        <v>45799</v>
      </c>
      <c r="C1060" t="s">
        <v>720</v>
      </c>
      <c r="D1060" t="str">
        <f>UPPER(Table1[[#This Row],[ProductID_Clean]])</f>
        <v>P-SI-004</v>
      </c>
      <c r="E1060" t="s">
        <v>22</v>
      </c>
      <c r="F1060" t="s">
        <v>58</v>
      </c>
      <c r="G1060" t="str">
        <f>TRIM(Table1[[#This Row],[Region_Clean]])</f>
        <v>APAC</v>
      </c>
      <c r="H1060" t="s">
        <v>24</v>
      </c>
      <c r="I1060" t="s">
        <v>25</v>
      </c>
      <c r="J1060" s="3">
        <v>4</v>
      </c>
      <c r="K1060" s="3">
        <v>2175.06</v>
      </c>
      <c r="L1060">
        <v>2450</v>
      </c>
      <c r="M1060">
        <v>9800</v>
      </c>
      <c r="N1060">
        <v>1099.76</v>
      </c>
      <c r="O1060">
        <v>8700.24</v>
      </c>
      <c r="P1060" t="s">
        <v>26</v>
      </c>
      <c r="Q1060" t="s">
        <v>35</v>
      </c>
      <c r="R1060" t="s">
        <v>44</v>
      </c>
      <c r="S1060" t="str">
        <f>TRIM(PROPER(_xlfn.XLOOKUP(Table1[[#This Row],[ProductID_Clean]],Table3[ProductID],Table3[Category],"Missing Value",0)))</f>
        <v>Instruments</v>
      </c>
      <c r="T1060" t="str">
        <f>_xlfn.XLOOKUP(Table1[[#This Row],[CustomerID_Check]],Table2[CustomerID],Table2[CustomerType],"Missing Value",0)</f>
        <v>Standard</v>
      </c>
    </row>
    <row r="1061" spans="1:20">
      <c r="A1061" t="s">
        <v>1316</v>
      </c>
      <c r="B1061" s="1">
        <v>45832</v>
      </c>
      <c r="C1061" t="s">
        <v>496</v>
      </c>
      <c r="D1061" t="str">
        <f>UPPER(Table1[[#This Row],[ProductID_Clean]])</f>
        <v>P-SI-003</v>
      </c>
      <c r="E1061" t="s">
        <v>39</v>
      </c>
      <c r="F1061" t="s">
        <v>47</v>
      </c>
      <c r="G1061" t="str">
        <f>TRIM(Table1[[#This Row],[Region_Clean]])</f>
        <v>EMEA</v>
      </c>
      <c r="H1061" t="s">
        <v>24</v>
      </c>
      <c r="I1061" t="s">
        <v>87</v>
      </c>
      <c r="J1061" s="3">
        <v>1</v>
      </c>
      <c r="K1061" s="3">
        <v>1597.46</v>
      </c>
      <c r="L1061">
        <v>1890</v>
      </c>
      <c r="M1061">
        <v>1890</v>
      </c>
      <c r="N1061">
        <v>292.54000000000002</v>
      </c>
      <c r="O1061">
        <v>1597.46</v>
      </c>
      <c r="P1061" t="s">
        <v>26</v>
      </c>
      <c r="Q1061" t="s">
        <v>35</v>
      </c>
      <c r="R1061" t="s">
        <v>36</v>
      </c>
      <c r="S1061" t="str">
        <f>TRIM(PROPER(_xlfn.XLOOKUP(Table1[[#This Row],[ProductID_Clean]],Table3[ProductID],Table3[Category],"Missing Value",0)))</f>
        <v>Instruments</v>
      </c>
      <c r="T1061" t="str">
        <f>_xlfn.XLOOKUP(Table1[[#This Row],[CustomerID_Check]],Table2[CustomerID],Table2[CustomerType],"Missing Value",0)</f>
        <v>Key Account</v>
      </c>
    </row>
    <row r="1062" spans="1:20">
      <c r="A1062" t="s">
        <v>1317</v>
      </c>
      <c r="B1062" s="1">
        <v>45827</v>
      </c>
      <c r="C1062" t="s">
        <v>469</v>
      </c>
      <c r="D1062" t="str">
        <f>UPPER(Table1[[#This Row],[ProductID_Clean]])</f>
        <v>P-SI-001</v>
      </c>
      <c r="E1062" t="s">
        <v>72</v>
      </c>
      <c r="F1062" t="s">
        <v>23</v>
      </c>
      <c r="G1062" t="str">
        <f>TRIM(Table1[[#This Row],[Region_Clean]])</f>
        <v>N. AMERICA</v>
      </c>
      <c r="H1062" t="s">
        <v>24</v>
      </c>
      <c r="I1062" t="s">
        <v>34</v>
      </c>
      <c r="J1062" s="3">
        <v>10</v>
      </c>
      <c r="K1062" s="3">
        <v>445.74</v>
      </c>
      <c r="L1062">
        <v>485</v>
      </c>
      <c r="M1062">
        <v>4850</v>
      </c>
      <c r="N1062">
        <v>392.6</v>
      </c>
      <c r="O1062">
        <v>4457.3999999999996</v>
      </c>
      <c r="P1062" t="s">
        <v>26</v>
      </c>
      <c r="Q1062" t="s">
        <v>35</v>
      </c>
      <c r="R1062" t="s">
        <v>44</v>
      </c>
      <c r="S1062" t="str">
        <f>TRIM(PROPER(_xlfn.XLOOKUP(Table1[[#This Row],[ProductID_Clean]],Table3[ProductID],Table3[Category],"Missing Value",0)))</f>
        <v>Sensors</v>
      </c>
      <c r="T1062" t="str">
        <f>_xlfn.XLOOKUP(Table1[[#This Row],[CustomerID_Check]],Table2[CustomerID],Table2[CustomerType],"Missing Value",0)</f>
        <v>Standard</v>
      </c>
    </row>
    <row r="1063" spans="1:20">
      <c r="A1063" t="s">
        <v>1318</v>
      </c>
      <c r="B1063" s="1">
        <v>45679</v>
      </c>
      <c r="C1063" t="s">
        <v>780</v>
      </c>
      <c r="D1063" t="str">
        <f>UPPER(Table1[[#This Row],[ProductID_Clean]])</f>
        <v>P-FS-001</v>
      </c>
      <c r="E1063" t="s">
        <v>133</v>
      </c>
      <c r="F1063" t="s">
        <v>32</v>
      </c>
      <c r="G1063" t="str">
        <f>TRIM(Table1[[#This Row],[Region_Clean]])</f>
        <v>LATIN AMERICA</v>
      </c>
      <c r="H1063" t="s">
        <v>82</v>
      </c>
      <c r="I1063" t="s">
        <v>87</v>
      </c>
      <c r="J1063" s="3">
        <v>1</v>
      </c>
      <c r="K1063" s="3">
        <v>1347.01</v>
      </c>
      <c r="L1063">
        <v>1850</v>
      </c>
      <c r="M1063">
        <v>1850</v>
      </c>
      <c r="N1063">
        <v>502.99</v>
      </c>
      <c r="O1063">
        <v>1347.01</v>
      </c>
      <c r="P1063" t="s">
        <v>113</v>
      </c>
      <c r="Q1063" t="s">
        <v>35</v>
      </c>
      <c r="R1063" t="s">
        <v>59</v>
      </c>
      <c r="S1063" t="str">
        <f>TRIM(PROPER(_xlfn.XLOOKUP(Table1[[#This Row],[ProductID_Clean]],Table3[ProductID],Table3[Category],"Missing Value",0)))</f>
        <v>Services</v>
      </c>
      <c r="T1063" t="str">
        <f>_xlfn.XLOOKUP(Table1[[#This Row],[CustomerID_Check]],Table2[CustomerID],Table2[CustomerType],"Missing Value",0)</f>
        <v>Standard</v>
      </c>
    </row>
    <row r="1064" spans="1:20">
      <c r="A1064" t="s">
        <v>1319</v>
      </c>
      <c r="B1064" s="1">
        <v>45733</v>
      </c>
      <c r="C1064" t="s">
        <v>252</v>
      </c>
      <c r="D1064" t="str">
        <f>UPPER(Table1[[#This Row],[ProductID_Clean]])</f>
        <v>P-SI-002</v>
      </c>
      <c r="E1064" t="s">
        <v>31</v>
      </c>
      <c r="F1064" t="s">
        <v>23</v>
      </c>
      <c r="G1064" t="str">
        <f>TRIM(Table1[[#This Row],[Region_Clean]])</f>
        <v>N. AMERICA</v>
      </c>
      <c r="H1064" t="s">
        <v>24</v>
      </c>
      <c r="I1064" t="s">
        <v>25</v>
      </c>
      <c r="J1064" s="3">
        <v>3</v>
      </c>
      <c r="K1064" s="3">
        <v>597.64</v>
      </c>
      <c r="L1064">
        <v>725</v>
      </c>
      <c r="M1064">
        <v>2175</v>
      </c>
      <c r="N1064">
        <v>382.08</v>
      </c>
      <c r="O1064">
        <v>1792.92</v>
      </c>
      <c r="P1064" t="s">
        <v>26</v>
      </c>
      <c r="Q1064" t="s">
        <v>65</v>
      </c>
      <c r="R1064" t="s">
        <v>44</v>
      </c>
      <c r="S1064" t="str">
        <f>TRIM(PROPER(_xlfn.XLOOKUP(Table1[[#This Row],[ProductID_Clean]],Table3[ProductID],Table3[Category],"Missing Value",0)))</f>
        <v>Sensors</v>
      </c>
      <c r="T1064" t="str">
        <f>_xlfn.XLOOKUP(Table1[[#This Row],[CustomerID_Check]],Table2[CustomerID],Table2[CustomerType],"Missing Value",0)</f>
        <v>Strategic</v>
      </c>
    </row>
    <row r="1065" spans="1:20">
      <c r="A1065" t="s">
        <v>1320</v>
      </c>
      <c r="B1065" s="1">
        <v>45676</v>
      </c>
      <c r="C1065" t="s">
        <v>182</v>
      </c>
      <c r="D1065" t="str">
        <f>UPPER(Table1[[#This Row],[ProductID_Clean]])</f>
        <v>P-SA-003</v>
      </c>
      <c r="E1065" t="s">
        <v>51</v>
      </c>
      <c r="F1065" t="s">
        <v>47</v>
      </c>
      <c r="G1065" t="str">
        <f>TRIM(Table1[[#This Row],[Region_Clean]])</f>
        <v>EMEA</v>
      </c>
      <c r="H1065" t="s">
        <v>53</v>
      </c>
      <c r="I1065" t="s">
        <v>87</v>
      </c>
      <c r="J1065" s="3">
        <v>1</v>
      </c>
      <c r="K1065" s="3">
        <v>2134.9299999999998</v>
      </c>
      <c r="L1065">
        <v>2750</v>
      </c>
      <c r="M1065">
        <v>2750</v>
      </c>
      <c r="N1065">
        <v>615.07000000000005</v>
      </c>
      <c r="O1065">
        <v>2134.9299999999998</v>
      </c>
      <c r="P1065" t="s">
        <v>26</v>
      </c>
      <c r="Q1065" t="s">
        <v>189</v>
      </c>
      <c r="R1065" t="s">
        <v>44</v>
      </c>
      <c r="S1065" t="str">
        <f>TRIM(PROPER(_xlfn.XLOOKUP(Table1[[#This Row],[ProductID_Clean]],Table3[ProductID],Table3[Category],"Missing Value",0)))</f>
        <v>Software</v>
      </c>
      <c r="T1065" t="str">
        <f>_xlfn.XLOOKUP(Table1[[#This Row],[CustomerID_Check]],Table2[CustomerID],Table2[CustomerType],"Missing Value",0)</f>
        <v>Key Account</v>
      </c>
    </row>
    <row r="1066" spans="1:20">
      <c r="A1066" t="s">
        <v>1321</v>
      </c>
      <c r="B1066" s="1">
        <v>45726</v>
      </c>
      <c r="C1066" t="s">
        <v>259</v>
      </c>
      <c r="D1066" t="str">
        <f>UPPER(Table1[[#This Row],[ProductID_Clean]])</f>
        <v>P-SI-005</v>
      </c>
      <c r="E1066" t="s">
        <v>57</v>
      </c>
      <c r="F1066" t="s">
        <v>23</v>
      </c>
      <c r="G1066" t="str">
        <f>TRIM(Table1[[#This Row],[Region_Clean]])</f>
        <v>N. AMERICA</v>
      </c>
      <c r="H1066" t="s">
        <v>24</v>
      </c>
      <c r="I1066" t="s">
        <v>25</v>
      </c>
      <c r="J1066" s="3">
        <v>2</v>
      </c>
      <c r="K1066" s="3">
        <v>1080.72</v>
      </c>
      <c r="L1066">
        <v>1120</v>
      </c>
      <c r="M1066">
        <v>2240</v>
      </c>
      <c r="N1066">
        <v>78.56</v>
      </c>
      <c r="O1066">
        <v>2161.44</v>
      </c>
      <c r="P1066" t="s">
        <v>26</v>
      </c>
      <c r="Q1066" t="s">
        <v>65</v>
      </c>
      <c r="R1066" t="s">
        <v>48</v>
      </c>
      <c r="S1066" t="str">
        <f>TRIM(PROPER(_xlfn.XLOOKUP(Table1[[#This Row],[ProductID_Clean]],Table3[ProductID],Table3[Category],"Missing Value",0)))</f>
        <v>Sensors</v>
      </c>
      <c r="T1066" t="str">
        <f>_xlfn.XLOOKUP(Table1[[#This Row],[CustomerID_Check]],Table2[CustomerID],Table2[CustomerType],"Missing Value",0)</f>
        <v>Standard</v>
      </c>
    </row>
    <row r="1067" spans="1:20">
      <c r="A1067" t="s">
        <v>1322</v>
      </c>
      <c r="B1067" s="1">
        <v>45757</v>
      </c>
      <c r="C1067" t="s">
        <v>259</v>
      </c>
      <c r="D1067" t="str">
        <f>UPPER(Table1[[#This Row],[ProductID_Clean]])</f>
        <v>P-SA-001</v>
      </c>
      <c r="E1067" t="s">
        <v>68</v>
      </c>
      <c r="F1067" t="s">
        <v>23</v>
      </c>
      <c r="G1067" t="str">
        <f>TRIM(Table1[[#This Row],[Region_Clean]])</f>
        <v>N. AMERICA</v>
      </c>
      <c r="H1067" t="s">
        <v>53</v>
      </c>
      <c r="I1067" t="s">
        <v>87</v>
      </c>
      <c r="J1067" s="3">
        <v>1</v>
      </c>
      <c r="K1067" s="3">
        <v>3500.59</v>
      </c>
      <c r="L1067">
        <v>4200</v>
      </c>
      <c r="M1067">
        <v>4200</v>
      </c>
      <c r="N1067">
        <v>699.41</v>
      </c>
      <c r="O1067">
        <v>3500.59</v>
      </c>
      <c r="P1067" t="s">
        <v>113</v>
      </c>
      <c r="Q1067" t="s">
        <v>88</v>
      </c>
      <c r="R1067" t="s">
        <v>48</v>
      </c>
      <c r="S1067" t="str">
        <f>TRIM(PROPER(_xlfn.XLOOKUP(Table1[[#This Row],[ProductID_Clean]],Table3[ProductID],Table3[Category],"Missing Value",0)))</f>
        <v>Software</v>
      </c>
      <c r="T1067" t="str">
        <f>_xlfn.XLOOKUP(Table1[[#This Row],[CustomerID_Check]],Table2[CustomerID],Table2[CustomerType],"Missing Value",0)</f>
        <v>Standard</v>
      </c>
    </row>
    <row r="1068" spans="1:20">
      <c r="A1068" t="s">
        <v>1323</v>
      </c>
      <c r="B1068" s="1">
        <v>45750</v>
      </c>
      <c r="C1068" t="s">
        <v>172</v>
      </c>
      <c r="D1068" t="str">
        <f>UPPER(Table1[[#This Row],[ProductID_Clean]])</f>
        <v>P-FS-003</v>
      </c>
      <c r="E1068" t="s">
        <v>216</v>
      </c>
      <c r="F1068" t="s">
        <v>23</v>
      </c>
      <c r="G1068" t="str">
        <f>TRIM(Table1[[#This Row],[Region_Clean]])</f>
        <v>N. AMERICA</v>
      </c>
      <c r="H1068" t="s">
        <v>82</v>
      </c>
      <c r="I1068" t="s">
        <v>87</v>
      </c>
      <c r="J1068" s="3">
        <v>1</v>
      </c>
      <c r="K1068" s="3">
        <v>3340.71</v>
      </c>
      <c r="L1068">
        <v>4100</v>
      </c>
      <c r="M1068">
        <v>4100</v>
      </c>
      <c r="N1068">
        <v>759.29</v>
      </c>
      <c r="O1068">
        <v>3340.71</v>
      </c>
      <c r="P1068" t="s">
        <v>26</v>
      </c>
      <c r="Q1068" t="s">
        <v>94</v>
      </c>
      <c r="R1068" t="s">
        <v>36</v>
      </c>
      <c r="S1068" t="str">
        <f>TRIM(PROPER(_xlfn.XLOOKUP(Table1[[#This Row],[ProductID_Clean]],Table3[ProductID],Table3[Category],"Missing Value",0)))</f>
        <v>Services</v>
      </c>
      <c r="T1068" t="str">
        <f>_xlfn.XLOOKUP(Table1[[#This Row],[CustomerID_Check]],Table2[CustomerID],Table2[CustomerType],"Missing Value",0)</f>
        <v>Key Account</v>
      </c>
    </row>
    <row r="1069" spans="1:20">
      <c r="A1069" t="s">
        <v>1324</v>
      </c>
      <c r="B1069" s="1">
        <v>45681</v>
      </c>
      <c r="C1069" t="s">
        <v>463</v>
      </c>
      <c r="D1069" t="str">
        <f>UPPER(Table1[[#This Row],[ProductID_Clean]])</f>
        <v>P-SI-002</v>
      </c>
      <c r="E1069" t="s">
        <v>31</v>
      </c>
      <c r="F1069" t="s">
        <v>47</v>
      </c>
      <c r="G1069" t="str">
        <f>TRIM(Table1[[#This Row],[Region_Clean]])</f>
        <v>EMEA</v>
      </c>
      <c r="H1069" t="s">
        <v>24</v>
      </c>
      <c r="I1069" t="s">
        <v>25</v>
      </c>
      <c r="J1069" s="3">
        <v>3</v>
      </c>
      <c r="K1069" s="3">
        <v>622.78</v>
      </c>
      <c r="L1069">
        <v>725</v>
      </c>
      <c r="M1069">
        <v>2175</v>
      </c>
      <c r="N1069">
        <v>306.66000000000003</v>
      </c>
      <c r="O1069">
        <v>1868.34</v>
      </c>
      <c r="P1069" t="s">
        <v>26</v>
      </c>
      <c r="Q1069" t="s">
        <v>40</v>
      </c>
      <c r="R1069" t="s">
        <v>48</v>
      </c>
      <c r="S1069" t="str">
        <f>TRIM(PROPER(_xlfn.XLOOKUP(Table1[[#This Row],[ProductID_Clean]],Table3[ProductID],Table3[Category],"Missing Value",0)))</f>
        <v>Sensors</v>
      </c>
      <c r="T1069" t="str">
        <f>_xlfn.XLOOKUP(Table1[[#This Row],[CustomerID_Check]],Table2[CustomerID],Table2[CustomerType],"Missing Value",0)</f>
        <v>Key Account</v>
      </c>
    </row>
    <row r="1070" spans="1:20">
      <c r="A1070" t="s">
        <v>1325</v>
      </c>
      <c r="B1070" s="1">
        <v>45736</v>
      </c>
      <c r="C1070" t="s">
        <v>250</v>
      </c>
      <c r="D1070" t="str">
        <f>UPPER(Table1[[#This Row],[ProductID_Clean]])</f>
        <v>P-SA-004</v>
      </c>
      <c r="E1070" t="s">
        <v>86</v>
      </c>
      <c r="F1070" t="s">
        <v>23</v>
      </c>
      <c r="G1070" t="str">
        <f>TRIM(Table1[[#This Row],[Region_Clean]])</f>
        <v>N. AMERICA</v>
      </c>
      <c r="H1070" t="s">
        <v>53</v>
      </c>
      <c r="I1070" t="s">
        <v>25</v>
      </c>
      <c r="J1070" s="3">
        <v>3</v>
      </c>
      <c r="K1070" s="3">
        <v>1596.31</v>
      </c>
      <c r="L1070">
        <v>1650</v>
      </c>
      <c r="M1070">
        <v>4950</v>
      </c>
      <c r="N1070">
        <v>161.07</v>
      </c>
      <c r="O1070">
        <v>4788.93</v>
      </c>
      <c r="P1070" t="s">
        <v>26</v>
      </c>
      <c r="Q1070" t="s">
        <v>88</v>
      </c>
      <c r="R1070" t="s">
        <v>36</v>
      </c>
      <c r="S1070" t="str">
        <f>TRIM(PROPER(_xlfn.XLOOKUP(Table1[[#This Row],[ProductID_Clean]],Table3[ProductID],Table3[Category],"Missing Value",0)))</f>
        <v>Software</v>
      </c>
      <c r="T1070" t="str">
        <f>_xlfn.XLOOKUP(Table1[[#This Row],[CustomerID_Check]],Table2[CustomerID],Table2[CustomerType],"Missing Value",0)</f>
        <v>Standard</v>
      </c>
    </row>
    <row r="1071" spans="1:20">
      <c r="A1071" t="s">
        <v>1326</v>
      </c>
      <c r="B1071" s="1">
        <v>45750</v>
      </c>
      <c r="C1071" t="s">
        <v>227</v>
      </c>
      <c r="D1071" t="str">
        <f>UPPER(Table1[[#This Row],[ProductID_Clean]])</f>
        <v>P-FS-003</v>
      </c>
      <c r="E1071" t="s">
        <v>216</v>
      </c>
      <c r="F1071" t="s">
        <v>23</v>
      </c>
      <c r="G1071" t="str">
        <f>TRIM(Table1[[#This Row],[Region_Clean]])</f>
        <v>N. AMERICA</v>
      </c>
      <c r="H1071" t="s">
        <v>82</v>
      </c>
      <c r="I1071" t="s">
        <v>40</v>
      </c>
      <c r="J1071" s="3">
        <v>1</v>
      </c>
      <c r="K1071" s="3">
        <v>3745.52</v>
      </c>
      <c r="L1071">
        <v>4100</v>
      </c>
      <c r="M1071">
        <v>4100</v>
      </c>
      <c r="N1071">
        <v>354.48</v>
      </c>
      <c r="O1071">
        <v>3745.52</v>
      </c>
      <c r="P1071" t="s">
        <v>26</v>
      </c>
      <c r="Q1071" t="s">
        <v>94</v>
      </c>
      <c r="R1071" t="s">
        <v>36</v>
      </c>
      <c r="S1071" t="str">
        <f>TRIM(PROPER(_xlfn.XLOOKUP(Table1[[#This Row],[ProductID_Clean]],Table3[ProductID],Table3[Category],"Missing Value",0)))</f>
        <v>Services</v>
      </c>
      <c r="T1071" t="str">
        <f>_xlfn.XLOOKUP(Table1[[#This Row],[CustomerID_Check]],Table2[CustomerID],Table2[CustomerType],"Missing Value",0)</f>
        <v>Standard</v>
      </c>
    </row>
    <row r="1072" spans="1:20">
      <c r="A1072" t="s">
        <v>1327</v>
      </c>
      <c r="B1072" s="1">
        <v>45684</v>
      </c>
      <c r="C1072" t="s">
        <v>80</v>
      </c>
      <c r="D1072" t="str">
        <f>UPPER(Table1[[#This Row],[ProductID_Clean]])</f>
        <v>P-SI-002</v>
      </c>
      <c r="E1072" t="s">
        <v>31</v>
      </c>
      <c r="F1072" t="s">
        <v>23</v>
      </c>
      <c r="G1072" t="str">
        <f>TRIM(Table1[[#This Row],[Region_Clean]])</f>
        <v>N. AMERICA</v>
      </c>
      <c r="H1072" t="s">
        <v>24</v>
      </c>
      <c r="I1072" t="s">
        <v>34</v>
      </c>
      <c r="J1072" s="3">
        <v>4</v>
      </c>
      <c r="K1072" s="3">
        <v>560.73</v>
      </c>
      <c r="L1072">
        <v>725</v>
      </c>
      <c r="M1072">
        <v>2900</v>
      </c>
      <c r="N1072">
        <v>657.08</v>
      </c>
      <c r="O1072">
        <v>2242.92</v>
      </c>
      <c r="P1072" t="s">
        <v>26</v>
      </c>
      <c r="Q1072" t="s">
        <v>65</v>
      </c>
      <c r="R1072" t="s">
        <v>48</v>
      </c>
      <c r="S1072" t="str">
        <f>TRIM(PROPER(_xlfn.XLOOKUP(Table1[[#This Row],[ProductID_Clean]],Table3[ProductID],Table3[Category],"Missing Value",0)))</f>
        <v>Sensors</v>
      </c>
      <c r="T1072" t="str">
        <f>_xlfn.XLOOKUP(Table1[[#This Row],[CustomerID_Check]],Table2[CustomerID],Table2[CustomerType],"Missing Value",0)</f>
        <v>Strategic</v>
      </c>
    </row>
    <row r="1073" spans="1:20">
      <c r="A1073" t="s">
        <v>1328</v>
      </c>
      <c r="B1073" s="1">
        <v>45768</v>
      </c>
      <c r="C1073" t="s">
        <v>157</v>
      </c>
      <c r="D1073" t="str">
        <f>UPPER(Table1[[#This Row],[ProductID_Clean]])</f>
        <v>P-SA-003</v>
      </c>
      <c r="E1073" t="s">
        <v>51</v>
      </c>
      <c r="F1073" t="s">
        <v>23</v>
      </c>
      <c r="G1073" t="str">
        <f>TRIM(Table1[[#This Row],[Region_Clean]])</f>
        <v>N. AMERICA</v>
      </c>
      <c r="H1073" t="s">
        <v>53</v>
      </c>
      <c r="I1073" t="s">
        <v>87</v>
      </c>
      <c r="J1073" s="3">
        <v>1</v>
      </c>
      <c r="K1073" s="3">
        <v>2195.2199999999998</v>
      </c>
      <c r="L1073">
        <v>2750</v>
      </c>
      <c r="M1073">
        <v>2750</v>
      </c>
      <c r="N1073">
        <v>554.78</v>
      </c>
      <c r="O1073">
        <v>2195.2199999999998</v>
      </c>
      <c r="P1073" t="s">
        <v>26</v>
      </c>
      <c r="Q1073" t="s">
        <v>54</v>
      </c>
      <c r="R1073" t="s">
        <v>36</v>
      </c>
      <c r="S1073" t="str">
        <f>TRIM(PROPER(_xlfn.XLOOKUP(Table1[[#This Row],[ProductID_Clean]],Table3[ProductID],Table3[Category],"Missing Value",0)))</f>
        <v>Software</v>
      </c>
      <c r="T1073" t="str">
        <f>_xlfn.XLOOKUP(Table1[[#This Row],[CustomerID_Check]],Table2[CustomerID],Table2[CustomerType],"Missing Value",0)</f>
        <v>Key Account</v>
      </c>
    </row>
    <row r="1074" spans="1:20">
      <c r="A1074" t="s">
        <v>1329</v>
      </c>
      <c r="B1074" s="1">
        <v>45800</v>
      </c>
      <c r="C1074" t="s">
        <v>792</v>
      </c>
      <c r="D1074" t="str">
        <f>UPPER(Table1[[#This Row],[ProductID_Clean]])</f>
        <v>P-SI-007</v>
      </c>
      <c r="E1074" t="s">
        <v>97</v>
      </c>
      <c r="F1074" t="s">
        <v>47</v>
      </c>
      <c r="G1074" t="str">
        <f>TRIM(Table1[[#This Row],[Region_Clean]])</f>
        <v>EMEA</v>
      </c>
      <c r="H1074" t="s">
        <v>24</v>
      </c>
      <c r="I1074" t="s">
        <v>25</v>
      </c>
      <c r="J1074" s="3">
        <v>2</v>
      </c>
      <c r="K1074" s="3">
        <v>892.02</v>
      </c>
      <c r="L1074">
        <v>980</v>
      </c>
      <c r="M1074">
        <v>1960</v>
      </c>
      <c r="N1074">
        <v>175.96</v>
      </c>
      <c r="O1074">
        <v>1784.04</v>
      </c>
      <c r="P1074" t="s">
        <v>26</v>
      </c>
      <c r="Q1074" t="s">
        <v>35</v>
      </c>
      <c r="R1074" t="s">
        <v>36</v>
      </c>
      <c r="S1074" t="str">
        <f>TRIM(PROPER(_xlfn.XLOOKUP(Table1[[#This Row],[ProductID_Clean]],Table3[ProductID],Table3[Category],"Missing Value",0)))</f>
        <v>Sensors</v>
      </c>
      <c r="T1074" t="str">
        <f>_xlfn.XLOOKUP(Table1[[#This Row],[CustomerID_Check]],Table2[CustomerID],Table2[CustomerType],"Missing Value",0)</f>
        <v>Standard</v>
      </c>
    </row>
    <row r="1075" spans="1:20">
      <c r="A1075" t="s">
        <v>1330</v>
      </c>
      <c r="B1075" s="1">
        <v>45789</v>
      </c>
      <c r="C1075" t="s">
        <v>194</v>
      </c>
      <c r="D1075" t="str">
        <f>UPPER(Table1[[#This Row],[ProductID_Clean]])</f>
        <v>P-SI-004</v>
      </c>
      <c r="E1075" t="s">
        <v>22</v>
      </c>
      <c r="F1075" t="s">
        <v>23</v>
      </c>
      <c r="G1075" t="str">
        <f>TRIM(Table1[[#This Row],[Region_Clean]])</f>
        <v>N. AMERICA</v>
      </c>
      <c r="H1075" t="s">
        <v>24</v>
      </c>
      <c r="I1075" t="s">
        <v>34</v>
      </c>
      <c r="J1075" s="3">
        <v>1</v>
      </c>
      <c r="K1075" s="3">
        <v>1874.74</v>
      </c>
      <c r="L1075">
        <v>2450</v>
      </c>
      <c r="M1075">
        <v>2450</v>
      </c>
      <c r="N1075">
        <v>575.26</v>
      </c>
      <c r="O1075">
        <v>1874.74</v>
      </c>
      <c r="P1075" t="s">
        <v>26</v>
      </c>
      <c r="Q1075" t="s">
        <v>27</v>
      </c>
      <c r="R1075" t="s">
        <v>36</v>
      </c>
      <c r="S1075" t="str">
        <f>TRIM(PROPER(_xlfn.XLOOKUP(Table1[[#This Row],[ProductID_Clean]],Table3[ProductID],Table3[Category],"Missing Value",0)))</f>
        <v>Instruments</v>
      </c>
      <c r="T1075" t="str">
        <f>_xlfn.XLOOKUP(Table1[[#This Row],[CustomerID_Check]],Table2[CustomerID],Table2[CustomerType],"Missing Value",0)</f>
        <v>Strategic</v>
      </c>
    </row>
    <row r="1076" spans="1:20">
      <c r="A1076" t="s">
        <v>1331</v>
      </c>
      <c r="B1076" s="1">
        <v>45684</v>
      </c>
      <c r="C1076" t="s">
        <v>533</v>
      </c>
      <c r="D1076" t="str">
        <f>UPPER(Table1[[#This Row],[ProductID_Clean]])</f>
        <v>P-FS-002</v>
      </c>
      <c r="E1076" t="s">
        <v>81</v>
      </c>
      <c r="F1076" t="s">
        <v>58</v>
      </c>
      <c r="G1076" t="str">
        <f>TRIM(Table1[[#This Row],[Region_Clean]])</f>
        <v>APAC</v>
      </c>
      <c r="H1076" t="s">
        <v>82</v>
      </c>
      <c r="I1076" t="s">
        <v>87</v>
      </c>
      <c r="J1076" s="3">
        <v>1</v>
      </c>
      <c r="K1076" s="3">
        <v>1721.16</v>
      </c>
      <c r="L1076">
        <v>2400</v>
      </c>
      <c r="M1076">
        <v>2400</v>
      </c>
      <c r="N1076">
        <v>678.84</v>
      </c>
      <c r="O1076">
        <v>1721.16</v>
      </c>
      <c r="P1076" t="s">
        <v>26</v>
      </c>
      <c r="Q1076" t="s">
        <v>94</v>
      </c>
      <c r="R1076" t="s">
        <v>44</v>
      </c>
      <c r="S1076" t="str">
        <f>TRIM(PROPER(_xlfn.XLOOKUP(Table1[[#This Row],[ProductID_Clean]],Table3[ProductID],Table3[Category],"Missing Value",0)))</f>
        <v>Services</v>
      </c>
      <c r="T1076" t="str">
        <f>_xlfn.XLOOKUP(Table1[[#This Row],[CustomerID_Check]],Table2[CustomerID],Table2[CustomerType],"Missing Value",0)</f>
        <v>Standard</v>
      </c>
    </row>
    <row r="1077" spans="1:20">
      <c r="A1077" t="s">
        <v>1332</v>
      </c>
      <c r="B1077" s="1">
        <v>45799</v>
      </c>
      <c r="C1077" t="s">
        <v>168</v>
      </c>
      <c r="D1077" t="str">
        <f>UPPER(Table1[[#This Row],[ProductID_Clean]])</f>
        <v>P-SA-002</v>
      </c>
      <c r="E1077" t="s">
        <v>147</v>
      </c>
      <c r="F1077" t="s">
        <v>47</v>
      </c>
      <c r="G1077" t="str">
        <f>TRIM(Table1[[#This Row],[Region_Clean]])</f>
        <v>EMEA</v>
      </c>
      <c r="H1077" t="s">
        <v>53</v>
      </c>
      <c r="I1077" t="s">
        <v>34</v>
      </c>
      <c r="J1077" s="3">
        <v>2</v>
      </c>
      <c r="K1077" s="3">
        <v>9030.5300000000007</v>
      </c>
      <c r="L1077">
        <v>9800</v>
      </c>
      <c r="M1077">
        <v>19600</v>
      </c>
      <c r="N1077">
        <v>1538.94</v>
      </c>
      <c r="O1077">
        <v>18061.060000000001</v>
      </c>
      <c r="P1077" t="s">
        <v>26</v>
      </c>
      <c r="Q1077" t="s">
        <v>88</v>
      </c>
      <c r="R1077" t="s">
        <v>36</v>
      </c>
      <c r="S1077" t="str">
        <f>TRIM(PROPER(_xlfn.XLOOKUP(Table1[[#This Row],[ProductID_Clean]],Table3[ProductID],Table3[Category],"Missing Value",0)))</f>
        <v>Software</v>
      </c>
      <c r="T1077" t="str">
        <f>_xlfn.XLOOKUP(Table1[[#This Row],[CustomerID_Check]],Table2[CustomerID],Table2[CustomerType],"Missing Value",0)</f>
        <v>Standard</v>
      </c>
    </row>
    <row r="1078" spans="1:20">
      <c r="A1078" t="s">
        <v>1333</v>
      </c>
      <c r="B1078" s="1">
        <v>45810</v>
      </c>
      <c r="C1078" t="s">
        <v>477</v>
      </c>
      <c r="D1078" t="str">
        <f>UPPER(Table1[[#This Row],[ProductID_Clean]])</f>
        <v>P-SI-001</v>
      </c>
      <c r="E1078" t="s">
        <v>72</v>
      </c>
      <c r="F1078" t="s">
        <v>23</v>
      </c>
      <c r="G1078" t="str">
        <f>TRIM(Table1[[#This Row],[Region_Clean]])</f>
        <v>N. AMERICA</v>
      </c>
      <c r="H1078" t="s">
        <v>24</v>
      </c>
      <c r="I1078" t="s">
        <v>25</v>
      </c>
      <c r="J1078" s="3">
        <v>5</v>
      </c>
      <c r="K1078" s="3">
        <v>437.64</v>
      </c>
      <c r="L1078">
        <v>485</v>
      </c>
      <c r="M1078">
        <v>2425</v>
      </c>
      <c r="N1078">
        <v>236.8</v>
      </c>
      <c r="O1078">
        <v>2188.1999999999998</v>
      </c>
      <c r="P1078" t="s">
        <v>26</v>
      </c>
      <c r="Q1078" t="s">
        <v>27</v>
      </c>
      <c r="R1078" t="s">
        <v>36</v>
      </c>
      <c r="S1078" t="str">
        <f>TRIM(PROPER(_xlfn.XLOOKUP(Table1[[#This Row],[ProductID_Clean]],Table3[ProductID],Table3[Category],"Missing Value",0)))</f>
        <v>Sensors</v>
      </c>
      <c r="T1078" t="str">
        <f>_xlfn.XLOOKUP(Table1[[#This Row],[CustomerID_Check]],Table2[CustomerID],Table2[CustomerType],"Missing Value",0)</f>
        <v>Key Account</v>
      </c>
    </row>
    <row r="1079" spans="1:20">
      <c r="A1079" t="s">
        <v>1334</v>
      </c>
      <c r="B1079" s="1">
        <v>45741</v>
      </c>
      <c r="C1079" t="s">
        <v>80</v>
      </c>
      <c r="D1079" t="str">
        <f>UPPER(Table1[[#This Row],[ProductID_Clean]])</f>
        <v>P-SI-006</v>
      </c>
      <c r="E1079" t="s">
        <v>43</v>
      </c>
      <c r="F1079" t="s">
        <v>23</v>
      </c>
      <c r="G1079" t="str">
        <f>TRIM(Table1[[#This Row],[Region_Clean]])</f>
        <v>N. AMERICA</v>
      </c>
      <c r="H1079" t="s">
        <v>24</v>
      </c>
      <c r="I1079" t="s">
        <v>34</v>
      </c>
      <c r="J1079" s="3">
        <v>3</v>
      </c>
      <c r="K1079" s="3">
        <v>143.29</v>
      </c>
      <c r="L1079">
        <v>215</v>
      </c>
      <c r="M1079">
        <v>645</v>
      </c>
      <c r="N1079">
        <v>215.13</v>
      </c>
      <c r="O1079">
        <v>429.87</v>
      </c>
      <c r="P1079" t="s">
        <v>26</v>
      </c>
      <c r="Q1079" t="s">
        <v>27</v>
      </c>
      <c r="R1079" t="s">
        <v>48</v>
      </c>
      <c r="S1079" t="str">
        <f>TRIM(PROPER(_xlfn.XLOOKUP(Table1[[#This Row],[ProductID_Clean]],Table3[ProductID],Table3[Category],"Missing Value",0)))</f>
        <v>Sensors</v>
      </c>
      <c r="T1079" t="str">
        <f>_xlfn.XLOOKUP(Table1[[#This Row],[CustomerID_Check]],Table2[CustomerID],Table2[CustomerType],"Missing Value",0)</f>
        <v>Strategic</v>
      </c>
    </row>
    <row r="1080" spans="1:20">
      <c r="A1080" t="s">
        <v>1335</v>
      </c>
      <c r="B1080" s="1">
        <v>45661</v>
      </c>
      <c r="C1080" t="s">
        <v>235</v>
      </c>
      <c r="D1080" t="str">
        <f>UPPER(Table1[[#This Row],[ProductID_Clean]])</f>
        <v>P-SA-001</v>
      </c>
      <c r="E1080" t="s">
        <v>68</v>
      </c>
      <c r="F1080" t="s">
        <v>47</v>
      </c>
      <c r="G1080" t="str">
        <f>TRIM(Table1[[#This Row],[Region_Clean]])</f>
        <v>EMEA</v>
      </c>
      <c r="H1080" t="s">
        <v>53</v>
      </c>
      <c r="I1080" t="s">
        <v>87</v>
      </c>
      <c r="J1080" s="3">
        <v>1</v>
      </c>
      <c r="K1080" s="3">
        <v>3352.22</v>
      </c>
      <c r="L1080">
        <v>4200</v>
      </c>
      <c r="M1080">
        <v>4200</v>
      </c>
      <c r="N1080">
        <v>847.78</v>
      </c>
      <c r="O1080">
        <v>3352.22</v>
      </c>
      <c r="P1080" t="s">
        <v>26</v>
      </c>
      <c r="Q1080" t="s">
        <v>88</v>
      </c>
      <c r="R1080" t="s">
        <v>44</v>
      </c>
      <c r="S1080" t="str">
        <f>TRIM(PROPER(_xlfn.XLOOKUP(Table1[[#This Row],[ProductID_Clean]],Table3[ProductID],Table3[Category],"Missing Value",0)))</f>
        <v>Software</v>
      </c>
      <c r="T1080" t="str">
        <f>_xlfn.XLOOKUP(Table1[[#This Row],[CustomerID_Check]],Table2[CustomerID],Table2[CustomerType],"Missing Value",0)</f>
        <v>Key Account</v>
      </c>
    </row>
    <row r="1081" spans="1:20">
      <c r="A1081" t="s">
        <v>1336</v>
      </c>
      <c r="B1081" s="1">
        <v>45763</v>
      </c>
      <c r="C1081" t="s">
        <v>642</v>
      </c>
      <c r="D1081" t="str">
        <f>UPPER(Table1[[#This Row],[ProductID_Clean]])</f>
        <v>P-SI-005</v>
      </c>
      <c r="E1081" t="s">
        <v>57</v>
      </c>
      <c r="F1081" t="s">
        <v>47</v>
      </c>
      <c r="G1081" t="str">
        <f>TRIM(Table1[[#This Row],[Region_Clean]])</f>
        <v>EMEA</v>
      </c>
      <c r="H1081" t="s">
        <v>24</v>
      </c>
      <c r="I1081" t="s">
        <v>25</v>
      </c>
      <c r="J1081" s="3">
        <v>4</v>
      </c>
      <c r="K1081" s="3">
        <v>1004.43</v>
      </c>
      <c r="L1081">
        <v>1120</v>
      </c>
      <c r="M1081">
        <v>4480</v>
      </c>
      <c r="N1081">
        <v>462.28</v>
      </c>
      <c r="O1081">
        <v>4017.72</v>
      </c>
      <c r="P1081" t="s">
        <v>26</v>
      </c>
      <c r="Q1081" t="s">
        <v>65</v>
      </c>
      <c r="R1081" t="s">
        <v>28</v>
      </c>
      <c r="S1081" t="str">
        <f>TRIM(PROPER(_xlfn.XLOOKUP(Table1[[#This Row],[ProductID_Clean]],Table3[ProductID],Table3[Category],"Missing Value",0)))</f>
        <v>Sensors</v>
      </c>
      <c r="T1081" t="str">
        <f>_xlfn.XLOOKUP(Table1[[#This Row],[CustomerID_Check]],Table2[CustomerID],Table2[CustomerType],"Missing Value",0)</f>
        <v>Standard</v>
      </c>
    </row>
    <row r="1082" spans="1:20">
      <c r="A1082" t="s">
        <v>1337</v>
      </c>
      <c r="B1082" s="1">
        <v>45679</v>
      </c>
      <c r="C1082" t="s">
        <v>141</v>
      </c>
      <c r="D1082" t="str">
        <f>UPPER(Table1[[#This Row],[ProductID_Clean]])</f>
        <v>P-SA-004</v>
      </c>
      <c r="E1082" t="s">
        <v>86</v>
      </c>
      <c r="F1082" t="s">
        <v>23</v>
      </c>
      <c r="G1082" t="str">
        <f>TRIM(Table1[[#This Row],[Region_Clean]])</f>
        <v>N. AMERICA</v>
      </c>
      <c r="H1082" t="s">
        <v>53</v>
      </c>
      <c r="I1082" t="s">
        <v>87</v>
      </c>
      <c r="J1082" s="3">
        <v>3</v>
      </c>
      <c r="K1082" s="3">
        <v>1456.88</v>
      </c>
      <c r="L1082">
        <v>1650</v>
      </c>
      <c r="M1082">
        <v>4950</v>
      </c>
      <c r="N1082">
        <v>579.36</v>
      </c>
      <c r="O1082">
        <v>4370.6400000000003</v>
      </c>
      <c r="P1082" t="s">
        <v>26</v>
      </c>
      <c r="Q1082" t="s">
        <v>54</v>
      </c>
      <c r="R1082" t="s">
        <v>36</v>
      </c>
      <c r="S1082" t="str">
        <f>TRIM(PROPER(_xlfn.XLOOKUP(Table1[[#This Row],[ProductID_Clean]],Table3[ProductID],Table3[Category],"Missing Value",0)))</f>
        <v>Software</v>
      </c>
      <c r="T1082" t="str">
        <f>_xlfn.XLOOKUP(Table1[[#This Row],[CustomerID_Check]],Table2[CustomerID],Table2[CustomerType],"Missing Value",0)</f>
        <v>Key Account</v>
      </c>
    </row>
    <row r="1083" spans="1:20">
      <c r="A1083" t="s">
        <v>1338</v>
      </c>
      <c r="B1083" s="1">
        <v>45801</v>
      </c>
      <c r="C1083" t="s">
        <v>339</v>
      </c>
      <c r="D1083" t="str">
        <f>UPPER(Table1[[#This Row],[ProductID_Clean]])</f>
        <v>P-FS-001</v>
      </c>
      <c r="E1083" t="s">
        <v>133</v>
      </c>
      <c r="F1083" t="s">
        <v>47</v>
      </c>
      <c r="G1083" t="str">
        <f>TRIM(Table1[[#This Row],[Region_Clean]])</f>
        <v>EMEA</v>
      </c>
      <c r="H1083" t="s">
        <v>82</v>
      </c>
      <c r="I1083" t="s">
        <v>40</v>
      </c>
      <c r="J1083" s="3">
        <v>1</v>
      </c>
      <c r="K1083" s="3">
        <v>1555.81</v>
      </c>
      <c r="L1083">
        <v>1850</v>
      </c>
      <c r="M1083">
        <v>1850</v>
      </c>
      <c r="N1083">
        <v>294.19</v>
      </c>
      <c r="O1083">
        <v>1555.81</v>
      </c>
      <c r="P1083" t="s">
        <v>126</v>
      </c>
      <c r="Q1083" t="s">
        <v>35</v>
      </c>
      <c r="R1083" t="s">
        <v>48</v>
      </c>
      <c r="S1083" t="str">
        <f>TRIM(PROPER(_xlfn.XLOOKUP(Table1[[#This Row],[ProductID_Clean]],Table3[ProductID],Table3[Category],"Missing Value",0)))</f>
        <v>Services</v>
      </c>
      <c r="T1083" t="str">
        <f>_xlfn.XLOOKUP(Table1[[#This Row],[CustomerID_Check]],Table2[CustomerID],Table2[CustomerType],"Missing Value",0)</f>
        <v>Key Account</v>
      </c>
    </row>
    <row r="1084" spans="1:20">
      <c r="A1084" t="s">
        <v>1339</v>
      </c>
      <c r="B1084" s="1">
        <v>45804</v>
      </c>
      <c r="C1084" t="s">
        <v>288</v>
      </c>
      <c r="D1084" t="str">
        <f>UPPER(Table1[[#This Row],[ProductID_Clean]])</f>
        <v>P-SA-001</v>
      </c>
      <c r="E1084" t="s">
        <v>68</v>
      </c>
      <c r="F1084" t="s">
        <v>23</v>
      </c>
      <c r="G1084" t="str">
        <f>TRIM(Table1[[#This Row],[Region_Clean]])</f>
        <v>N. AMERICA</v>
      </c>
      <c r="H1084" t="s">
        <v>53</v>
      </c>
      <c r="I1084" t="s">
        <v>25</v>
      </c>
      <c r="J1084" s="3">
        <v>1</v>
      </c>
      <c r="K1084" s="3">
        <v>3936.09</v>
      </c>
      <c r="L1084">
        <v>4200</v>
      </c>
      <c r="M1084">
        <v>4200</v>
      </c>
      <c r="N1084">
        <v>263.91000000000003</v>
      </c>
      <c r="O1084">
        <v>3936.09</v>
      </c>
      <c r="P1084" t="s">
        <v>26</v>
      </c>
      <c r="Q1084" t="s">
        <v>88</v>
      </c>
      <c r="R1084" t="s">
        <v>59</v>
      </c>
      <c r="S1084" t="str">
        <f>TRIM(PROPER(_xlfn.XLOOKUP(Table1[[#This Row],[ProductID_Clean]],Table3[ProductID],Table3[Category],"Missing Value",0)))</f>
        <v>Software</v>
      </c>
      <c r="T1084" t="str">
        <f>_xlfn.XLOOKUP(Table1[[#This Row],[CustomerID_Check]],Table2[CustomerID],Table2[CustomerType],"Missing Value",0)</f>
        <v>Key Account</v>
      </c>
    </row>
    <row r="1085" spans="1:20">
      <c r="A1085" t="s">
        <v>1340</v>
      </c>
      <c r="B1085" s="1">
        <v>45755</v>
      </c>
      <c r="C1085" t="s">
        <v>118</v>
      </c>
      <c r="D1085" t="str">
        <f>UPPER(Table1[[#This Row],[ProductID_Clean]])</f>
        <v>P-SI-001</v>
      </c>
      <c r="E1085" t="s">
        <v>72</v>
      </c>
      <c r="F1085" t="s">
        <v>23</v>
      </c>
      <c r="G1085" t="str">
        <f>TRIM(Table1[[#This Row],[Region_Clean]])</f>
        <v>N. AMERICA</v>
      </c>
      <c r="H1085" t="s">
        <v>24</v>
      </c>
      <c r="I1085" t="s">
        <v>25</v>
      </c>
      <c r="J1085" s="3">
        <v>1</v>
      </c>
      <c r="K1085" s="3">
        <v>443.19</v>
      </c>
      <c r="L1085">
        <v>485</v>
      </c>
      <c r="M1085">
        <v>485</v>
      </c>
      <c r="N1085">
        <v>41.81</v>
      </c>
      <c r="O1085">
        <v>443.19</v>
      </c>
      <c r="P1085" t="s">
        <v>126</v>
      </c>
      <c r="Q1085" t="s">
        <v>27</v>
      </c>
      <c r="R1085" t="s">
        <v>59</v>
      </c>
      <c r="S1085" t="str">
        <f>TRIM(PROPER(_xlfn.XLOOKUP(Table1[[#This Row],[ProductID_Clean]],Table3[ProductID],Table3[Category],"Missing Value",0)))</f>
        <v>Sensors</v>
      </c>
      <c r="T1085" t="str">
        <f>_xlfn.XLOOKUP(Table1[[#This Row],[CustomerID_Check]],Table2[CustomerID],Table2[CustomerType],"Missing Value",0)</f>
        <v>Key Account</v>
      </c>
    </row>
    <row r="1086" spans="1:20">
      <c r="A1086" t="s">
        <v>1341</v>
      </c>
      <c r="B1086" s="1">
        <v>45693</v>
      </c>
      <c r="C1086" t="s">
        <v>227</v>
      </c>
      <c r="D1086" t="str">
        <f>UPPER(Table1[[#This Row],[ProductID_Clean]])</f>
        <v>P-FS-004</v>
      </c>
      <c r="E1086" t="s">
        <v>432</v>
      </c>
      <c r="F1086" t="s">
        <v>23</v>
      </c>
      <c r="G1086" t="str">
        <f>TRIM(Table1[[#This Row],[Region_Clean]])</f>
        <v>N. AMERICA</v>
      </c>
      <c r="H1086" t="s">
        <v>82</v>
      </c>
      <c r="I1086" t="s">
        <v>34</v>
      </c>
      <c r="J1086" s="3">
        <v>1</v>
      </c>
      <c r="K1086" s="3">
        <v>2825.56</v>
      </c>
      <c r="L1086">
        <v>3200</v>
      </c>
      <c r="M1086">
        <v>3200</v>
      </c>
      <c r="N1086">
        <v>374.44</v>
      </c>
      <c r="O1086">
        <v>2825.56</v>
      </c>
      <c r="P1086" t="s">
        <v>113</v>
      </c>
      <c r="Q1086" t="s">
        <v>27</v>
      </c>
      <c r="R1086" t="s">
        <v>36</v>
      </c>
      <c r="S1086" t="str">
        <f>TRIM(PROPER(_xlfn.XLOOKUP(Table1[[#This Row],[ProductID_Clean]],Table3[ProductID],Table3[Category],"Missing Value",0)))</f>
        <v>Services</v>
      </c>
      <c r="T1086" t="str">
        <f>_xlfn.XLOOKUP(Table1[[#This Row],[CustomerID_Check]],Table2[CustomerID],Table2[CustomerType],"Missing Value",0)</f>
        <v>Standard</v>
      </c>
    </row>
    <row r="1087" spans="1:20">
      <c r="A1087" t="s">
        <v>1342</v>
      </c>
      <c r="B1087" s="1">
        <v>45735</v>
      </c>
      <c r="C1087" t="s">
        <v>405</v>
      </c>
      <c r="D1087" t="str">
        <f>UPPER(Table1[[#This Row],[ProductID_Clean]])</f>
        <v>P-SI-008</v>
      </c>
      <c r="E1087" t="s">
        <v>152</v>
      </c>
      <c r="F1087" t="s">
        <v>58</v>
      </c>
      <c r="G1087" t="str">
        <f>TRIM(Table1[[#This Row],[Region_Clean]])</f>
        <v>APAC</v>
      </c>
      <c r="H1087" t="s">
        <v>24</v>
      </c>
      <c r="I1087" t="s">
        <v>25</v>
      </c>
      <c r="J1087" s="3">
        <v>4</v>
      </c>
      <c r="K1087" s="3">
        <v>810.63</v>
      </c>
      <c r="L1087">
        <v>950</v>
      </c>
      <c r="M1087">
        <v>3800</v>
      </c>
      <c r="N1087">
        <v>557.48</v>
      </c>
      <c r="O1087">
        <v>3242.52</v>
      </c>
      <c r="P1087" t="s">
        <v>26</v>
      </c>
      <c r="Q1087" t="s">
        <v>27</v>
      </c>
      <c r="R1087" t="s">
        <v>59</v>
      </c>
      <c r="S1087" t="str">
        <f>TRIM(PROPER(_xlfn.XLOOKUP(Table1[[#This Row],[ProductID_Clean]],Table3[ProductID],Table3[Category],"Missing Value",0)))</f>
        <v>Instruments</v>
      </c>
      <c r="T1087" t="str">
        <f>_xlfn.XLOOKUP(Table1[[#This Row],[CustomerID_Check]],Table2[CustomerID],Table2[CustomerType],"Missing Value",0)</f>
        <v>Emerging</v>
      </c>
    </row>
    <row r="1088" spans="1:20">
      <c r="A1088" t="s">
        <v>1343</v>
      </c>
      <c r="B1088" s="1">
        <v>45784</v>
      </c>
      <c r="C1088" t="s">
        <v>700</v>
      </c>
      <c r="D1088" t="str">
        <f>UPPER(Table1[[#This Row],[ProductID_Clean]])</f>
        <v>P-SI-003</v>
      </c>
      <c r="E1088" t="s">
        <v>39</v>
      </c>
      <c r="F1088" t="s">
        <v>58</v>
      </c>
      <c r="G1088" t="str">
        <f>TRIM(Table1[[#This Row],[Region_Clean]])</f>
        <v>APAC</v>
      </c>
      <c r="H1088" t="s">
        <v>24</v>
      </c>
      <c r="I1088" t="s">
        <v>25</v>
      </c>
      <c r="J1088" s="3">
        <v>4</v>
      </c>
      <c r="K1088" s="3">
        <v>1646.18</v>
      </c>
      <c r="L1088">
        <v>1890</v>
      </c>
      <c r="M1088">
        <v>7560</v>
      </c>
      <c r="N1088">
        <v>975.28</v>
      </c>
      <c r="O1088">
        <v>6584.72</v>
      </c>
      <c r="P1088" t="s">
        <v>126</v>
      </c>
      <c r="Q1088" t="s">
        <v>35</v>
      </c>
      <c r="R1088" t="s">
        <v>44</v>
      </c>
      <c r="S1088" t="str">
        <f>TRIM(PROPER(_xlfn.XLOOKUP(Table1[[#This Row],[ProductID_Clean]],Table3[ProductID],Table3[Category],"Missing Value",0)))</f>
        <v>Instruments</v>
      </c>
      <c r="T1088" t="str">
        <f>_xlfn.XLOOKUP(Table1[[#This Row],[CustomerID_Check]],Table2[CustomerID],Table2[CustomerType],"Missing Value",0)</f>
        <v>Emerging</v>
      </c>
    </row>
    <row r="1089" spans="1:20">
      <c r="A1089" t="s">
        <v>1344</v>
      </c>
      <c r="B1089" s="1">
        <v>45674</v>
      </c>
      <c r="C1089" t="s">
        <v>880</v>
      </c>
      <c r="D1089" t="str">
        <f>UPPER(Table1[[#This Row],[ProductID_Clean]])</f>
        <v>P-SI-006</v>
      </c>
      <c r="E1089" t="s">
        <v>43</v>
      </c>
      <c r="F1089" t="s">
        <v>23</v>
      </c>
      <c r="G1089" t="str">
        <f>TRIM(Table1[[#This Row],[Region_Clean]])</f>
        <v>N. AMERICA</v>
      </c>
      <c r="H1089" t="s">
        <v>24</v>
      </c>
      <c r="I1089" t="s">
        <v>34</v>
      </c>
      <c r="J1089" s="3">
        <v>4</v>
      </c>
      <c r="K1089" s="3">
        <v>167.88</v>
      </c>
      <c r="L1089">
        <v>215</v>
      </c>
      <c r="M1089">
        <v>860</v>
      </c>
      <c r="N1089">
        <v>188.48</v>
      </c>
      <c r="O1089">
        <v>671.52</v>
      </c>
      <c r="P1089" t="s">
        <v>26</v>
      </c>
      <c r="Q1089" t="s">
        <v>35</v>
      </c>
      <c r="R1089" t="s">
        <v>36</v>
      </c>
      <c r="S1089" t="str">
        <f>TRIM(PROPER(_xlfn.XLOOKUP(Table1[[#This Row],[ProductID_Clean]],Table3[ProductID],Table3[Category],"Missing Value",0)))</f>
        <v>Sensors</v>
      </c>
      <c r="T1089" t="str">
        <f>_xlfn.XLOOKUP(Table1[[#This Row],[CustomerID_Check]],Table2[CustomerID],Table2[CustomerType],"Missing Value",0)</f>
        <v>Standard</v>
      </c>
    </row>
    <row r="1090" spans="1:20">
      <c r="A1090" t="s">
        <v>1345</v>
      </c>
      <c r="B1090" s="1">
        <v>45769</v>
      </c>
      <c r="C1090" t="s">
        <v>276</v>
      </c>
      <c r="D1090" t="str">
        <f>UPPER(Table1[[#This Row],[ProductID_Clean]])</f>
        <v>P-SA-002</v>
      </c>
      <c r="E1090" t="s">
        <v>147</v>
      </c>
      <c r="F1090" t="s">
        <v>58</v>
      </c>
      <c r="G1090" t="str">
        <f>TRIM(Table1[[#This Row],[Region_Clean]])</f>
        <v>APAC</v>
      </c>
      <c r="H1090" t="s">
        <v>53</v>
      </c>
      <c r="I1090" t="s">
        <v>87</v>
      </c>
      <c r="J1090" s="3">
        <v>1</v>
      </c>
      <c r="K1090" s="3">
        <v>8210.91</v>
      </c>
      <c r="L1090">
        <v>9800</v>
      </c>
      <c r="M1090">
        <v>9800</v>
      </c>
      <c r="N1090">
        <v>1589.09</v>
      </c>
      <c r="O1090">
        <v>8210.91</v>
      </c>
      <c r="P1090" t="s">
        <v>26</v>
      </c>
      <c r="Q1090" t="s">
        <v>54</v>
      </c>
      <c r="R1090" t="s">
        <v>59</v>
      </c>
      <c r="S1090" t="str">
        <f>TRIM(PROPER(_xlfn.XLOOKUP(Table1[[#This Row],[ProductID_Clean]],Table3[ProductID],Table3[Category],"Missing Value",0)))</f>
        <v>Software</v>
      </c>
      <c r="T1090" t="str">
        <f>_xlfn.XLOOKUP(Table1[[#This Row],[CustomerID_Check]],Table2[CustomerID],Table2[CustomerType],"Missing Value",0)</f>
        <v>Key Account</v>
      </c>
    </row>
    <row r="1091" spans="1:20">
      <c r="A1091" t="s">
        <v>1346</v>
      </c>
      <c r="B1091" s="1">
        <v>45765</v>
      </c>
      <c r="C1091" t="s">
        <v>78</v>
      </c>
      <c r="D1091" t="str">
        <f>UPPER(Table1[[#This Row],[ProductID_Clean]])</f>
        <v>P-SI-006</v>
      </c>
      <c r="E1091" t="s">
        <v>43</v>
      </c>
      <c r="F1091" t="s">
        <v>58</v>
      </c>
      <c r="G1091" t="str">
        <f>TRIM(Table1[[#This Row],[Region_Clean]])</f>
        <v>APAC</v>
      </c>
      <c r="H1091" t="s">
        <v>24</v>
      </c>
      <c r="I1091" t="s">
        <v>98</v>
      </c>
      <c r="J1091" s="3">
        <v>5</v>
      </c>
      <c r="K1091" s="3">
        <v>175.52</v>
      </c>
      <c r="L1091">
        <v>215</v>
      </c>
      <c r="M1091">
        <v>1075</v>
      </c>
      <c r="N1091">
        <v>197.4</v>
      </c>
      <c r="O1091">
        <v>877.6</v>
      </c>
      <c r="P1091" t="s">
        <v>26</v>
      </c>
      <c r="Q1091" t="s">
        <v>35</v>
      </c>
      <c r="R1091" t="s">
        <v>59</v>
      </c>
      <c r="S1091" t="str">
        <f>TRIM(PROPER(_xlfn.XLOOKUP(Table1[[#This Row],[ProductID_Clean]],Table3[ProductID],Table3[Category],"Missing Value",0)))</f>
        <v>Sensors</v>
      </c>
      <c r="T1091" t="str">
        <f>_xlfn.XLOOKUP(Table1[[#This Row],[CustomerID_Check]],Table2[CustomerID],Table2[CustomerType],"Missing Value",0)</f>
        <v>Emerging</v>
      </c>
    </row>
    <row r="1092" spans="1:20">
      <c r="A1092" t="s">
        <v>1347</v>
      </c>
      <c r="B1092" s="1">
        <v>45781</v>
      </c>
      <c r="C1092" t="s">
        <v>76</v>
      </c>
      <c r="D1092" t="str">
        <f>UPPER(Table1[[#This Row],[ProductID_Clean]])</f>
        <v>P-SA-001</v>
      </c>
      <c r="E1092" t="s">
        <v>68</v>
      </c>
      <c r="F1092" t="s">
        <v>58</v>
      </c>
      <c r="G1092" t="str">
        <f>TRIM(Table1[[#This Row],[Region_Clean]])</f>
        <v>APAC</v>
      </c>
      <c r="H1092" t="s">
        <v>53</v>
      </c>
      <c r="I1092" t="s">
        <v>98</v>
      </c>
      <c r="J1092" s="3">
        <v>1</v>
      </c>
      <c r="K1092" s="3">
        <v>3780.9</v>
      </c>
      <c r="L1092">
        <v>4200</v>
      </c>
      <c r="M1092">
        <v>4200</v>
      </c>
      <c r="N1092">
        <v>419.1</v>
      </c>
      <c r="O1092">
        <v>3780.9</v>
      </c>
      <c r="P1092" t="s">
        <v>26</v>
      </c>
      <c r="Q1092" t="s">
        <v>88</v>
      </c>
      <c r="R1092" t="s">
        <v>59</v>
      </c>
      <c r="S1092" t="str">
        <f>TRIM(PROPER(_xlfn.XLOOKUP(Table1[[#This Row],[ProductID_Clean]],Table3[ProductID],Table3[Category],"Missing Value",0)))</f>
        <v>Software</v>
      </c>
      <c r="T1092" t="str">
        <f>_xlfn.XLOOKUP(Table1[[#This Row],[CustomerID_Check]],Table2[CustomerID],Table2[CustomerType],"Missing Value",0)</f>
        <v>Missing Value</v>
      </c>
    </row>
    <row r="1093" spans="1:20">
      <c r="A1093" t="s">
        <v>1348</v>
      </c>
      <c r="B1093" s="1">
        <v>45750</v>
      </c>
      <c r="C1093" t="s">
        <v>677</v>
      </c>
      <c r="D1093" t="str">
        <f>UPPER(Table1[[#This Row],[ProductID_Clean]])</f>
        <v>P-SI-003</v>
      </c>
      <c r="E1093" t="s">
        <v>39</v>
      </c>
      <c r="F1093" t="s">
        <v>32</v>
      </c>
      <c r="G1093" t="str">
        <f>TRIM(Table1[[#This Row],[Region_Clean]])</f>
        <v>LATIN AMERICA</v>
      </c>
      <c r="H1093" t="s">
        <v>24</v>
      </c>
      <c r="I1093" t="s">
        <v>25</v>
      </c>
      <c r="J1093" s="3">
        <v>8</v>
      </c>
      <c r="K1093" s="3">
        <v>1824.85</v>
      </c>
      <c r="L1093">
        <v>1890</v>
      </c>
      <c r="M1093">
        <v>15120</v>
      </c>
      <c r="N1093">
        <v>521.20000000000005</v>
      </c>
      <c r="O1093">
        <v>14598.8</v>
      </c>
      <c r="P1093" t="s">
        <v>26</v>
      </c>
      <c r="Q1093" t="s">
        <v>35</v>
      </c>
      <c r="R1093" t="s">
        <v>48</v>
      </c>
      <c r="S1093" t="str">
        <f>TRIM(PROPER(_xlfn.XLOOKUP(Table1[[#This Row],[ProductID_Clean]],Table3[ProductID],Table3[Category],"Missing Value",0)))</f>
        <v>Instruments</v>
      </c>
      <c r="T1093" t="str">
        <f>_xlfn.XLOOKUP(Table1[[#This Row],[CustomerID_Check]],Table2[CustomerID],Table2[CustomerType],"Missing Value",0)</f>
        <v>Standard</v>
      </c>
    </row>
    <row r="1094" spans="1:20">
      <c r="A1094" t="s">
        <v>1349</v>
      </c>
      <c r="B1094" s="1">
        <v>45721</v>
      </c>
      <c r="C1094" t="s">
        <v>89</v>
      </c>
      <c r="D1094" t="str">
        <f>UPPER(Table1[[#This Row],[ProductID_Clean]])</f>
        <v>P-FS-001</v>
      </c>
      <c r="E1094" t="s">
        <v>133</v>
      </c>
      <c r="F1094" t="s">
        <v>58</v>
      </c>
      <c r="G1094" t="str">
        <f>TRIM(Table1[[#This Row],[Region_Clean]])</f>
        <v>APAC</v>
      </c>
      <c r="H1094" t="s">
        <v>82</v>
      </c>
      <c r="I1094" t="s">
        <v>34</v>
      </c>
      <c r="J1094" s="3">
        <v>1</v>
      </c>
      <c r="K1094" s="3">
        <v>1179.6500000000001</v>
      </c>
      <c r="L1094">
        <v>1850</v>
      </c>
      <c r="M1094">
        <v>1850</v>
      </c>
      <c r="N1094">
        <v>670.35</v>
      </c>
      <c r="O1094">
        <v>1179.6500000000001</v>
      </c>
      <c r="P1094" t="s">
        <v>113</v>
      </c>
      <c r="Q1094" t="s">
        <v>35</v>
      </c>
      <c r="R1094" t="s">
        <v>44</v>
      </c>
      <c r="S1094" t="str">
        <f>TRIM(PROPER(_xlfn.XLOOKUP(Table1[[#This Row],[ProductID_Clean]],Table3[ProductID],Table3[Category],"Missing Value",0)))</f>
        <v>Services</v>
      </c>
      <c r="T1094" t="str">
        <f>_xlfn.XLOOKUP(Table1[[#This Row],[CustomerID_Check]],Table2[CustomerID],Table2[CustomerType],"Missing Value",0)</f>
        <v>Strategic</v>
      </c>
    </row>
    <row r="1095" spans="1:20">
      <c r="A1095" t="s">
        <v>1350</v>
      </c>
      <c r="B1095" s="1">
        <v>45818</v>
      </c>
      <c r="C1095" t="s">
        <v>730</v>
      </c>
      <c r="D1095" t="str">
        <f>UPPER(Table1[[#This Row],[ProductID_Clean]])</f>
        <v>P-SI-004</v>
      </c>
      <c r="E1095" t="s">
        <v>22</v>
      </c>
      <c r="F1095" t="s">
        <v>23</v>
      </c>
      <c r="G1095" t="str">
        <f>TRIM(Table1[[#This Row],[Region_Clean]])</f>
        <v>N. AMERICA</v>
      </c>
      <c r="H1095" t="s">
        <v>24</v>
      </c>
      <c r="I1095" t="s">
        <v>25</v>
      </c>
      <c r="J1095" s="3">
        <v>2</v>
      </c>
      <c r="K1095" s="3">
        <v>2351.12</v>
      </c>
      <c r="L1095">
        <v>2450</v>
      </c>
      <c r="M1095">
        <v>4900</v>
      </c>
      <c r="N1095">
        <v>197.76</v>
      </c>
      <c r="O1095">
        <v>4702.24</v>
      </c>
      <c r="P1095" t="s">
        <v>26</v>
      </c>
      <c r="Q1095" t="s">
        <v>65</v>
      </c>
      <c r="R1095" t="s">
        <v>36</v>
      </c>
      <c r="S1095" t="str">
        <f>TRIM(PROPER(_xlfn.XLOOKUP(Table1[[#This Row],[ProductID_Clean]],Table3[ProductID],Table3[Category],"Missing Value",0)))</f>
        <v>Instruments</v>
      </c>
      <c r="T1095" t="str">
        <f>_xlfn.XLOOKUP(Table1[[#This Row],[CustomerID_Check]],Table2[CustomerID],Table2[CustomerType],"Missing Value",0)</f>
        <v>Emerging</v>
      </c>
    </row>
    <row r="1096" spans="1:20">
      <c r="A1096" t="s">
        <v>1351</v>
      </c>
      <c r="B1096" s="1">
        <v>45810</v>
      </c>
      <c r="C1096" t="s">
        <v>416</v>
      </c>
      <c r="D1096" t="str">
        <f>UPPER(Table1[[#This Row],[ProductID_Clean]])</f>
        <v>P-FS-003</v>
      </c>
      <c r="E1096" t="s">
        <v>216</v>
      </c>
      <c r="F1096" t="s">
        <v>23</v>
      </c>
      <c r="G1096" t="str">
        <f>TRIM(Table1[[#This Row],[Region_Clean]])</f>
        <v>N. AMERICA</v>
      </c>
      <c r="H1096" t="s">
        <v>82</v>
      </c>
      <c r="I1096" t="s">
        <v>25</v>
      </c>
      <c r="J1096" s="3">
        <v>1</v>
      </c>
      <c r="K1096" s="3">
        <v>4061.1</v>
      </c>
      <c r="L1096">
        <v>4100</v>
      </c>
      <c r="M1096">
        <v>4100</v>
      </c>
      <c r="N1096">
        <v>38.9</v>
      </c>
      <c r="O1096">
        <v>4061.1</v>
      </c>
      <c r="P1096" t="s">
        <v>26</v>
      </c>
      <c r="Q1096" t="s">
        <v>94</v>
      </c>
      <c r="R1096" t="s">
        <v>48</v>
      </c>
      <c r="S1096" t="str">
        <f>TRIM(PROPER(_xlfn.XLOOKUP(Table1[[#This Row],[ProductID_Clean]],Table3[ProductID],Table3[Category],"Missing Value",0)))</f>
        <v>Services</v>
      </c>
      <c r="T1096" t="str">
        <f>_xlfn.XLOOKUP(Table1[[#This Row],[CustomerID_Check]],Table2[CustomerID],Table2[CustomerType],"Missing Value",0)</f>
        <v>Standard</v>
      </c>
    </row>
    <row r="1097" spans="1:20">
      <c r="A1097" t="s">
        <v>1352</v>
      </c>
      <c r="B1097" s="1">
        <v>45708</v>
      </c>
      <c r="C1097" t="s">
        <v>344</v>
      </c>
      <c r="D1097" t="str">
        <f>UPPER(Table1[[#This Row],[ProductID_Clean]])</f>
        <v>P-SI-004</v>
      </c>
      <c r="E1097" t="s">
        <v>22</v>
      </c>
      <c r="F1097" t="s">
        <v>52</v>
      </c>
      <c r="G1097" t="str">
        <f>TRIM(Table1[[#This Row],[Region_Clean]])</f>
        <v>N. AMERICA</v>
      </c>
      <c r="H1097" t="s">
        <v>24</v>
      </c>
      <c r="I1097" t="s">
        <v>87</v>
      </c>
      <c r="J1097" s="3">
        <v>4</v>
      </c>
      <c r="K1097" s="3">
        <v>2100.7800000000002</v>
      </c>
      <c r="L1097">
        <v>2450</v>
      </c>
      <c r="M1097">
        <v>9800</v>
      </c>
      <c r="N1097">
        <v>1396.88</v>
      </c>
      <c r="O1097">
        <v>8403.1200000000008</v>
      </c>
      <c r="P1097" t="s">
        <v>26</v>
      </c>
      <c r="Q1097" t="s">
        <v>65</v>
      </c>
      <c r="R1097" t="s">
        <v>59</v>
      </c>
      <c r="S1097" t="str">
        <f>TRIM(PROPER(_xlfn.XLOOKUP(Table1[[#This Row],[ProductID_Clean]],Table3[ProductID],Table3[Category],"Missing Value",0)))</f>
        <v>Instruments</v>
      </c>
      <c r="T1097" t="str">
        <f>_xlfn.XLOOKUP(Table1[[#This Row],[CustomerID_Check]],Table2[CustomerID],Table2[CustomerType],"Missing Value",0)</f>
        <v>Standard</v>
      </c>
    </row>
    <row r="1098" spans="1:20">
      <c r="A1098" t="s">
        <v>1353</v>
      </c>
      <c r="B1098" s="1">
        <v>45685</v>
      </c>
      <c r="C1098" t="s">
        <v>654</v>
      </c>
      <c r="D1098" t="str">
        <f>UPPER(Table1[[#This Row],[ProductID_Clean]])</f>
        <v>P-SI-003</v>
      </c>
      <c r="E1098" t="s">
        <v>39</v>
      </c>
      <c r="F1098" t="s">
        <v>32</v>
      </c>
      <c r="G1098" t="str">
        <f>TRIM(Table1[[#This Row],[Region_Clean]])</f>
        <v>LATIN AMERICA</v>
      </c>
      <c r="H1098" t="s">
        <v>24</v>
      </c>
      <c r="I1098" t="s">
        <v>25</v>
      </c>
      <c r="J1098" s="3">
        <v>12</v>
      </c>
      <c r="K1098" s="3">
        <v>1637.44</v>
      </c>
      <c r="L1098">
        <v>1890</v>
      </c>
      <c r="M1098">
        <v>22680</v>
      </c>
      <c r="N1098">
        <v>3030.72</v>
      </c>
      <c r="O1098">
        <v>19649.28</v>
      </c>
      <c r="P1098" t="s">
        <v>26</v>
      </c>
      <c r="Q1098" t="s">
        <v>35</v>
      </c>
      <c r="R1098" t="s">
        <v>28</v>
      </c>
      <c r="S1098" t="str">
        <f>TRIM(PROPER(_xlfn.XLOOKUP(Table1[[#This Row],[ProductID_Clean]],Table3[ProductID],Table3[Category],"Missing Value",0)))</f>
        <v>Instruments</v>
      </c>
      <c r="T1098" t="str">
        <f>_xlfn.XLOOKUP(Table1[[#This Row],[CustomerID_Check]],Table2[CustomerID],Table2[CustomerType],"Missing Value",0)</f>
        <v>Emerging</v>
      </c>
    </row>
    <row r="1099" spans="1:20">
      <c r="A1099" t="s">
        <v>1354</v>
      </c>
      <c r="B1099" s="1">
        <v>45759</v>
      </c>
      <c r="C1099" t="s">
        <v>759</v>
      </c>
      <c r="D1099" t="str">
        <f>UPPER(Table1[[#This Row],[ProductID_Clean]])</f>
        <v>P-SI-001</v>
      </c>
      <c r="E1099" t="s">
        <v>72</v>
      </c>
      <c r="F1099" t="s">
        <v>32</v>
      </c>
      <c r="G1099" t="str">
        <f>TRIM(Table1[[#This Row],[Region_Clean]])</f>
        <v>LATIN AMERICA</v>
      </c>
      <c r="H1099" t="s">
        <v>24</v>
      </c>
      <c r="I1099" t="s">
        <v>25</v>
      </c>
      <c r="J1099" s="3">
        <v>1</v>
      </c>
      <c r="K1099" s="3">
        <v>409.61</v>
      </c>
      <c r="L1099">
        <v>485</v>
      </c>
      <c r="M1099">
        <v>485</v>
      </c>
      <c r="N1099">
        <v>75.39</v>
      </c>
      <c r="O1099">
        <v>409.61</v>
      </c>
      <c r="P1099" t="s">
        <v>26</v>
      </c>
      <c r="Q1099" t="s">
        <v>35</v>
      </c>
      <c r="R1099" t="s">
        <v>44</v>
      </c>
      <c r="S1099" t="str">
        <f>TRIM(PROPER(_xlfn.XLOOKUP(Table1[[#This Row],[ProductID_Clean]],Table3[ProductID],Table3[Category],"Missing Value",0)))</f>
        <v>Sensors</v>
      </c>
      <c r="T1099" t="str">
        <f>_xlfn.XLOOKUP(Table1[[#This Row],[CustomerID_Check]],Table2[CustomerID],Table2[CustomerType],"Missing Value",0)</f>
        <v>Standard</v>
      </c>
    </row>
    <row r="1100" spans="1:20">
      <c r="A1100" t="s">
        <v>1355</v>
      </c>
      <c r="B1100" s="1">
        <v>45816</v>
      </c>
      <c r="C1100" t="s">
        <v>146</v>
      </c>
      <c r="D1100" t="str">
        <f>UPPER(Table1[[#This Row],[ProductID_Clean]])</f>
        <v>P-SI-002</v>
      </c>
      <c r="E1100" t="s">
        <v>31</v>
      </c>
      <c r="F1100" t="s">
        <v>47</v>
      </c>
      <c r="G1100" t="str">
        <f>TRIM(Table1[[#This Row],[Region_Clean]])</f>
        <v>EMEA</v>
      </c>
      <c r="H1100" t="s">
        <v>24</v>
      </c>
      <c r="I1100" t="s">
        <v>34</v>
      </c>
      <c r="J1100" s="3">
        <v>1</v>
      </c>
      <c r="K1100" s="3">
        <v>670.93</v>
      </c>
      <c r="L1100">
        <v>725</v>
      </c>
      <c r="M1100">
        <v>725</v>
      </c>
      <c r="N1100">
        <v>54.07</v>
      </c>
      <c r="O1100">
        <v>670.93</v>
      </c>
      <c r="P1100" t="s">
        <v>26</v>
      </c>
      <c r="Q1100" t="s">
        <v>35</v>
      </c>
      <c r="R1100" t="s">
        <v>44</v>
      </c>
      <c r="S1100" t="str">
        <f>TRIM(PROPER(_xlfn.XLOOKUP(Table1[[#This Row],[ProductID_Clean]],Table3[ProductID],Table3[Category],"Missing Value",0)))</f>
        <v>Sensors</v>
      </c>
      <c r="T1100" t="str">
        <f>_xlfn.XLOOKUP(Table1[[#This Row],[CustomerID_Check]],Table2[CustomerID],Table2[CustomerType],"Missing Value",0)</f>
        <v>Key Account</v>
      </c>
    </row>
    <row r="1101" spans="1:20">
      <c r="A1101" t="s">
        <v>1356</v>
      </c>
      <c r="B1101" s="1">
        <v>45742</v>
      </c>
      <c r="C1101" t="s">
        <v>792</v>
      </c>
      <c r="D1101" t="str">
        <f>UPPER(Table1[[#This Row],[ProductID_Clean]])</f>
        <v>P-SI-006</v>
      </c>
      <c r="E1101" t="s">
        <v>43</v>
      </c>
      <c r="F1101" t="s">
        <v>47</v>
      </c>
      <c r="G1101" t="str">
        <f>TRIM(Table1[[#This Row],[Region_Clean]])</f>
        <v>EMEA</v>
      </c>
      <c r="H1101" t="s">
        <v>24</v>
      </c>
      <c r="I1101" t="s">
        <v>87</v>
      </c>
      <c r="J1101" s="3">
        <v>12</v>
      </c>
      <c r="K1101" s="3">
        <v>164.69</v>
      </c>
      <c r="L1101">
        <v>215</v>
      </c>
      <c r="M1101">
        <v>2580</v>
      </c>
      <c r="N1101">
        <v>603.72</v>
      </c>
      <c r="O1101">
        <v>1976.28</v>
      </c>
      <c r="P1101" t="s">
        <v>26</v>
      </c>
      <c r="Q1101" t="s">
        <v>65</v>
      </c>
      <c r="R1101" t="s">
        <v>36</v>
      </c>
      <c r="S1101" t="str">
        <f>TRIM(PROPER(_xlfn.XLOOKUP(Table1[[#This Row],[ProductID_Clean]],Table3[ProductID],Table3[Category],"Missing Value",0)))</f>
        <v>Sensors</v>
      </c>
      <c r="T1101" t="str">
        <f>_xlfn.XLOOKUP(Table1[[#This Row],[CustomerID_Check]],Table2[CustomerID],Table2[CustomerType],"Missing Value",0)</f>
        <v>Standard</v>
      </c>
    </row>
    <row r="1102" spans="1:20">
      <c r="A1102" t="s">
        <v>1357</v>
      </c>
      <c r="B1102" s="1">
        <v>45824</v>
      </c>
      <c r="C1102" t="s">
        <v>1358</v>
      </c>
      <c r="D1102" t="str">
        <f>UPPER(Table1[[#This Row],[ProductID_Clean]])</f>
        <v>P-SI-003</v>
      </c>
      <c r="E1102" t="s">
        <v>39</v>
      </c>
      <c r="F1102" t="s">
        <v>23</v>
      </c>
      <c r="G1102" t="str">
        <f>TRIM(Table1[[#This Row],[Region_Clean]])</f>
        <v>N. AMERICA</v>
      </c>
      <c r="H1102" t="s">
        <v>24</v>
      </c>
      <c r="I1102" t="s">
        <v>25</v>
      </c>
      <c r="J1102" s="3">
        <v>1</v>
      </c>
      <c r="K1102" s="3">
        <v>1743.08</v>
      </c>
      <c r="L1102">
        <v>1890</v>
      </c>
      <c r="M1102">
        <v>1890</v>
      </c>
      <c r="N1102">
        <v>146.91999999999999</v>
      </c>
      <c r="O1102">
        <v>1743.08</v>
      </c>
      <c r="P1102" t="s">
        <v>26</v>
      </c>
      <c r="Q1102" t="s">
        <v>35</v>
      </c>
      <c r="R1102" t="s">
        <v>48</v>
      </c>
      <c r="S1102" t="str">
        <f>TRIM(PROPER(_xlfn.XLOOKUP(Table1[[#This Row],[ProductID_Clean]],Table3[ProductID],Table3[Category],"Missing Value",0)))</f>
        <v>Instruments</v>
      </c>
      <c r="T1102" t="str">
        <f>_xlfn.XLOOKUP(Table1[[#This Row],[CustomerID_Check]],Table2[CustomerID],Table2[CustomerType],"Missing Value",0)</f>
        <v>Emerging</v>
      </c>
    </row>
    <row r="1103" spans="1:20">
      <c r="A1103" t="s">
        <v>1359</v>
      </c>
      <c r="B1103" s="1">
        <v>45692</v>
      </c>
      <c r="C1103" t="s">
        <v>80</v>
      </c>
      <c r="D1103" t="str">
        <f>UPPER(Table1[[#This Row],[ProductID_Clean]])</f>
        <v>P-FS-001</v>
      </c>
      <c r="E1103" t="s">
        <v>133</v>
      </c>
      <c r="F1103" t="s">
        <v>23</v>
      </c>
      <c r="G1103" t="str">
        <f>TRIM(Table1[[#This Row],[Region_Clean]])</f>
        <v>N. AMERICA</v>
      </c>
      <c r="H1103" t="s">
        <v>82</v>
      </c>
      <c r="I1103" t="s">
        <v>87</v>
      </c>
      <c r="J1103" s="3">
        <v>1</v>
      </c>
      <c r="K1103" s="3">
        <v>1220.57</v>
      </c>
      <c r="L1103">
        <v>1850</v>
      </c>
      <c r="M1103">
        <v>1850</v>
      </c>
      <c r="N1103">
        <v>629.42999999999995</v>
      </c>
      <c r="O1103">
        <v>1220.57</v>
      </c>
      <c r="P1103" t="s">
        <v>113</v>
      </c>
      <c r="Q1103" t="s">
        <v>35</v>
      </c>
      <c r="R1103" t="s">
        <v>48</v>
      </c>
      <c r="S1103" t="str">
        <f>TRIM(PROPER(_xlfn.XLOOKUP(Table1[[#This Row],[ProductID_Clean]],Table3[ProductID],Table3[Category],"Missing Value",0)))</f>
        <v>Services</v>
      </c>
      <c r="T1103" t="str">
        <f>_xlfn.XLOOKUP(Table1[[#This Row],[CustomerID_Check]],Table2[CustomerID],Table2[CustomerType],"Missing Value",0)</f>
        <v>Strategic</v>
      </c>
    </row>
    <row r="1104" spans="1:20">
      <c r="A1104" t="s">
        <v>1360</v>
      </c>
      <c r="B1104" s="1">
        <v>45740</v>
      </c>
      <c r="C1104" t="s">
        <v>194</v>
      </c>
      <c r="D1104" t="str">
        <f>UPPER(Table1[[#This Row],[ProductID_Clean]])</f>
        <v>P-SI-006</v>
      </c>
      <c r="E1104" t="s">
        <v>43</v>
      </c>
      <c r="F1104" t="s">
        <v>23</v>
      </c>
      <c r="G1104" t="str">
        <f>TRIM(Table1[[#This Row],[Region_Clean]])</f>
        <v>N. AMERICA</v>
      </c>
      <c r="H1104" t="s">
        <v>24</v>
      </c>
      <c r="I1104" t="s">
        <v>34</v>
      </c>
      <c r="J1104" s="3">
        <v>1</v>
      </c>
      <c r="K1104" s="3">
        <v>160.1</v>
      </c>
      <c r="L1104">
        <v>215</v>
      </c>
      <c r="M1104">
        <v>215</v>
      </c>
      <c r="N1104">
        <v>54.9</v>
      </c>
      <c r="O1104">
        <v>160.1</v>
      </c>
      <c r="P1104" t="s">
        <v>26</v>
      </c>
      <c r="Q1104" t="s">
        <v>35</v>
      </c>
      <c r="R1104" t="s">
        <v>36</v>
      </c>
      <c r="S1104" t="str">
        <f>TRIM(PROPER(_xlfn.XLOOKUP(Table1[[#This Row],[ProductID_Clean]],Table3[ProductID],Table3[Category],"Missing Value",0)))</f>
        <v>Sensors</v>
      </c>
      <c r="T1104" t="str">
        <f>_xlfn.XLOOKUP(Table1[[#This Row],[CustomerID_Check]],Table2[CustomerID],Table2[CustomerType],"Missing Value",0)</f>
        <v>Strategic</v>
      </c>
    </row>
    <row r="1105" spans="1:20">
      <c r="A1105" t="s">
        <v>1361</v>
      </c>
      <c r="B1105" s="1">
        <v>45835</v>
      </c>
      <c r="C1105" t="s">
        <v>339</v>
      </c>
      <c r="D1105" t="str">
        <f>UPPER(Table1[[#This Row],[ProductID_Clean]])</f>
        <v>P-SI-006</v>
      </c>
      <c r="E1105" t="s">
        <v>43</v>
      </c>
      <c r="F1105" t="s">
        <v>47</v>
      </c>
      <c r="G1105" t="str">
        <f>TRIM(Table1[[#This Row],[Region_Clean]])</f>
        <v>EMEA</v>
      </c>
      <c r="H1105" t="s">
        <v>24</v>
      </c>
      <c r="I1105" t="s">
        <v>87</v>
      </c>
      <c r="J1105" s="3">
        <v>1</v>
      </c>
      <c r="K1105" s="3">
        <v>164.52</v>
      </c>
      <c r="L1105">
        <v>215</v>
      </c>
      <c r="M1105">
        <v>215</v>
      </c>
      <c r="N1105">
        <v>50.48</v>
      </c>
      <c r="O1105">
        <v>164.52</v>
      </c>
      <c r="P1105" t="s">
        <v>26</v>
      </c>
      <c r="Q1105" t="s">
        <v>65</v>
      </c>
      <c r="R1105" t="s">
        <v>48</v>
      </c>
      <c r="S1105" t="str">
        <f>TRIM(PROPER(_xlfn.XLOOKUP(Table1[[#This Row],[ProductID_Clean]],Table3[ProductID],Table3[Category],"Missing Value",0)))</f>
        <v>Sensors</v>
      </c>
      <c r="T1105" t="str">
        <f>_xlfn.XLOOKUP(Table1[[#This Row],[CustomerID_Check]],Table2[CustomerID],Table2[CustomerType],"Missing Value",0)</f>
        <v>Key Account</v>
      </c>
    </row>
    <row r="1106" spans="1:20">
      <c r="A1106" t="s">
        <v>1362</v>
      </c>
      <c r="B1106" s="1">
        <v>45703</v>
      </c>
      <c r="C1106" t="s">
        <v>56</v>
      </c>
      <c r="D1106" t="str">
        <f>UPPER(Table1[[#This Row],[ProductID_Clean]])</f>
        <v>P-SA-004</v>
      </c>
      <c r="E1106" t="s">
        <v>86</v>
      </c>
      <c r="F1106" t="s">
        <v>58</v>
      </c>
      <c r="G1106" t="str">
        <f>TRIM(Table1[[#This Row],[Region_Clean]])</f>
        <v>APAC</v>
      </c>
      <c r="H1106" t="s">
        <v>53</v>
      </c>
      <c r="I1106" t="s">
        <v>25</v>
      </c>
      <c r="J1106" s="3">
        <v>1</v>
      </c>
      <c r="K1106" s="3">
        <v>1397.88</v>
      </c>
      <c r="L1106">
        <v>1650</v>
      </c>
      <c r="M1106">
        <v>1650</v>
      </c>
      <c r="N1106">
        <v>252.12</v>
      </c>
      <c r="O1106">
        <v>1397.88</v>
      </c>
      <c r="P1106" t="s">
        <v>26</v>
      </c>
      <c r="Q1106" t="s">
        <v>54</v>
      </c>
      <c r="R1106" t="s">
        <v>59</v>
      </c>
      <c r="S1106" t="str">
        <f>TRIM(PROPER(_xlfn.XLOOKUP(Table1[[#This Row],[ProductID_Clean]],Table3[ProductID],Table3[Category],"Missing Value",0)))</f>
        <v>Software</v>
      </c>
      <c r="T1106" t="str">
        <f>_xlfn.XLOOKUP(Table1[[#This Row],[CustomerID_Check]],Table2[CustomerID],Table2[CustomerType],"Missing Value",0)</f>
        <v>Key Account</v>
      </c>
    </row>
    <row r="1107" spans="1:20">
      <c r="A1107" t="s">
        <v>1363</v>
      </c>
      <c r="B1107" s="1">
        <v>45739</v>
      </c>
      <c r="C1107" t="s">
        <v>516</v>
      </c>
      <c r="D1107" t="str">
        <f>UPPER(Table1[[#This Row],[ProductID_Clean]])</f>
        <v>P-FS-003</v>
      </c>
      <c r="E1107" t="s">
        <v>216</v>
      </c>
      <c r="F1107" t="s">
        <v>58</v>
      </c>
      <c r="G1107" t="str">
        <f>TRIM(Table1[[#This Row],[Region_Clean]])</f>
        <v>APAC</v>
      </c>
      <c r="H1107" t="s">
        <v>82</v>
      </c>
      <c r="I1107" t="s">
        <v>87</v>
      </c>
      <c r="J1107" s="3">
        <v>1</v>
      </c>
      <c r="K1107" s="3">
        <v>3376.92</v>
      </c>
      <c r="L1107">
        <v>4100</v>
      </c>
      <c r="M1107">
        <v>4100</v>
      </c>
      <c r="N1107">
        <v>723.08</v>
      </c>
      <c r="O1107">
        <v>3376.92</v>
      </c>
      <c r="P1107" t="s">
        <v>26</v>
      </c>
      <c r="Q1107" t="s">
        <v>83</v>
      </c>
      <c r="R1107" t="s">
        <v>48</v>
      </c>
      <c r="S1107" t="str">
        <f>TRIM(PROPER(_xlfn.XLOOKUP(Table1[[#This Row],[ProductID_Clean]],Table3[ProductID],Table3[Category],"Missing Value",0)))</f>
        <v>Services</v>
      </c>
      <c r="T1107" t="str">
        <f>_xlfn.XLOOKUP(Table1[[#This Row],[CustomerID_Check]],Table2[CustomerID],Table2[CustomerType],"Missing Value",0)</f>
        <v>Standard</v>
      </c>
    </row>
    <row r="1108" spans="1:20">
      <c r="A1108" t="s">
        <v>1364</v>
      </c>
      <c r="B1108" s="1">
        <v>45835</v>
      </c>
      <c r="C1108" t="s">
        <v>880</v>
      </c>
      <c r="D1108" t="str">
        <f>UPPER(Table1[[#This Row],[ProductID_Clean]])</f>
        <v>P-SI-003</v>
      </c>
      <c r="E1108" t="s">
        <v>39</v>
      </c>
      <c r="F1108" t="s">
        <v>23</v>
      </c>
      <c r="G1108" t="str">
        <f>TRIM(Table1[[#This Row],[Region_Clean]])</f>
        <v>N. AMERICA</v>
      </c>
      <c r="H1108" t="s">
        <v>24</v>
      </c>
      <c r="I1108" t="s">
        <v>87</v>
      </c>
      <c r="J1108" s="3">
        <v>2</v>
      </c>
      <c r="K1108" s="3">
        <v>1576.32</v>
      </c>
      <c r="L1108">
        <v>1890</v>
      </c>
      <c r="M1108">
        <v>3780</v>
      </c>
      <c r="N1108">
        <v>627.36</v>
      </c>
      <c r="O1108">
        <v>3152.64</v>
      </c>
      <c r="P1108" t="s">
        <v>26</v>
      </c>
      <c r="Q1108" t="s">
        <v>35</v>
      </c>
      <c r="R1108" t="s">
        <v>36</v>
      </c>
      <c r="S1108" t="str">
        <f>TRIM(PROPER(_xlfn.XLOOKUP(Table1[[#This Row],[ProductID_Clean]],Table3[ProductID],Table3[Category],"Missing Value",0)))</f>
        <v>Instruments</v>
      </c>
      <c r="T1108" t="str">
        <f>_xlfn.XLOOKUP(Table1[[#This Row],[CustomerID_Check]],Table2[CustomerID],Table2[CustomerType],"Missing Value",0)</f>
        <v>Standard</v>
      </c>
    </row>
    <row r="1109" spans="1:20">
      <c r="A1109" t="s">
        <v>1365</v>
      </c>
      <c r="B1109" s="1">
        <v>45720</v>
      </c>
      <c r="C1109" t="s">
        <v>754</v>
      </c>
      <c r="D1109" t="str">
        <f>UPPER(Table1[[#This Row],[ProductID_Clean]])</f>
        <v>P-FS-006</v>
      </c>
      <c r="E1109" t="s">
        <v>92</v>
      </c>
      <c r="F1109" t="s">
        <v>23</v>
      </c>
      <c r="G1109" t="str">
        <f>TRIM(Table1[[#This Row],[Region_Clean]])</f>
        <v>N. AMERICA</v>
      </c>
      <c r="H1109" t="s">
        <v>82</v>
      </c>
      <c r="I1109" t="s">
        <v>25</v>
      </c>
      <c r="J1109" s="3">
        <v>1</v>
      </c>
      <c r="K1109" s="3">
        <v>1457.57</v>
      </c>
      <c r="L1109">
        <v>1450</v>
      </c>
      <c r="M1109">
        <v>1450</v>
      </c>
      <c r="N1109">
        <v>-7.57</v>
      </c>
      <c r="O1109">
        <v>1457.57</v>
      </c>
      <c r="P1109" t="s">
        <v>26</v>
      </c>
      <c r="Q1109" t="s">
        <v>27</v>
      </c>
      <c r="R1109" t="s">
        <v>59</v>
      </c>
      <c r="S1109" t="str">
        <f>TRIM(PROPER(_xlfn.XLOOKUP(Table1[[#This Row],[ProductID_Clean]],Table3[ProductID],Table3[Category],"Missing Value",0)))</f>
        <v>Services</v>
      </c>
      <c r="T1109" t="str">
        <f>_xlfn.XLOOKUP(Table1[[#This Row],[CustomerID_Check]],Table2[CustomerID],Table2[CustomerType],"Missing Value",0)</f>
        <v>Standard</v>
      </c>
    </row>
    <row r="1110" spans="1:20">
      <c r="A1110" t="s">
        <v>1366</v>
      </c>
      <c r="B1110" s="1">
        <v>45754</v>
      </c>
      <c r="C1110" t="s">
        <v>237</v>
      </c>
      <c r="D1110" t="str">
        <f>UPPER(Table1[[#This Row],[ProductID_Clean]])</f>
        <v>P-SA-004</v>
      </c>
      <c r="E1110" t="s">
        <v>86</v>
      </c>
      <c r="F1110" t="s">
        <v>47</v>
      </c>
      <c r="G1110" t="str">
        <f>TRIM(Table1[[#This Row],[Region_Clean]])</f>
        <v>EMEA</v>
      </c>
      <c r="H1110" t="s">
        <v>53</v>
      </c>
      <c r="I1110" t="s">
        <v>25</v>
      </c>
      <c r="J1110" s="3">
        <v>1</v>
      </c>
      <c r="K1110" s="3">
        <v>1509.14</v>
      </c>
      <c r="L1110">
        <v>1650</v>
      </c>
      <c r="M1110">
        <v>1650</v>
      </c>
      <c r="N1110">
        <v>140.86000000000001</v>
      </c>
      <c r="O1110">
        <v>1509.14</v>
      </c>
      <c r="P1110" t="s">
        <v>113</v>
      </c>
      <c r="Q1110" t="s">
        <v>54</v>
      </c>
      <c r="R1110" t="s">
        <v>28</v>
      </c>
      <c r="S1110" t="str">
        <f>TRIM(PROPER(_xlfn.XLOOKUP(Table1[[#This Row],[ProductID_Clean]],Table3[ProductID],Table3[Category],"Missing Value",0)))</f>
        <v>Software</v>
      </c>
      <c r="T1110" t="str">
        <f>_xlfn.XLOOKUP(Table1[[#This Row],[CustomerID_Check]],Table2[CustomerID],Table2[CustomerType],"Missing Value",0)</f>
        <v>Standard</v>
      </c>
    </row>
    <row r="1111" spans="1:20">
      <c r="A1111" t="s">
        <v>1367</v>
      </c>
      <c r="B1111" s="1">
        <v>45758</v>
      </c>
      <c r="C1111" t="s">
        <v>125</v>
      </c>
      <c r="D1111" t="str">
        <f>UPPER(Table1[[#This Row],[ProductID_Clean]])</f>
        <v>P-FS-001</v>
      </c>
      <c r="E1111" t="s">
        <v>133</v>
      </c>
      <c r="F1111" t="s">
        <v>58</v>
      </c>
      <c r="G1111" t="str">
        <f>TRIM(Table1[[#This Row],[Region_Clean]])</f>
        <v>APAC</v>
      </c>
      <c r="H1111" t="s">
        <v>82</v>
      </c>
      <c r="I1111" t="s">
        <v>87</v>
      </c>
      <c r="J1111" s="3">
        <v>1</v>
      </c>
      <c r="K1111" s="3">
        <v>1337.57</v>
      </c>
      <c r="L1111">
        <v>1850</v>
      </c>
      <c r="M1111">
        <v>1850</v>
      </c>
      <c r="N1111">
        <v>512.42999999999995</v>
      </c>
      <c r="O1111">
        <v>1337.57</v>
      </c>
      <c r="P1111" t="s">
        <v>26</v>
      </c>
      <c r="Q1111" t="s">
        <v>35</v>
      </c>
      <c r="R1111" t="s">
        <v>36</v>
      </c>
      <c r="S1111" t="str">
        <f>TRIM(PROPER(_xlfn.XLOOKUP(Table1[[#This Row],[ProductID_Clean]],Table3[ProductID],Table3[Category],"Missing Value",0)))</f>
        <v>Services</v>
      </c>
      <c r="T1111" t="str">
        <f>_xlfn.XLOOKUP(Table1[[#This Row],[CustomerID_Check]],Table2[CustomerID],Table2[CustomerType],"Missing Value",0)</f>
        <v>Strategic</v>
      </c>
    </row>
    <row r="1112" spans="1:20">
      <c r="A1112" t="s">
        <v>1368</v>
      </c>
      <c r="B1112" s="1">
        <v>45687</v>
      </c>
      <c r="C1112" t="s">
        <v>125</v>
      </c>
      <c r="D1112" t="str">
        <f>UPPER(Table1[[#This Row],[ProductID_Clean]])</f>
        <v>P-SI-005</v>
      </c>
      <c r="E1112" t="s">
        <v>57</v>
      </c>
      <c r="F1112" t="s">
        <v>198</v>
      </c>
      <c r="G1112" t="str">
        <f>TRIM(Table1[[#This Row],[Region_Clean]])</f>
        <v>APAC</v>
      </c>
      <c r="H1112" t="s">
        <v>24</v>
      </c>
      <c r="I1112" t="s">
        <v>87</v>
      </c>
      <c r="J1112" s="3">
        <v>10</v>
      </c>
      <c r="K1112" s="3">
        <v>796.49</v>
      </c>
      <c r="L1112">
        <v>1120</v>
      </c>
      <c r="M1112">
        <v>11200</v>
      </c>
      <c r="N1112">
        <v>3235.1</v>
      </c>
      <c r="O1112">
        <v>7964.9</v>
      </c>
      <c r="P1112" t="s">
        <v>26</v>
      </c>
      <c r="Q1112" t="s">
        <v>65</v>
      </c>
      <c r="R1112" t="s">
        <v>36</v>
      </c>
      <c r="S1112" t="str">
        <f>TRIM(PROPER(_xlfn.XLOOKUP(Table1[[#This Row],[ProductID_Clean]],Table3[ProductID],Table3[Category],"Missing Value",0)))</f>
        <v>Sensors</v>
      </c>
      <c r="T1112" t="str">
        <f>_xlfn.XLOOKUP(Table1[[#This Row],[CustomerID_Check]],Table2[CustomerID],Table2[CustomerType],"Missing Value",0)</f>
        <v>Strategic</v>
      </c>
    </row>
    <row r="1113" spans="1:20">
      <c r="A1113" t="s">
        <v>1369</v>
      </c>
      <c r="B1113" s="1">
        <v>45809</v>
      </c>
      <c r="C1113" t="s">
        <v>38</v>
      </c>
      <c r="D1113" t="str">
        <f>UPPER(Table1[[#This Row],[ProductID_Clean]])</f>
        <v>P-SI-006</v>
      </c>
      <c r="E1113" t="s">
        <v>43</v>
      </c>
      <c r="F1113" t="s">
        <v>32</v>
      </c>
      <c r="G1113" t="str">
        <f>TRIM(Table1[[#This Row],[Region_Clean]])</f>
        <v>LATIN AMERICA</v>
      </c>
      <c r="H1113" t="s">
        <v>24</v>
      </c>
      <c r="I1113" t="s">
        <v>25</v>
      </c>
      <c r="J1113" s="3">
        <v>1</v>
      </c>
      <c r="K1113" s="3">
        <v>184.56</v>
      </c>
      <c r="L1113">
        <v>215</v>
      </c>
      <c r="M1113">
        <v>215</v>
      </c>
      <c r="N1113">
        <v>30.44</v>
      </c>
      <c r="O1113">
        <v>184.56</v>
      </c>
      <c r="P1113" t="s">
        <v>26</v>
      </c>
      <c r="Q1113" t="s">
        <v>65</v>
      </c>
      <c r="R1113" t="s">
        <v>36</v>
      </c>
      <c r="S1113" t="str">
        <f>TRIM(PROPER(_xlfn.XLOOKUP(Table1[[#This Row],[ProductID_Clean]],Table3[ProductID],Table3[Category],"Missing Value",0)))</f>
        <v>Sensors</v>
      </c>
      <c r="T1113" t="str">
        <f>_xlfn.XLOOKUP(Table1[[#This Row],[CustomerID_Check]],Table2[CustomerID],Table2[CustomerType],"Missing Value",0)</f>
        <v>Standard</v>
      </c>
    </row>
    <row r="1114" spans="1:20">
      <c r="A1114" t="s">
        <v>1370</v>
      </c>
      <c r="B1114" s="1">
        <v>45704</v>
      </c>
      <c r="C1114" t="s">
        <v>754</v>
      </c>
      <c r="D1114" t="str">
        <f>UPPER(Table1[[#This Row],[ProductID_Clean]])</f>
        <v>P-SI-007</v>
      </c>
      <c r="E1114" t="s">
        <v>97</v>
      </c>
      <c r="F1114" t="s">
        <v>23</v>
      </c>
      <c r="G1114" t="str">
        <f>TRIM(Table1[[#This Row],[Region_Clean]])</f>
        <v>N. AMERICA</v>
      </c>
      <c r="H1114" t="s">
        <v>24</v>
      </c>
      <c r="I1114" t="s">
        <v>34</v>
      </c>
      <c r="J1114" s="3">
        <v>3</v>
      </c>
      <c r="K1114" s="3">
        <v>842.03</v>
      </c>
      <c r="L1114">
        <v>980</v>
      </c>
      <c r="M1114">
        <v>2940</v>
      </c>
      <c r="N1114">
        <v>413.91</v>
      </c>
      <c r="O1114">
        <v>2526.09</v>
      </c>
      <c r="P1114" t="s">
        <v>26</v>
      </c>
      <c r="Q1114" t="s">
        <v>35</v>
      </c>
      <c r="R1114" t="s">
        <v>59</v>
      </c>
      <c r="S1114" t="str">
        <f>TRIM(PROPER(_xlfn.XLOOKUP(Table1[[#This Row],[ProductID_Clean]],Table3[ProductID],Table3[Category],"Missing Value",0)))</f>
        <v>Sensors</v>
      </c>
      <c r="T1114" t="str">
        <f>_xlfn.XLOOKUP(Table1[[#This Row],[CustomerID_Check]],Table2[CustomerID],Table2[CustomerType],"Missing Value",0)</f>
        <v>Standard</v>
      </c>
    </row>
    <row r="1115" spans="1:20">
      <c r="A1115" t="s">
        <v>1371</v>
      </c>
      <c r="B1115" s="1">
        <v>45798</v>
      </c>
      <c r="C1115" t="s">
        <v>76</v>
      </c>
      <c r="D1115" t="str">
        <f>UPPER(Table1[[#This Row],[ProductID_Clean]])</f>
        <v>P-SI-007</v>
      </c>
      <c r="E1115" t="s">
        <v>97</v>
      </c>
      <c r="F1115" t="s">
        <v>58</v>
      </c>
      <c r="G1115" t="str">
        <f>TRIM(Table1[[#This Row],[Region_Clean]])</f>
        <v>APAC</v>
      </c>
      <c r="H1115" t="s">
        <v>24</v>
      </c>
      <c r="I1115" t="s">
        <v>25</v>
      </c>
      <c r="J1115" s="3">
        <v>8</v>
      </c>
      <c r="K1115" s="3">
        <v>901.98</v>
      </c>
      <c r="L1115">
        <v>980</v>
      </c>
      <c r="M1115">
        <v>7840</v>
      </c>
      <c r="N1115">
        <v>624.16</v>
      </c>
      <c r="O1115">
        <v>7215.84</v>
      </c>
      <c r="P1115" t="s">
        <v>26</v>
      </c>
      <c r="Q1115" t="s">
        <v>40</v>
      </c>
      <c r="R1115" t="s">
        <v>59</v>
      </c>
      <c r="S1115" t="str">
        <f>TRIM(PROPER(_xlfn.XLOOKUP(Table1[[#This Row],[ProductID_Clean]],Table3[ProductID],Table3[Category],"Missing Value",0)))</f>
        <v>Sensors</v>
      </c>
      <c r="T1115" t="str">
        <f>_xlfn.XLOOKUP(Table1[[#This Row],[CustomerID_Check]],Table2[CustomerID],Table2[CustomerType],"Missing Value",0)</f>
        <v>Missing Value</v>
      </c>
    </row>
    <row r="1116" spans="1:20">
      <c r="A1116" t="s">
        <v>1372</v>
      </c>
      <c r="B1116" s="1">
        <v>45770</v>
      </c>
      <c r="C1116" t="s">
        <v>143</v>
      </c>
      <c r="D1116" t="str">
        <f>UPPER(Table1[[#This Row],[ProductID_Clean]])</f>
        <v>P-SA-001</v>
      </c>
      <c r="E1116" t="s">
        <v>68</v>
      </c>
      <c r="F1116" t="s">
        <v>23</v>
      </c>
      <c r="G1116" t="str">
        <f>TRIM(Table1[[#This Row],[Region_Clean]])</f>
        <v>N. AMERICA</v>
      </c>
      <c r="H1116" t="s">
        <v>53</v>
      </c>
      <c r="I1116" t="s">
        <v>25</v>
      </c>
      <c r="J1116" s="3">
        <v>1</v>
      </c>
      <c r="K1116" s="3">
        <v>3417.95</v>
      </c>
      <c r="L1116">
        <v>4200</v>
      </c>
      <c r="M1116">
        <v>4200</v>
      </c>
      <c r="N1116">
        <v>782.05</v>
      </c>
      <c r="O1116">
        <v>3417.95</v>
      </c>
      <c r="P1116" t="s">
        <v>26</v>
      </c>
      <c r="Q1116" t="s">
        <v>189</v>
      </c>
      <c r="R1116" t="s">
        <v>28</v>
      </c>
      <c r="S1116" t="str">
        <f>TRIM(PROPER(_xlfn.XLOOKUP(Table1[[#This Row],[ProductID_Clean]],Table3[ProductID],Table3[Category],"Missing Value",0)))</f>
        <v>Software</v>
      </c>
      <c r="T1116" t="str">
        <f>_xlfn.XLOOKUP(Table1[[#This Row],[CustomerID_Check]],Table2[CustomerID],Table2[CustomerType],"Missing Value",0)</f>
        <v>Strategic</v>
      </c>
    </row>
    <row r="1117" spans="1:20">
      <c r="A1117" t="s">
        <v>1373</v>
      </c>
      <c r="B1117" s="1">
        <v>45835</v>
      </c>
      <c r="C1117" t="s">
        <v>339</v>
      </c>
      <c r="D1117" t="str">
        <f>UPPER(Table1[[#This Row],[ProductID_Clean]])</f>
        <v>P-SI-001</v>
      </c>
      <c r="E1117" t="s">
        <v>72</v>
      </c>
      <c r="F1117" t="s">
        <v>47</v>
      </c>
      <c r="G1117" t="str">
        <f>TRIM(Table1[[#This Row],[Region_Clean]])</f>
        <v>EMEA</v>
      </c>
      <c r="H1117" t="s">
        <v>24</v>
      </c>
      <c r="I1117" t="s">
        <v>25</v>
      </c>
      <c r="J1117" s="3">
        <v>1</v>
      </c>
      <c r="K1117" s="3">
        <v>415.67</v>
      </c>
      <c r="L1117">
        <v>485</v>
      </c>
      <c r="M1117">
        <v>485</v>
      </c>
      <c r="N1117">
        <v>69.33</v>
      </c>
      <c r="O1117">
        <v>415.67</v>
      </c>
      <c r="P1117" t="s">
        <v>26</v>
      </c>
      <c r="Q1117" t="s">
        <v>35</v>
      </c>
      <c r="R1117" t="s">
        <v>48</v>
      </c>
      <c r="S1117" t="str">
        <f>TRIM(PROPER(_xlfn.XLOOKUP(Table1[[#This Row],[ProductID_Clean]],Table3[ProductID],Table3[Category],"Missing Value",0)))</f>
        <v>Sensors</v>
      </c>
      <c r="T1117" t="str">
        <f>_xlfn.XLOOKUP(Table1[[#This Row],[CustomerID_Check]],Table2[CustomerID],Table2[CustomerType],"Missing Value",0)</f>
        <v>Key Account</v>
      </c>
    </row>
    <row r="1118" spans="1:20">
      <c r="A1118" t="s">
        <v>1374</v>
      </c>
      <c r="B1118" s="1">
        <v>45830</v>
      </c>
      <c r="C1118" t="s">
        <v>666</v>
      </c>
      <c r="D1118" t="str">
        <f>UPPER(Table1[[#This Row],[ProductID_Clean]])</f>
        <v>P-SI-005</v>
      </c>
      <c r="E1118" t="s">
        <v>57</v>
      </c>
      <c r="F1118" t="s">
        <v>47</v>
      </c>
      <c r="G1118" t="str">
        <f>TRIM(Table1[[#This Row],[Region_Clean]])</f>
        <v>EMEA</v>
      </c>
      <c r="H1118" t="s">
        <v>24</v>
      </c>
      <c r="I1118" t="s">
        <v>40</v>
      </c>
      <c r="J1118" s="3">
        <v>8</v>
      </c>
      <c r="K1118" s="3">
        <v>1068.3900000000001</v>
      </c>
      <c r="L1118">
        <v>1120</v>
      </c>
      <c r="M1118">
        <v>8960</v>
      </c>
      <c r="N1118">
        <v>412.88</v>
      </c>
      <c r="O1118">
        <v>8547.1200000000008</v>
      </c>
      <c r="P1118" t="s">
        <v>26</v>
      </c>
      <c r="Q1118" t="s">
        <v>35</v>
      </c>
      <c r="R1118" t="s">
        <v>36</v>
      </c>
      <c r="S1118" t="str">
        <f>TRIM(PROPER(_xlfn.XLOOKUP(Table1[[#This Row],[ProductID_Clean]],Table3[ProductID],Table3[Category],"Missing Value",0)))</f>
        <v>Sensors</v>
      </c>
      <c r="T1118" t="str">
        <f>_xlfn.XLOOKUP(Table1[[#This Row],[CustomerID_Check]],Table2[CustomerID],Table2[CustomerType],"Missing Value",0)</f>
        <v>Standard</v>
      </c>
    </row>
    <row r="1119" spans="1:20">
      <c r="A1119" t="s">
        <v>1375</v>
      </c>
      <c r="B1119" s="1">
        <v>45693</v>
      </c>
      <c r="C1119" t="s">
        <v>473</v>
      </c>
      <c r="D1119" t="str">
        <f>UPPER(Table1[[#This Row],[ProductID_Clean]])</f>
        <v>P-SI-005</v>
      </c>
      <c r="E1119" t="s">
        <v>57</v>
      </c>
      <c r="F1119" t="s">
        <v>32</v>
      </c>
      <c r="G1119" t="str">
        <f>TRIM(Table1[[#This Row],[Region_Clean]])</f>
        <v>LATIN AMERICA</v>
      </c>
      <c r="H1119" t="s">
        <v>24</v>
      </c>
      <c r="I1119" t="s">
        <v>25</v>
      </c>
      <c r="J1119" s="3">
        <v>2</v>
      </c>
      <c r="K1119" s="3">
        <v>896.9</v>
      </c>
      <c r="L1119">
        <v>1120</v>
      </c>
      <c r="M1119">
        <v>2240</v>
      </c>
      <c r="N1119">
        <v>446.2</v>
      </c>
      <c r="O1119">
        <v>1793.8</v>
      </c>
      <c r="P1119" t="s">
        <v>26</v>
      </c>
      <c r="Q1119" t="s">
        <v>35</v>
      </c>
      <c r="R1119" t="s">
        <v>44</v>
      </c>
      <c r="S1119" t="str">
        <f>TRIM(PROPER(_xlfn.XLOOKUP(Table1[[#This Row],[ProductID_Clean]],Table3[ProductID],Table3[Category],"Missing Value",0)))</f>
        <v>Sensors</v>
      </c>
      <c r="T1119" t="str">
        <f>_xlfn.XLOOKUP(Table1[[#This Row],[CustomerID_Check]],Table2[CustomerID],Table2[CustomerType],"Missing Value",0)</f>
        <v>Emerging</v>
      </c>
    </row>
    <row r="1120" spans="1:20">
      <c r="A1120" t="s">
        <v>1376</v>
      </c>
      <c r="B1120" s="1">
        <v>45735</v>
      </c>
      <c r="C1120" t="s">
        <v>146</v>
      </c>
      <c r="D1120" t="str">
        <f>UPPER(Table1[[#This Row],[ProductID_Clean]])</f>
        <v>P-SI-008</v>
      </c>
      <c r="E1120" t="s">
        <v>152</v>
      </c>
      <c r="F1120" t="s">
        <v>47</v>
      </c>
      <c r="G1120" t="str">
        <f>TRIM(Table1[[#This Row],[Region_Clean]])</f>
        <v>EMEA</v>
      </c>
      <c r="H1120" t="s">
        <v>24</v>
      </c>
      <c r="I1120" t="s">
        <v>25</v>
      </c>
      <c r="J1120" s="3">
        <v>1</v>
      </c>
      <c r="K1120" s="3">
        <v>881.9</v>
      </c>
      <c r="L1120">
        <v>950</v>
      </c>
      <c r="M1120">
        <v>950</v>
      </c>
      <c r="N1120">
        <v>68.099999999999994</v>
      </c>
      <c r="O1120">
        <v>881.9</v>
      </c>
      <c r="P1120" t="s">
        <v>113</v>
      </c>
      <c r="Q1120" t="s">
        <v>35</v>
      </c>
      <c r="R1120" t="s">
        <v>44</v>
      </c>
      <c r="S1120" t="str">
        <f>TRIM(PROPER(_xlfn.XLOOKUP(Table1[[#This Row],[ProductID_Clean]],Table3[ProductID],Table3[Category],"Missing Value",0)))</f>
        <v>Instruments</v>
      </c>
      <c r="T1120" t="str">
        <f>_xlfn.XLOOKUP(Table1[[#This Row],[CustomerID_Check]],Table2[CustomerID],Table2[CustomerType],"Missing Value",0)</f>
        <v>Key Account</v>
      </c>
    </row>
    <row r="1121" spans="1:20">
      <c r="A1121" t="s">
        <v>1377</v>
      </c>
      <c r="B1121" s="1">
        <v>45722</v>
      </c>
      <c r="C1121" t="s">
        <v>172</v>
      </c>
      <c r="D1121" t="str">
        <f>UPPER(Table1[[#This Row],[ProductID_Clean]])</f>
        <v>P-SI-005</v>
      </c>
      <c r="E1121" t="s">
        <v>57</v>
      </c>
      <c r="F1121" t="s">
        <v>23</v>
      </c>
      <c r="G1121" t="str">
        <f>TRIM(Table1[[#This Row],[Region_Clean]])</f>
        <v>N. AMERICA</v>
      </c>
      <c r="H1121" t="s">
        <v>24</v>
      </c>
      <c r="I1121" t="s">
        <v>34</v>
      </c>
      <c r="J1121" s="3">
        <v>3</v>
      </c>
      <c r="K1121" s="3">
        <v>932.46</v>
      </c>
      <c r="L1121">
        <v>1120</v>
      </c>
      <c r="M1121">
        <v>3360</v>
      </c>
      <c r="N1121">
        <v>562.62</v>
      </c>
      <c r="O1121">
        <v>2797.38</v>
      </c>
      <c r="P1121" t="s">
        <v>26</v>
      </c>
      <c r="Q1121" t="s">
        <v>35</v>
      </c>
      <c r="R1121" t="s">
        <v>36</v>
      </c>
      <c r="S1121" t="str">
        <f>TRIM(PROPER(_xlfn.XLOOKUP(Table1[[#This Row],[ProductID_Clean]],Table3[ProductID],Table3[Category],"Missing Value",0)))</f>
        <v>Sensors</v>
      </c>
      <c r="T1121" t="str">
        <f>_xlfn.XLOOKUP(Table1[[#This Row],[CustomerID_Check]],Table2[CustomerID],Table2[CustomerType],"Missing Value",0)</f>
        <v>Key Account</v>
      </c>
    </row>
    <row r="1122" spans="1:20">
      <c r="A1122" t="s">
        <v>1378</v>
      </c>
      <c r="B1122" s="1">
        <v>45697</v>
      </c>
      <c r="C1122" t="s">
        <v>139</v>
      </c>
      <c r="D1122" t="str">
        <f>UPPER(Table1[[#This Row],[ProductID_Clean]])</f>
        <v>P-FS-001</v>
      </c>
      <c r="E1122" t="s">
        <v>133</v>
      </c>
      <c r="F1122" t="s">
        <v>47</v>
      </c>
      <c r="G1122" t="str">
        <f>TRIM(Table1[[#This Row],[Region_Clean]])</f>
        <v>EMEA</v>
      </c>
      <c r="H1122" t="s">
        <v>82</v>
      </c>
      <c r="I1122" t="s">
        <v>87</v>
      </c>
      <c r="J1122" s="3">
        <v>1</v>
      </c>
      <c r="K1122" s="3">
        <v>1417.45</v>
      </c>
      <c r="L1122">
        <v>1850</v>
      </c>
      <c r="M1122">
        <v>1850</v>
      </c>
      <c r="N1122">
        <v>432.55</v>
      </c>
      <c r="O1122">
        <v>1417.45</v>
      </c>
      <c r="P1122" t="s">
        <v>26</v>
      </c>
      <c r="Q1122" t="s">
        <v>65</v>
      </c>
      <c r="R1122" t="s">
        <v>59</v>
      </c>
      <c r="S1122" t="str">
        <f>TRIM(PROPER(_xlfn.XLOOKUP(Table1[[#This Row],[ProductID_Clean]],Table3[ProductID],Table3[Category],"Missing Value",0)))</f>
        <v>Services</v>
      </c>
      <c r="T1122" t="str">
        <f>_xlfn.XLOOKUP(Table1[[#This Row],[CustomerID_Check]],Table2[CustomerID],Table2[CustomerType],"Missing Value",0)</f>
        <v>Key Account</v>
      </c>
    </row>
    <row r="1123" spans="1:20">
      <c r="A1123" t="s">
        <v>1379</v>
      </c>
      <c r="B1123" s="1">
        <v>45766</v>
      </c>
      <c r="C1123" t="s">
        <v>91</v>
      </c>
      <c r="D1123" t="str">
        <f>UPPER(Table1[[#This Row],[ProductID_Clean]])</f>
        <v>P-SI-003</v>
      </c>
      <c r="E1123" t="s">
        <v>39</v>
      </c>
      <c r="F1123" t="s">
        <v>23</v>
      </c>
      <c r="G1123" t="str">
        <f>TRIM(Table1[[#This Row],[Region_Clean]])</f>
        <v>N. AMERICA</v>
      </c>
      <c r="H1123" t="s">
        <v>24</v>
      </c>
      <c r="I1123" t="s">
        <v>87</v>
      </c>
      <c r="J1123" s="3">
        <v>1</v>
      </c>
      <c r="K1123" s="3">
        <v>1599.93</v>
      </c>
      <c r="L1123">
        <v>1890</v>
      </c>
      <c r="M1123">
        <v>1890</v>
      </c>
      <c r="N1123">
        <v>290.07</v>
      </c>
      <c r="O1123">
        <v>1599.93</v>
      </c>
      <c r="P1123" t="s">
        <v>26</v>
      </c>
      <c r="Q1123" t="s">
        <v>35</v>
      </c>
      <c r="R1123" t="s">
        <v>48</v>
      </c>
      <c r="S1123" t="str">
        <f>TRIM(PROPER(_xlfn.XLOOKUP(Table1[[#This Row],[ProductID_Clean]],Table3[ProductID],Table3[Category],"Missing Value",0)))</f>
        <v>Instruments</v>
      </c>
      <c r="T1123" t="str">
        <f>_xlfn.XLOOKUP(Table1[[#This Row],[CustomerID_Check]],Table2[CustomerID],Table2[CustomerType],"Missing Value",0)</f>
        <v>Key Account</v>
      </c>
    </row>
    <row r="1124" spans="1:20">
      <c r="A1124" t="s">
        <v>1380</v>
      </c>
      <c r="B1124" s="1">
        <v>45676</v>
      </c>
      <c r="C1124" t="s">
        <v>279</v>
      </c>
      <c r="D1124" t="str">
        <f>UPPER(Table1[[#This Row],[ProductID_Clean]])</f>
        <v>P-SI-001</v>
      </c>
      <c r="E1124" t="s">
        <v>72</v>
      </c>
      <c r="F1124" t="s">
        <v>47</v>
      </c>
      <c r="G1124" t="str">
        <f>TRIM(Table1[[#This Row],[Region_Clean]])</f>
        <v>EMEA</v>
      </c>
      <c r="H1124" t="s">
        <v>24</v>
      </c>
      <c r="I1124" t="s">
        <v>25</v>
      </c>
      <c r="J1124" s="3">
        <v>10</v>
      </c>
      <c r="K1124" s="3">
        <v>461.03</v>
      </c>
      <c r="L1124">
        <v>485</v>
      </c>
      <c r="M1124">
        <v>4850</v>
      </c>
      <c r="N1124">
        <v>239.7</v>
      </c>
      <c r="O1124">
        <v>4610.3</v>
      </c>
      <c r="P1124" t="s">
        <v>26</v>
      </c>
      <c r="Q1124" t="s">
        <v>65</v>
      </c>
      <c r="R1124" t="s">
        <v>36</v>
      </c>
      <c r="S1124" t="str">
        <f>TRIM(PROPER(_xlfn.XLOOKUP(Table1[[#This Row],[ProductID_Clean]],Table3[ProductID],Table3[Category],"Missing Value",0)))</f>
        <v>Sensors</v>
      </c>
      <c r="T1124" t="str">
        <f>_xlfn.XLOOKUP(Table1[[#This Row],[CustomerID_Check]],Table2[CustomerID],Table2[CustomerType],"Missing Value",0)</f>
        <v>Key Account</v>
      </c>
    </row>
    <row r="1125" spans="1:20">
      <c r="A1125" t="s">
        <v>1381</v>
      </c>
      <c r="B1125" s="1">
        <v>45811</v>
      </c>
      <c r="C1125" t="s">
        <v>56</v>
      </c>
      <c r="D1125" t="str">
        <f>UPPER(Table1[[#This Row],[ProductID_Clean]])</f>
        <v>P-SA-002</v>
      </c>
      <c r="E1125" t="s">
        <v>147</v>
      </c>
      <c r="F1125" t="s">
        <v>58</v>
      </c>
      <c r="G1125" t="str">
        <f>TRIM(Table1[[#This Row],[Region_Clean]])</f>
        <v>APAC</v>
      </c>
      <c r="H1125" t="s">
        <v>53</v>
      </c>
      <c r="I1125" t="s">
        <v>87</v>
      </c>
      <c r="J1125" s="3">
        <v>2</v>
      </c>
      <c r="K1125" s="3">
        <v>7885.72</v>
      </c>
      <c r="L1125">
        <v>9800</v>
      </c>
      <c r="M1125">
        <v>19600</v>
      </c>
      <c r="N1125">
        <v>3828.56</v>
      </c>
      <c r="O1125">
        <v>15771.44</v>
      </c>
      <c r="P1125" t="s">
        <v>126</v>
      </c>
      <c r="Q1125" t="s">
        <v>54</v>
      </c>
      <c r="R1125" t="s">
        <v>59</v>
      </c>
      <c r="S1125" t="str">
        <f>TRIM(PROPER(_xlfn.XLOOKUP(Table1[[#This Row],[ProductID_Clean]],Table3[ProductID],Table3[Category],"Missing Value",0)))</f>
        <v>Software</v>
      </c>
      <c r="T1125" t="str">
        <f>_xlfn.XLOOKUP(Table1[[#This Row],[CustomerID_Check]],Table2[CustomerID],Table2[CustomerType],"Missing Value",0)</f>
        <v>Key Account</v>
      </c>
    </row>
    <row r="1126" spans="1:20">
      <c r="A1126" t="s">
        <v>1382</v>
      </c>
      <c r="B1126" s="1">
        <v>45807</v>
      </c>
      <c r="C1126" t="s">
        <v>146</v>
      </c>
      <c r="D1126" t="str">
        <f>UPPER(Table1[[#This Row],[ProductID_Clean]])</f>
        <v>P-FS-005</v>
      </c>
      <c r="E1126" t="s">
        <v>101</v>
      </c>
      <c r="F1126" t="s">
        <v>47</v>
      </c>
      <c r="G1126" t="str">
        <f>TRIM(Table1[[#This Row],[Region_Clean]])</f>
        <v>EMEA</v>
      </c>
      <c r="H1126" t="s">
        <v>82</v>
      </c>
      <c r="I1126" t="s">
        <v>87</v>
      </c>
      <c r="J1126" s="3">
        <v>1</v>
      </c>
      <c r="K1126" s="3">
        <v>673.93</v>
      </c>
      <c r="L1126">
        <v>950</v>
      </c>
      <c r="M1126">
        <v>950</v>
      </c>
      <c r="N1126">
        <v>276.07</v>
      </c>
      <c r="O1126">
        <v>673.93</v>
      </c>
      <c r="P1126" t="s">
        <v>26</v>
      </c>
      <c r="Q1126" t="s">
        <v>65</v>
      </c>
      <c r="R1126" t="s">
        <v>44</v>
      </c>
      <c r="S1126" t="str">
        <f>TRIM(PROPER(_xlfn.XLOOKUP(Table1[[#This Row],[ProductID_Clean]],Table3[ProductID],Table3[Category],"Missing Value",0)))</f>
        <v>Services</v>
      </c>
      <c r="T1126" t="str">
        <f>_xlfn.XLOOKUP(Table1[[#This Row],[CustomerID_Check]],Table2[CustomerID],Table2[CustomerType],"Missing Value",0)</f>
        <v>Key Account</v>
      </c>
    </row>
    <row r="1127" spans="1:20">
      <c r="A1127" t="s">
        <v>1383</v>
      </c>
      <c r="B1127" s="1">
        <v>45835</v>
      </c>
      <c r="C1127" t="s">
        <v>320</v>
      </c>
      <c r="D1127" t="str">
        <f>UPPER(Table1[[#This Row],[ProductID_Clean]])</f>
        <v>P-FS-001</v>
      </c>
      <c r="E1127" t="s">
        <v>133</v>
      </c>
      <c r="F1127" t="s">
        <v>47</v>
      </c>
      <c r="G1127" t="str">
        <f>TRIM(Table1[[#This Row],[Region_Clean]])</f>
        <v>EMEA</v>
      </c>
      <c r="H1127" t="s">
        <v>82</v>
      </c>
      <c r="I1127" t="s">
        <v>34</v>
      </c>
      <c r="J1127" s="3">
        <v>1</v>
      </c>
      <c r="K1127" s="3">
        <v>1477.8</v>
      </c>
      <c r="L1127">
        <v>1850</v>
      </c>
      <c r="M1127">
        <v>1850</v>
      </c>
      <c r="N1127">
        <v>372.2</v>
      </c>
      <c r="O1127">
        <v>1477.8</v>
      </c>
      <c r="P1127" t="s">
        <v>26</v>
      </c>
      <c r="Q1127" t="s">
        <v>35</v>
      </c>
      <c r="R1127" t="s">
        <v>44</v>
      </c>
      <c r="S1127" t="str">
        <f>TRIM(PROPER(_xlfn.XLOOKUP(Table1[[#This Row],[ProductID_Clean]],Table3[ProductID],Table3[Category],"Missing Value",0)))</f>
        <v>Services</v>
      </c>
      <c r="T1127" t="str">
        <f>_xlfn.XLOOKUP(Table1[[#This Row],[CustomerID_Check]],Table2[CustomerID],Table2[CustomerType],"Missing Value",0)</f>
        <v>Standard</v>
      </c>
    </row>
    <row r="1128" spans="1:20">
      <c r="A1128" t="s">
        <v>1384</v>
      </c>
      <c r="B1128" s="1">
        <v>45750</v>
      </c>
      <c r="C1128" t="s">
        <v>76</v>
      </c>
      <c r="D1128" t="str">
        <f>UPPER(Table1[[#This Row],[ProductID_Clean]])</f>
        <v>P-SA-003</v>
      </c>
      <c r="E1128" t="s">
        <v>51</v>
      </c>
      <c r="F1128" t="s">
        <v>58</v>
      </c>
      <c r="G1128" t="str">
        <f>TRIM(Table1[[#This Row],[Region_Clean]])</f>
        <v>APAC</v>
      </c>
      <c r="H1128" t="s">
        <v>53</v>
      </c>
      <c r="I1128" t="s">
        <v>25</v>
      </c>
      <c r="J1128" s="3">
        <v>1</v>
      </c>
      <c r="K1128" s="3">
        <v>2282.31</v>
      </c>
      <c r="L1128">
        <v>2750</v>
      </c>
      <c r="M1128">
        <v>2750</v>
      </c>
      <c r="N1128">
        <v>467.69</v>
      </c>
      <c r="O1128">
        <v>2282.31</v>
      </c>
      <c r="P1128" t="s">
        <v>26</v>
      </c>
      <c r="Q1128" t="s">
        <v>54</v>
      </c>
      <c r="R1128" t="s">
        <v>28</v>
      </c>
      <c r="S1128" t="str">
        <f>TRIM(PROPER(_xlfn.XLOOKUP(Table1[[#This Row],[ProductID_Clean]],Table3[ProductID],Table3[Category],"Missing Value",0)))</f>
        <v>Software</v>
      </c>
      <c r="T1128" t="str">
        <f>_xlfn.XLOOKUP(Table1[[#This Row],[CustomerID_Check]],Table2[CustomerID],Table2[CustomerType],"Missing Value",0)</f>
        <v>Missing Value</v>
      </c>
    </row>
    <row r="1129" spans="1:20">
      <c r="A1129" t="s">
        <v>1385</v>
      </c>
      <c r="B1129" s="1">
        <v>45795</v>
      </c>
      <c r="C1129" t="s">
        <v>64</v>
      </c>
      <c r="D1129" t="str">
        <f>UPPER(Table1[[#This Row],[ProductID_Clean]])</f>
        <v>P-SA-002</v>
      </c>
      <c r="E1129" t="s">
        <v>147</v>
      </c>
      <c r="F1129" t="s">
        <v>47</v>
      </c>
      <c r="G1129" t="str">
        <f>TRIM(Table1[[#This Row],[Region_Clean]])</f>
        <v>EMEA</v>
      </c>
      <c r="H1129" t="s">
        <v>53</v>
      </c>
      <c r="I1129" t="s">
        <v>25</v>
      </c>
      <c r="J1129" s="3">
        <v>2</v>
      </c>
      <c r="K1129" s="3">
        <v>9348.4500000000007</v>
      </c>
      <c r="L1129">
        <v>9800</v>
      </c>
      <c r="M1129">
        <v>19600</v>
      </c>
      <c r="N1129">
        <v>903.1</v>
      </c>
      <c r="O1129">
        <v>18696.900000000001</v>
      </c>
      <c r="P1129" t="s">
        <v>26</v>
      </c>
      <c r="Q1129" t="s">
        <v>88</v>
      </c>
      <c r="R1129" t="s">
        <v>36</v>
      </c>
      <c r="S1129" t="str">
        <f>TRIM(PROPER(_xlfn.XLOOKUP(Table1[[#This Row],[ProductID_Clean]],Table3[ProductID],Table3[Category],"Missing Value",0)))</f>
        <v>Software</v>
      </c>
      <c r="T1129" t="str">
        <f>_xlfn.XLOOKUP(Table1[[#This Row],[CustomerID_Check]],Table2[CustomerID],Table2[CustomerType],"Missing Value",0)</f>
        <v>Key Account</v>
      </c>
    </row>
    <row r="1130" spans="1:20">
      <c r="A1130" t="s">
        <v>1386</v>
      </c>
      <c r="B1130" s="1">
        <v>45821</v>
      </c>
      <c r="C1130" t="s">
        <v>182</v>
      </c>
      <c r="D1130" t="str">
        <f>UPPER(Table1[[#This Row],[ProductID_Clean]])</f>
        <v>P-SI-006</v>
      </c>
      <c r="E1130" t="s">
        <v>43</v>
      </c>
      <c r="F1130" t="s">
        <v>47</v>
      </c>
      <c r="G1130" t="str">
        <f>TRIM(Table1[[#This Row],[Region_Clean]])</f>
        <v>EMEA</v>
      </c>
      <c r="H1130" t="s">
        <v>24</v>
      </c>
      <c r="I1130" t="s">
        <v>87</v>
      </c>
      <c r="J1130" s="3">
        <v>1</v>
      </c>
      <c r="K1130" s="3">
        <v>148.55000000000001</v>
      </c>
      <c r="L1130">
        <v>215</v>
      </c>
      <c r="M1130">
        <v>215</v>
      </c>
      <c r="N1130">
        <v>66.45</v>
      </c>
      <c r="O1130">
        <v>148.55000000000001</v>
      </c>
      <c r="P1130" t="s">
        <v>113</v>
      </c>
      <c r="Q1130" t="s">
        <v>40</v>
      </c>
      <c r="R1130" t="s">
        <v>44</v>
      </c>
      <c r="S1130" t="str">
        <f>TRIM(PROPER(_xlfn.XLOOKUP(Table1[[#This Row],[ProductID_Clean]],Table3[ProductID],Table3[Category],"Missing Value",0)))</f>
        <v>Sensors</v>
      </c>
      <c r="T1130" t="str">
        <f>_xlfn.XLOOKUP(Table1[[#This Row],[CustomerID_Check]],Table2[CustomerID],Table2[CustomerType],"Missing Value",0)</f>
        <v>Key Account</v>
      </c>
    </row>
    <row r="1131" spans="1:20">
      <c r="A1131" t="s">
        <v>1387</v>
      </c>
      <c r="B1131" s="1">
        <v>45685</v>
      </c>
      <c r="C1131" t="s">
        <v>405</v>
      </c>
      <c r="D1131" t="str">
        <f>UPPER(Table1[[#This Row],[ProductID_Clean]])</f>
        <v>P-SI-007</v>
      </c>
      <c r="E1131" t="s">
        <v>97</v>
      </c>
      <c r="F1131" t="s">
        <v>58</v>
      </c>
      <c r="G1131" t="str">
        <f>TRIM(Table1[[#This Row],[Region_Clean]])</f>
        <v>APAC</v>
      </c>
      <c r="H1131" t="s">
        <v>24</v>
      </c>
      <c r="I1131" t="s">
        <v>40</v>
      </c>
      <c r="J1131" s="3">
        <v>1</v>
      </c>
      <c r="K1131" s="3">
        <v>833.68</v>
      </c>
      <c r="L1131">
        <v>980</v>
      </c>
      <c r="M1131">
        <v>980</v>
      </c>
      <c r="N1131">
        <v>146.32</v>
      </c>
      <c r="O1131">
        <v>833.68</v>
      </c>
      <c r="P1131" t="s">
        <v>26</v>
      </c>
      <c r="Q1131" t="s">
        <v>27</v>
      </c>
      <c r="R1131" t="s">
        <v>59</v>
      </c>
      <c r="S1131" t="str">
        <f>TRIM(PROPER(_xlfn.XLOOKUP(Table1[[#This Row],[ProductID_Clean]],Table3[ProductID],Table3[Category],"Missing Value",0)))</f>
        <v>Sensors</v>
      </c>
      <c r="T1131" t="str">
        <f>_xlfn.XLOOKUP(Table1[[#This Row],[CustomerID_Check]],Table2[CustomerID],Table2[CustomerType],"Missing Value",0)</f>
        <v>Emerging</v>
      </c>
    </row>
    <row r="1132" spans="1:20">
      <c r="A1132" t="s">
        <v>1388</v>
      </c>
      <c r="B1132" s="1">
        <v>45828</v>
      </c>
      <c r="C1132" t="s">
        <v>218</v>
      </c>
      <c r="D1132" t="str">
        <f>UPPER(Table1[[#This Row],[ProductID_Clean]])</f>
        <v>P-SI-005</v>
      </c>
      <c r="E1132" t="s">
        <v>57</v>
      </c>
      <c r="F1132" t="s">
        <v>23</v>
      </c>
      <c r="G1132" t="str">
        <f>TRIM(Table1[[#This Row],[Region_Clean]])</f>
        <v>N. AMERICA</v>
      </c>
      <c r="H1132" t="s">
        <v>24</v>
      </c>
      <c r="I1132" t="s">
        <v>25</v>
      </c>
      <c r="J1132" s="3">
        <v>1</v>
      </c>
      <c r="K1132" s="3">
        <v>1135.04</v>
      </c>
      <c r="L1132">
        <v>1120</v>
      </c>
      <c r="M1132">
        <v>1120</v>
      </c>
      <c r="N1132">
        <v>-15.04</v>
      </c>
      <c r="O1132">
        <v>1135.04</v>
      </c>
      <c r="P1132" t="s">
        <v>26</v>
      </c>
      <c r="Q1132" t="s">
        <v>35</v>
      </c>
      <c r="R1132" t="s">
        <v>59</v>
      </c>
      <c r="S1132" t="str">
        <f>TRIM(PROPER(_xlfn.XLOOKUP(Table1[[#This Row],[ProductID_Clean]],Table3[ProductID],Table3[Category],"Missing Value",0)))</f>
        <v>Sensors</v>
      </c>
      <c r="T1132" t="str">
        <f>_xlfn.XLOOKUP(Table1[[#This Row],[CustomerID_Check]],Table2[CustomerID],Table2[CustomerType],"Missing Value",0)</f>
        <v>Standard</v>
      </c>
    </row>
    <row r="1133" spans="1:20">
      <c r="A1133" t="s">
        <v>1389</v>
      </c>
      <c r="B1133" s="1">
        <v>45700</v>
      </c>
      <c r="C1133" t="s">
        <v>279</v>
      </c>
      <c r="D1133" t="str">
        <f>UPPER(Table1[[#This Row],[ProductID_Clean]])</f>
        <v>P-SI-001</v>
      </c>
      <c r="E1133" t="s">
        <v>72</v>
      </c>
      <c r="F1133" t="s">
        <v>47</v>
      </c>
      <c r="G1133" t="str">
        <f>TRIM(Table1[[#This Row],[Region_Clean]])</f>
        <v>EMEA</v>
      </c>
      <c r="H1133" t="s">
        <v>24</v>
      </c>
      <c r="I1133" t="s">
        <v>25</v>
      </c>
      <c r="J1133" s="3">
        <v>5</v>
      </c>
      <c r="K1133" s="3">
        <v>452.6</v>
      </c>
      <c r="L1133">
        <v>485</v>
      </c>
      <c r="M1133">
        <v>2425</v>
      </c>
      <c r="N1133">
        <v>162</v>
      </c>
      <c r="O1133">
        <v>2263</v>
      </c>
      <c r="P1133" t="s">
        <v>26</v>
      </c>
      <c r="Q1133" t="s">
        <v>35</v>
      </c>
      <c r="R1133" t="s">
        <v>36</v>
      </c>
      <c r="S1133" t="str">
        <f>TRIM(PROPER(_xlfn.XLOOKUP(Table1[[#This Row],[ProductID_Clean]],Table3[ProductID],Table3[Category],"Missing Value",0)))</f>
        <v>Sensors</v>
      </c>
      <c r="T1133" t="str">
        <f>_xlfn.XLOOKUP(Table1[[#This Row],[CustomerID_Check]],Table2[CustomerID],Table2[CustomerType],"Missing Value",0)</f>
        <v>Key Account</v>
      </c>
    </row>
    <row r="1134" spans="1:20">
      <c r="A1134" t="s">
        <v>1390</v>
      </c>
      <c r="B1134" s="1">
        <v>45814</v>
      </c>
      <c r="C1134" t="s">
        <v>399</v>
      </c>
      <c r="D1134" t="str">
        <f>UPPER(Table1[[#This Row],[ProductID_Clean]])</f>
        <v>P-SI-001</v>
      </c>
      <c r="E1134" t="s">
        <v>72</v>
      </c>
      <c r="F1134" t="s">
        <v>47</v>
      </c>
      <c r="G1134" t="str">
        <f>TRIM(Table1[[#This Row],[Region_Clean]])</f>
        <v>EMEA</v>
      </c>
      <c r="H1134" t="s">
        <v>24</v>
      </c>
      <c r="I1134" t="s">
        <v>25</v>
      </c>
      <c r="J1134" s="3">
        <v>1</v>
      </c>
      <c r="K1134" s="3">
        <v>485.52</v>
      </c>
      <c r="L1134">
        <v>485</v>
      </c>
      <c r="M1134">
        <v>485</v>
      </c>
      <c r="N1134">
        <v>-0.52</v>
      </c>
      <c r="O1134">
        <v>485.52</v>
      </c>
      <c r="P1134" t="s">
        <v>26</v>
      </c>
      <c r="Q1134" t="s">
        <v>35</v>
      </c>
      <c r="R1134" t="s">
        <v>59</v>
      </c>
      <c r="S1134" t="str">
        <f>TRIM(PROPER(_xlfn.XLOOKUP(Table1[[#This Row],[ProductID_Clean]],Table3[ProductID],Table3[Category],"Missing Value",0)))</f>
        <v>Sensors</v>
      </c>
      <c r="T1134" t="str">
        <f>_xlfn.XLOOKUP(Table1[[#This Row],[CustomerID_Check]],Table2[CustomerID],Table2[CustomerType],"Missing Value",0)</f>
        <v>Emerging</v>
      </c>
    </row>
    <row r="1135" spans="1:20">
      <c r="A1135" t="s">
        <v>1391</v>
      </c>
      <c r="B1135" s="1">
        <v>45802</v>
      </c>
      <c r="C1135" t="s">
        <v>125</v>
      </c>
      <c r="D1135" t="str">
        <f>UPPER(Table1[[#This Row],[ProductID_Clean]])</f>
        <v>P-FS-003</v>
      </c>
      <c r="E1135" t="s">
        <v>216</v>
      </c>
      <c r="F1135" t="s">
        <v>58</v>
      </c>
      <c r="G1135" t="str">
        <f>TRIM(Table1[[#This Row],[Region_Clean]])</f>
        <v>APAC</v>
      </c>
      <c r="H1135" t="s">
        <v>82</v>
      </c>
      <c r="I1135" t="s">
        <v>34</v>
      </c>
      <c r="J1135" s="3">
        <v>1</v>
      </c>
      <c r="K1135" s="3">
        <v>3051.74</v>
      </c>
      <c r="L1135">
        <v>4100</v>
      </c>
      <c r="M1135">
        <v>4100</v>
      </c>
      <c r="N1135">
        <v>1048.26</v>
      </c>
      <c r="O1135">
        <v>3051.74</v>
      </c>
      <c r="P1135" t="s">
        <v>26</v>
      </c>
      <c r="Q1135" t="s">
        <v>94</v>
      </c>
      <c r="R1135" t="s">
        <v>36</v>
      </c>
      <c r="S1135" t="str">
        <f>TRIM(PROPER(_xlfn.XLOOKUP(Table1[[#This Row],[ProductID_Clean]],Table3[ProductID],Table3[Category],"Missing Value",0)))</f>
        <v>Services</v>
      </c>
      <c r="T1135" t="str">
        <f>_xlfn.XLOOKUP(Table1[[#This Row],[CustomerID_Check]],Table2[CustomerID],Table2[CustomerType],"Missing Value",0)</f>
        <v>Strategic</v>
      </c>
    </row>
    <row r="1136" spans="1:20">
      <c r="A1136" t="s">
        <v>1392</v>
      </c>
      <c r="B1136" s="1">
        <v>45831</v>
      </c>
      <c r="C1136" t="s">
        <v>385</v>
      </c>
      <c r="D1136" t="str">
        <f>UPPER(Table1[[#This Row],[ProductID_Clean]])</f>
        <v>P-FS-006</v>
      </c>
      <c r="E1136" t="s">
        <v>92</v>
      </c>
      <c r="F1136" t="s">
        <v>47</v>
      </c>
      <c r="G1136" t="str">
        <f>TRIM(Table1[[#This Row],[Region_Clean]])</f>
        <v>EMEA</v>
      </c>
      <c r="H1136" t="s">
        <v>82</v>
      </c>
      <c r="I1136" t="s">
        <v>87</v>
      </c>
      <c r="J1136" s="3">
        <v>1</v>
      </c>
      <c r="K1136" s="3">
        <v>1209.4100000000001</v>
      </c>
      <c r="L1136">
        <v>1450</v>
      </c>
      <c r="M1136">
        <v>1450</v>
      </c>
      <c r="N1136">
        <v>240.59</v>
      </c>
      <c r="O1136">
        <v>1209.4100000000001</v>
      </c>
      <c r="P1136" t="s">
        <v>26</v>
      </c>
      <c r="Q1136" t="s">
        <v>35</v>
      </c>
      <c r="R1136" t="s">
        <v>44</v>
      </c>
      <c r="S1136" t="str">
        <f>TRIM(PROPER(_xlfn.XLOOKUP(Table1[[#This Row],[ProductID_Clean]],Table3[ProductID],Table3[Category],"Missing Value",0)))</f>
        <v>Services</v>
      </c>
      <c r="T1136" t="str">
        <f>_xlfn.XLOOKUP(Table1[[#This Row],[CustomerID_Check]],Table2[CustomerID],Table2[CustomerType],"Missing Value",0)</f>
        <v>Standard</v>
      </c>
    </row>
    <row r="1137" spans="1:20">
      <c r="A1137" t="s">
        <v>1393</v>
      </c>
      <c r="B1137" s="1">
        <v>45760</v>
      </c>
      <c r="C1137" t="s">
        <v>91</v>
      </c>
      <c r="D1137" t="str">
        <f>UPPER(Table1[[#This Row],[ProductID_Clean]])</f>
        <v>P-SA-005</v>
      </c>
      <c r="E1137" t="s">
        <v>62</v>
      </c>
      <c r="F1137" t="s">
        <v>23</v>
      </c>
      <c r="G1137" t="str">
        <f>TRIM(Table1[[#This Row],[Region_Clean]])</f>
        <v>N. AMERICA</v>
      </c>
      <c r="H1137" t="s">
        <v>53</v>
      </c>
      <c r="I1137" t="s">
        <v>25</v>
      </c>
      <c r="J1137" s="3">
        <v>1</v>
      </c>
      <c r="K1137" s="3">
        <v>2817.16</v>
      </c>
      <c r="L1137">
        <v>3200</v>
      </c>
      <c r="M1137">
        <v>3200</v>
      </c>
      <c r="N1137">
        <v>382.84</v>
      </c>
      <c r="O1137">
        <v>2817.16</v>
      </c>
      <c r="P1137" t="s">
        <v>26</v>
      </c>
      <c r="Q1137" t="s">
        <v>88</v>
      </c>
      <c r="R1137" t="s">
        <v>48</v>
      </c>
      <c r="S1137" t="str">
        <f>TRIM(PROPER(_xlfn.XLOOKUP(Table1[[#This Row],[ProductID_Clean]],Table3[ProductID],Table3[Category],"Missing Value",0)))</f>
        <v>Software / Integration</v>
      </c>
      <c r="T1137" t="str">
        <f>_xlfn.XLOOKUP(Table1[[#This Row],[CustomerID_Check]],Table2[CustomerID],Table2[CustomerType],"Missing Value",0)</f>
        <v>Key Account</v>
      </c>
    </row>
    <row r="1138" spans="1:20">
      <c r="A1138" t="s">
        <v>1394</v>
      </c>
      <c r="B1138" s="1">
        <v>45768</v>
      </c>
      <c r="C1138" t="s">
        <v>387</v>
      </c>
      <c r="D1138" t="str">
        <f>UPPER(Table1[[#This Row],[ProductID_Clean]])</f>
        <v>P-FS-006</v>
      </c>
      <c r="E1138" t="s">
        <v>92</v>
      </c>
      <c r="F1138" t="s">
        <v>23</v>
      </c>
      <c r="G1138" t="str">
        <f>TRIM(Table1[[#This Row],[Region_Clean]])</f>
        <v>N. AMERICA</v>
      </c>
      <c r="H1138" t="s">
        <v>82</v>
      </c>
      <c r="I1138" t="s">
        <v>34</v>
      </c>
      <c r="J1138" s="3">
        <v>1</v>
      </c>
      <c r="K1138" s="3">
        <v>1253.74</v>
      </c>
      <c r="L1138">
        <v>1450</v>
      </c>
      <c r="M1138">
        <v>1450</v>
      </c>
      <c r="N1138">
        <v>196.26</v>
      </c>
      <c r="O1138">
        <v>1253.74</v>
      </c>
      <c r="P1138" t="s">
        <v>26</v>
      </c>
      <c r="Q1138" t="s">
        <v>27</v>
      </c>
      <c r="R1138" t="s">
        <v>44</v>
      </c>
      <c r="S1138" t="str">
        <f>TRIM(PROPER(_xlfn.XLOOKUP(Table1[[#This Row],[ProductID_Clean]],Table3[ProductID],Table3[Category],"Missing Value",0)))</f>
        <v>Services</v>
      </c>
      <c r="T1138" t="str">
        <f>_xlfn.XLOOKUP(Table1[[#This Row],[CustomerID_Check]],Table2[CustomerID],Table2[CustomerType],"Missing Value",0)</f>
        <v>Standard</v>
      </c>
    </row>
    <row r="1139" spans="1:20">
      <c r="A1139" t="s">
        <v>1395</v>
      </c>
      <c r="B1139" s="1">
        <v>45660</v>
      </c>
      <c r="C1139" t="s">
        <v>89</v>
      </c>
      <c r="D1139" t="str">
        <f>UPPER(Table1[[#This Row],[ProductID_Clean]])</f>
        <v>P-SI-008</v>
      </c>
      <c r="E1139" t="s">
        <v>152</v>
      </c>
      <c r="F1139" t="s">
        <v>58</v>
      </c>
      <c r="G1139" t="str">
        <f>TRIM(Table1[[#This Row],[Region_Clean]])</f>
        <v>APAC</v>
      </c>
      <c r="H1139" t="s">
        <v>24</v>
      </c>
      <c r="I1139" t="s">
        <v>25</v>
      </c>
      <c r="J1139" s="3">
        <v>8</v>
      </c>
      <c r="K1139" s="3">
        <v>733.7</v>
      </c>
      <c r="L1139">
        <v>950</v>
      </c>
      <c r="M1139">
        <v>7600</v>
      </c>
      <c r="N1139">
        <v>1730.4</v>
      </c>
      <c r="O1139">
        <v>5869.6</v>
      </c>
      <c r="P1139" t="s">
        <v>113</v>
      </c>
      <c r="Q1139" t="s">
        <v>35</v>
      </c>
      <c r="R1139" t="s">
        <v>44</v>
      </c>
      <c r="S1139" t="str">
        <f>TRIM(PROPER(_xlfn.XLOOKUP(Table1[[#This Row],[ProductID_Clean]],Table3[ProductID],Table3[Category],"Missing Value",0)))</f>
        <v>Instruments</v>
      </c>
      <c r="T1139" t="str">
        <f>_xlfn.XLOOKUP(Table1[[#This Row],[CustomerID_Check]],Table2[CustomerID],Table2[CustomerType],"Missing Value",0)</f>
        <v>Strategic</v>
      </c>
    </row>
    <row r="1140" spans="1:20">
      <c r="A1140" t="s">
        <v>1396</v>
      </c>
      <c r="B1140" s="1">
        <v>45724</v>
      </c>
      <c r="C1140" t="s">
        <v>163</v>
      </c>
      <c r="D1140" t="str">
        <f>UPPER(Table1[[#This Row],[ProductID_Clean]])</f>
        <v>P-SI-003</v>
      </c>
      <c r="E1140" t="s">
        <v>39</v>
      </c>
      <c r="F1140" t="s">
        <v>23</v>
      </c>
      <c r="G1140" t="str">
        <f>TRIM(Table1[[#This Row],[Region_Clean]])</f>
        <v>N. AMERICA</v>
      </c>
      <c r="H1140" t="s">
        <v>24</v>
      </c>
      <c r="I1140" t="s">
        <v>25</v>
      </c>
      <c r="J1140" s="3">
        <v>2</v>
      </c>
      <c r="K1140" s="3">
        <v>1557.82</v>
      </c>
      <c r="L1140">
        <v>1890</v>
      </c>
      <c r="M1140">
        <v>3780</v>
      </c>
      <c r="N1140">
        <v>664.36</v>
      </c>
      <c r="O1140">
        <v>3115.64</v>
      </c>
      <c r="P1140" t="s">
        <v>26</v>
      </c>
      <c r="Q1140" t="s">
        <v>35</v>
      </c>
      <c r="R1140" t="s">
        <v>28</v>
      </c>
      <c r="S1140" t="str">
        <f>TRIM(PROPER(_xlfn.XLOOKUP(Table1[[#This Row],[ProductID_Clean]],Table3[ProductID],Table3[Category],"Missing Value",0)))</f>
        <v>Instruments</v>
      </c>
      <c r="T1140" t="str">
        <f>_xlfn.XLOOKUP(Table1[[#This Row],[CustomerID_Check]],Table2[CustomerID],Table2[CustomerType],"Missing Value",0)</f>
        <v>Strategic</v>
      </c>
    </row>
    <row r="1141" spans="1:20">
      <c r="A1141" t="s">
        <v>1397</v>
      </c>
      <c r="B1141" s="1">
        <v>45788</v>
      </c>
      <c r="C1141" t="s">
        <v>222</v>
      </c>
      <c r="D1141" t="str">
        <f>UPPER(Table1[[#This Row],[ProductID_Clean]])</f>
        <v>P-SI-004</v>
      </c>
      <c r="E1141" t="s">
        <v>22</v>
      </c>
      <c r="F1141" t="s">
        <v>47</v>
      </c>
      <c r="G1141" t="str">
        <f>TRIM(Table1[[#This Row],[Region_Clean]])</f>
        <v>EMEA</v>
      </c>
      <c r="H1141" t="s">
        <v>24</v>
      </c>
      <c r="I1141" t="s">
        <v>25</v>
      </c>
      <c r="J1141" s="3">
        <v>12</v>
      </c>
      <c r="K1141" s="3">
        <v>2258.88</v>
      </c>
      <c r="L1141">
        <v>2450</v>
      </c>
      <c r="M1141">
        <v>29400</v>
      </c>
      <c r="N1141">
        <v>2293.44</v>
      </c>
      <c r="O1141">
        <v>27106.560000000001</v>
      </c>
      <c r="P1141" t="s">
        <v>26</v>
      </c>
      <c r="Q1141" t="s">
        <v>35</v>
      </c>
      <c r="R1141" t="s">
        <v>28</v>
      </c>
      <c r="S1141" t="str">
        <f>TRIM(PROPER(_xlfn.XLOOKUP(Table1[[#This Row],[ProductID_Clean]],Table3[ProductID],Table3[Category],"Missing Value",0)))</f>
        <v>Instruments</v>
      </c>
      <c r="T1141" t="str">
        <f>_xlfn.XLOOKUP(Table1[[#This Row],[CustomerID_Check]],Table2[CustomerID],Table2[CustomerType],"Missing Value",0)</f>
        <v>Standard</v>
      </c>
    </row>
    <row r="1142" spans="1:20">
      <c r="A1142" t="s">
        <v>1398</v>
      </c>
      <c r="B1142" s="1">
        <v>45806</v>
      </c>
      <c r="C1142" t="s">
        <v>143</v>
      </c>
      <c r="D1142" t="str">
        <f>UPPER(Table1[[#This Row],[ProductID_Clean]])</f>
        <v>P-SI-002</v>
      </c>
      <c r="E1142" t="s">
        <v>31</v>
      </c>
      <c r="F1142" t="s">
        <v>23</v>
      </c>
      <c r="G1142" t="str">
        <f>TRIM(Table1[[#This Row],[Region_Clean]])</f>
        <v>N. AMERICA</v>
      </c>
      <c r="H1142" t="s">
        <v>24</v>
      </c>
      <c r="I1142" t="s">
        <v>25</v>
      </c>
      <c r="J1142" s="3">
        <v>3</v>
      </c>
      <c r="K1142" s="3">
        <v>646.95000000000005</v>
      </c>
      <c r="L1142">
        <v>725</v>
      </c>
      <c r="M1142">
        <v>2175</v>
      </c>
      <c r="N1142">
        <v>234.15</v>
      </c>
      <c r="O1142">
        <v>1940.85</v>
      </c>
      <c r="P1142" t="s">
        <v>126</v>
      </c>
      <c r="Q1142" t="s">
        <v>27</v>
      </c>
      <c r="R1142" t="s">
        <v>28</v>
      </c>
      <c r="S1142" t="str">
        <f>TRIM(PROPER(_xlfn.XLOOKUP(Table1[[#This Row],[ProductID_Clean]],Table3[ProductID],Table3[Category],"Missing Value",0)))</f>
        <v>Sensors</v>
      </c>
      <c r="T1142" t="str">
        <f>_xlfn.XLOOKUP(Table1[[#This Row],[CustomerID_Check]],Table2[CustomerID],Table2[CustomerType],"Missing Value",0)</f>
        <v>Strategic</v>
      </c>
    </row>
    <row r="1143" spans="1:20">
      <c r="A1143" t="s">
        <v>1399</v>
      </c>
      <c r="B1143" s="1">
        <v>45772</v>
      </c>
      <c r="C1143" t="s">
        <v>408</v>
      </c>
      <c r="D1143" t="str">
        <f>UPPER(Table1[[#This Row],[ProductID_Clean]])</f>
        <v>P-SI-006</v>
      </c>
      <c r="E1143" t="s">
        <v>43</v>
      </c>
      <c r="F1143" t="s">
        <v>23</v>
      </c>
      <c r="G1143" t="str">
        <f>TRIM(Table1[[#This Row],[Region_Clean]])</f>
        <v>N. AMERICA</v>
      </c>
      <c r="H1143" t="s">
        <v>24</v>
      </c>
      <c r="I1143" t="s">
        <v>25</v>
      </c>
      <c r="J1143" s="3">
        <v>3</v>
      </c>
      <c r="K1143" s="3">
        <v>170.54</v>
      </c>
      <c r="L1143">
        <v>215</v>
      </c>
      <c r="M1143">
        <v>645</v>
      </c>
      <c r="N1143">
        <v>133.38</v>
      </c>
      <c r="O1143">
        <v>511.62</v>
      </c>
      <c r="P1143" t="s">
        <v>26</v>
      </c>
      <c r="Q1143" t="s">
        <v>40</v>
      </c>
      <c r="R1143" t="s">
        <v>44</v>
      </c>
      <c r="S1143" t="str">
        <f>TRIM(PROPER(_xlfn.XLOOKUP(Table1[[#This Row],[ProductID_Clean]],Table3[ProductID],Table3[Category],"Missing Value",0)))</f>
        <v>Sensors</v>
      </c>
      <c r="T1143" t="str">
        <f>_xlfn.XLOOKUP(Table1[[#This Row],[CustomerID_Check]],Table2[CustomerID],Table2[CustomerType],"Missing Value",0)</f>
        <v>Emerging</v>
      </c>
    </row>
    <row r="1144" spans="1:20">
      <c r="A1144" t="s">
        <v>1400</v>
      </c>
      <c r="B1144" s="1">
        <v>45758</v>
      </c>
      <c r="C1144" t="s">
        <v>839</v>
      </c>
      <c r="D1144" t="str">
        <f>UPPER(Table1[[#This Row],[ProductID_Clean]])</f>
        <v>P-SA-002</v>
      </c>
      <c r="E1144" t="s">
        <v>147</v>
      </c>
      <c r="F1144" t="s">
        <v>23</v>
      </c>
      <c r="G1144" t="str">
        <f>TRIM(Table1[[#This Row],[Region_Clean]])</f>
        <v>N. AMERICA</v>
      </c>
      <c r="H1144" t="s">
        <v>53</v>
      </c>
      <c r="I1144" t="s">
        <v>25</v>
      </c>
      <c r="J1144" s="3">
        <v>1</v>
      </c>
      <c r="K1144" s="3">
        <v>9235.6</v>
      </c>
      <c r="L1144">
        <v>9800</v>
      </c>
      <c r="M1144">
        <v>9800</v>
      </c>
      <c r="N1144">
        <v>564.4</v>
      </c>
      <c r="O1144">
        <v>9235.6</v>
      </c>
      <c r="P1144" t="s">
        <v>26</v>
      </c>
      <c r="Q1144" t="s">
        <v>54</v>
      </c>
      <c r="R1144" t="s">
        <v>44</v>
      </c>
      <c r="S1144" t="str">
        <f>TRIM(PROPER(_xlfn.XLOOKUP(Table1[[#This Row],[ProductID_Clean]],Table3[ProductID],Table3[Category],"Missing Value",0)))</f>
        <v>Software</v>
      </c>
      <c r="T1144" t="str">
        <f>_xlfn.XLOOKUP(Table1[[#This Row],[CustomerID_Check]],Table2[CustomerID],Table2[CustomerType],"Missing Value",0)</f>
        <v>Emerging</v>
      </c>
    </row>
    <row r="1145" spans="1:20">
      <c r="A1145" t="s">
        <v>1401</v>
      </c>
      <c r="B1145" s="1">
        <v>45831</v>
      </c>
      <c r="C1145" t="s">
        <v>702</v>
      </c>
      <c r="D1145" t="str">
        <f>UPPER(Table1[[#This Row],[ProductID_Clean]])</f>
        <v>P-SI-006</v>
      </c>
      <c r="E1145" t="s">
        <v>43</v>
      </c>
      <c r="F1145" t="s">
        <v>32</v>
      </c>
      <c r="G1145" t="str">
        <f>TRIM(Table1[[#This Row],[Region_Clean]])</f>
        <v>LATIN AMERICA</v>
      </c>
      <c r="H1145" t="s">
        <v>24</v>
      </c>
      <c r="I1145" t="s">
        <v>40</v>
      </c>
      <c r="J1145" s="3">
        <v>1</v>
      </c>
      <c r="K1145" s="3">
        <v>177.32</v>
      </c>
      <c r="L1145">
        <v>215</v>
      </c>
      <c r="M1145">
        <v>215</v>
      </c>
      <c r="N1145">
        <v>37.68</v>
      </c>
      <c r="O1145">
        <v>177.32</v>
      </c>
      <c r="P1145" t="s">
        <v>26</v>
      </c>
      <c r="Q1145" t="s">
        <v>35</v>
      </c>
      <c r="R1145" t="s">
        <v>36</v>
      </c>
      <c r="S1145" t="str">
        <f>TRIM(PROPER(_xlfn.XLOOKUP(Table1[[#This Row],[ProductID_Clean]],Table3[ProductID],Table3[Category],"Missing Value",0)))</f>
        <v>Sensors</v>
      </c>
      <c r="T1145" t="str">
        <f>_xlfn.XLOOKUP(Table1[[#This Row],[CustomerID_Check]],Table2[CustomerID],Table2[CustomerType],"Missing Value",0)</f>
        <v>Emerging</v>
      </c>
    </row>
    <row r="1146" spans="1:20">
      <c r="A1146" t="s">
        <v>1402</v>
      </c>
      <c r="B1146" s="1">
        <v>45834</v>
      </c>
      <c r="C1146" t="s">
        <v>375</v>
      </c>
      <c r="D1146" t="str">
        <f>UPPER(Table1[[#This Row],[ProductID_Clean]])</f>
        <v>P-SA-002</v>
      </c>
      <c r="E1146" t="s">
        <v>147</v>
      </c>
      <c r="F1146" t="s">
        <v>32</v>
      </c>
      <c r="G1146" t="str">
        <f>TRIM(Table1[[#This Row],[Region_Clean]])</f>
        <v>LATIN AMERICA</v>
      </c>
      <c r="H1146" t="s">
        <v>53</v>
      </c>
      <c r="I1146" t="s">
        <v>87</v>
      </c>
      <c r="J1146" s="3">
        <v>1</v>
      </c>
      <c r="K1146" s="3">
        <v>8198.15</v>
      </c>
      <c r="L1146">
        <v>9800</v>
      </c>
      <c r="M1146">
        <v>9800</v>
      </c>
      <c r="N1146">
        <v>1601.85</v>
      </c>
      <c r="O1146">
        <v>8198.15</v>
      </c>
      <c r="P1146" t="s">
        <v>26</v>
      </c>
      <c r="Q1146" t="s">
        <v>54</v>
      </c>
      <c r="R1146" t="s">
        <v>36</v>
      </c>
      <c r="S1146" t="str">
        <f>TRIM(PROPER(_xlfn.XLOOKUP(Table1[[#This Row],[ProductID_Clean]],Table3[ProductID],Table3[Category],"Missing Value",0)))</f>
        <v>Software</v>
      </c>
      <c r="T1146" t="str">
        <f>_xlfn.XLOOKUP(Table1[[#This Row],[CustomerID_Check]],Table2[CustomerID],Table2[CustomerType],"Missing Value",0)</f>
        <v>Standard</v>
      </c>
    </row>
    <row r="1147" spans="1:20">
      <c r="A1147" t="s">
        <v>1403</v>
      </c>
      <c r="B1147" s="1">
        <v>45664</v>
      </c>
      <c r="C1147" t="s">
        <v>104</v>
      </c>
      <c r="D1147" t="str">
        <f>UPPER(Table1[[#This Row],[ProductID_Clean]])</f>
        <v>P-SI-002</v>
      </c>
      <c r="E1147" t="s">
        <v>31</v>
      </c>
      <c r="F1147" t="s">
        <v>58</v>
      </c>
      <c r="G1147" t="str">
        <f>TRIM(Table1[[#This Row],[Region_Clean]])</f>
        <v>APAC</v>
      </c>
      <c r="H1147" t="s">
        <v>24</v>
      </c>
      <c r="I1147" t="s">
        <v>25</v>
      </c>
      <c r="J1147" s="3">
        <v>1</v>
      </c>
      <c r="K1147" s="3">
        <v>703.98</v>
      </c>
      <c r="L1147">
        <v>725</v>
      </c>
      <c r="M1147">
        <v>725</v>
      </c>
      <c r="N1147">
        <v>21.02</v>
      </c>
      <c r="O1147">
        <v>703.98</v>
      </c>
      <c r="P1147" t="s">
        <v>26</v>
      </c>
      <c r="Q1147" t="s">
        <v>40</v>
      </c>
      <c r="R1147" t="s">
        <v>36</v>
      </c>
      <c r="S1147" t="str">
        <f>TRIM(PROPER(_xlfn.XLOOKUP(Table1[[#This Row],[ProductID_Clean]],Table3[ProductID],Table3[Category],"Missing Value",0)))</f>
        <v>Sensors</v>
      </c>
      <c r="T1147" t="str">
        <f>_xlfn.XLOOKUP(Table1[[#This Row],[CustomerID_Check]],Table2[CustomerID],Table2[CustomerType],"Missing Value",0)</f>
        <v>Standard</v>
      </c>
    </row>
    <row r="1148" spans="1:20">
      <c r="A1148" t="s">
        <v>1404</v>
      </c>
      <c r="B1148" s="1">
        <v>45684</v>
      </c>
      <c r="C1148" t="s">
        <v>1161</v>
      </c>
      <c r="D1148" t="str">
        <f>UPPER(Table1[[#This Row],[ProductID_Clean]])</f>
        <v>P-SI-006</v>
      </c>
      <c r="E1148" t="s">
        <v>43</v>
      </c>
      <c r="F1148" t="s">
        <v>32</v>
      </c>
      <c r="G1148" t="str">
        <f>TRIM(Table1[[#This Row],[Region_Clean]])</f>
        <v>LATIN AMERICA</v>
      </c>
      <c r="H1148" t="s">
        <v>24</v>
      </c>
      <c r="I1148" t="s">
        <v>87</v>
      </c>
      <c r="J1148" s="3">
        <v>3</v>
      </c>
      <c r="K1148" s="3">
        <v>146.54</v>
      </c>
      <c r="L1148">
        <v>215</v>
      </c>
      <c r="M1148">
        <v>645</v>
      </c>
      <c r="N1148">
        <v>205.38</v>
      </c>
      <c r="O1148">
        <v>439.62</v>
      </c>
      <c r="P1148" t="s">
        <v>26</v>
      </c>
      <c r="Q1148" t="s">
        <v>35</v>
      </c>
      <c r="R1148" t="s">
        <v>36</v>
      </c>
      <c r="S1148" t="str">
        <f>TRIM(PROPER(_xlfn.XLOOKUP(Table1[[#This Row],[ProductID_Clean]],Table3[ProductID],Table3[Category],"Missing Value",0)))</f>
        <v>Sensors</v>
      </c>
      <c r="T1148" t="str">
        <f>_xlfn.XLOOKUP(Table1[[#This Row],[CustomerID_Check]],Table2[CustomerID],Table2[CustomerType],"Missing Value",0)</f>
        <v>Emerging</v>
      </c>
    </row>
    <row r="1149" spans="1:20">
      <c r="A1149" t="s">
        <v>1405</v>
      </c>
      <c r="B1149" s="1">
        <v>45694</v>
      </c>
      <c r="C1149" t="s">
        <v>61</v>
      </c>
      <c r="D1149" t="str">
        <f>UPPER(Table1[[#This Row],[ProductID_Clean]])</f>
        <v>P-SI-003</v>
      </c>
      <c r="E1149" t="s">
        <v>39</v>
      </c>
      <c r="F1149" t="s">
        <v>47</v>
      </c>
      <c r="G1149" t="str">
        <f>TRIM(Table1[[#This Row],[Region_Clean]])</f>
        <v>EMEA</v>
      </c>
      <c r="H1149" t="s">
        <v>24</v>
      </c>
      <c r="I1149" t="s">
        <v>25</v>
      </c>
      <c r="J1149" s="3">
        <v>15</v>
      </c>
      <c r="K1149" s="3">
        <v>1660.85</v>
      </c>
      <c r="L1149">
        <v>1890</v>
      </c>
      <c r="M1149">
        <v>28350</v>
      </c>
      <c r="N1149">
        <v>3437.25</v>
      </c>
      <c r="O1149">
        <v>24912.75</v>
      </c>
      <c r="P1149" t="s">
        <v>26</v>
      </c>
      <c r="Q1149" t="s">
        <v>65</v>
      </c>
      <c r="R1149" t="s">
        <v>48</v>
      </c>
      <c r="S1149" t="str">
        <f>TRIM(PROPER(_xlfn.XLOOKUP(Table1[[#This Row],[ProductID_Clean]],Table3[ProductID],Table3[Category],"Missing Value",0)))</f>
        <v>Instruments</v>
      </c>
      <c r="T1149" t="str">
        <f>_xlfn.XLOOKUP(Table1[[#This Row],[CustomerID_Check]],Table2[CustomerID],Table2[CustomerType],"Missing Value",0)</f>
        <v>Strategic</v>
      </c>
    </row>
    <row r="1150" spans="1:20">
      <c r="A1150" t="s">
        <v>1406</v>
      </c>
      <c r="B1150" s="1">
        <v>45737</v>
      </c>
      <c r="C1150" t="s">
        <v>361</v>
      </c>
      <c r="D1150" t="str">
        <f>UPPER(Table1[[#This Row],[ProductID_Clean]])</f>
        <v>P-SI-008</v>
      </c>
      <c r="E1150" t="s">
        <v>152</v>
      </c>
      <c r="F1150" t="s">
        <v>198</v>
      </c>
      <c r="G1150" t="str">
        <f>TRIM(Table1[[#This Row],[Region_Clean]])</f>
        <v>APAC</v>
      </c>
      <c r="H1150" t="s">
        <v>24</v>
      </c>
      <c r="I1150" t="s">
        <v>87</v>
      </c>
      <c r="J1150" s="3">
        <v>4</v>
      </c>
      <c r="K1150" s="3">
        <v>670.94</v>
      </c>
      <c r="L1150">
        <v>950</v>
      </c>
      <c r="M1150">
        <v>3800</v>
      </c>
      <c r="N1150">
        <v>1116.24</v>
      </c>
      <c r="O1150">
        <v>2683.76</v>
      </c>
      <c r="P1150" t="s">
        <v>26</v>
      </c>
      <c r="Q1150" t="s">
        <v>35</v>
      </c>
      <c r="R1150" t="s">
        <v>44</v>
      </c>
      <c r="S1150" t="str">
        <f>TRIM(PROPER(_xlfn.XLOOKUP(Table1[[#This Row],[ProductID_Clean]],Table3[ProductID],Table3[Category],"Missing Value",0)))</f>
        <v>Instruments</v>
      </c>
      <c r="T1150" t="str">
        <f>_xlfn.XLOOKUP(Table1[[#This Row],[CustomerID_Check]],Table2[CustomerID],Table2[CustomerType],"Missing Value",0)</f>
        <v>Standard</v>
      </c>
    </row>
    <row r="1151" spans="1:20">
      <c r="A1151" t="s">
        <v>1407</v>
      </c>
      <c r="B1151" s="1">
        <v>45774</v>
      </c>
      <c r="C1151" t="s">
        <v>754</v>
      </c>
      <c r="D1151" t="str">
        <f>UPPER(Table1[[#This Row],[ProductID_Clean]])</f>
        <v>P-SI-001</v>
      </c>
      <c r="E1151" t="s">
        <v>72</v>
      </c>
      <c r="F1151" t="s">
        <v>23</v>
      </c>
      <c r="G1151" t="str">
        <f>TRIM(Table1[[#This Row],[Region_Clean]])</f>
        <v>N. AMERICA</v>
      </c>
      <c r="H1151" t="s">
        <v>24</v>
      </c>
      <c r="I1151" t="s">
        <v>25</v>
      </c>
      <c r="J1151" s="3">
        <v>20</v>
      </c>
      <c r="K1151" s="3">
        <v>485.02</v>
      </c>
      <c r="L1151">
        <v>485</v>
      </c>
      <c r="M1151">
        <v>9700</v>
      </c>
      <c r="N1151">
        <v>-0.4</v>
      </c>
      <c r="O1151">
        <v>9700.4</v>
      </c>
      <c r="P1151" t="s">
        <v>26</v>
      </c>
      <c r="Q1151" t="s">
        <v>35</v>
      </c>
      <c r="R1151" t="s">
        <v>59</v>
      </c>
      <c r="S1151" t="str">
        <f>TRIM(PROPER(_xlfn.XLOOKUP(Table1[[#This Row],[ProductID_Clean]],Table3[ProductID],Table3[Category],"Missing Value",0)))</f>
        <v>Sensors</v>
      </c>
      <c r="T1151" t="str">
        <f>_xlfn.XLOOKUP(Table1[[#This Row],[CustomerID_Check]],Table2[CustomerID],Table2[CustomerType],"Missing Value",0)</f>
        <v>Standard</v>
      </c>
    </row>
    <row r="1152" spans="1:20">
      <c r="A1152" t="s">
        <v>1408</v>
      </c>
      <c r="B1152" s="1">
        <v>45781</v>
      </c>
      <c r="C1152" t="s">
        <v>557</v>
      </c>
      <c r="D1152" t="str">
        <f>UPPER(Table1[[#This Row],[ProductID_Clean]])</f>
        <v>P-SI-006</v>
      </c>
      <c r="E1152" t="s">
        <v>43</v>
      </c>
      <c r="F1152" t="s">
        <v>23</v>
      </c>
      <c r="G1152" t="str">
        <f>TRIM(Table1[[#This Row],[Region_Clean]])</f>
        <v>N. AMERICA</v>
      </c>
      <c r="H1152" t="s">
        <v>24</v>
      </c>
      <c r="I1152" t="s">
        <v>25</v>
      </c>
      <c r="J1152" s="3">
        <v>1</v>
      </c>
      <c r="K1152" s="3">
        <v>191.06</v>
      </c>
      <c r="L1152">
        <v>215</v>
      </c>
      <c r="M1152">
        <v>215</v>
      </c>
      <c r="N1152">
        <v>23.94</v>
      </c>
      <c r="O1152">
        <v>191.06</v>
      </c>
      <c r="P1152" t="s">
        <v>26</v>
      </c>
      <c r="Q1152" t="s">
        <v>35</v>
      </c>
      <c r="R1152" t="s">
        <v>36</v>
      </c>
      <c r="S1152" t="str">
        <f>TRIM(PROPER(_xlfn.XLOOKUP(Table1[[#This Row],[ProductID_Clean]],Table3[ProductID],Table3[Category],"Missing Value",0)))</f>
        <v>Sensors</v>
      </c>
      <c r="T1152" t="str">
        <f>_xlfn.XLOOKUP(Table1[[#This Row],[CustomerID_Check]],Table2[CustomerID],Table2[CustomerType],"Missing Value",0)</f>
        <v>Standard</v>
      </c>
    </row>
    <row r="1153" spans="1:20">
      <c r="A1153" t="s">
        <v>1409</v>
      </c>
      <c r="B1153" s="1">
        <v>45779</v>
      </c>
      <c r="C1153" t="s">
        <v>76</v>
      </c>
      <c r="D1153" t="str">
        <f>UPPER(Table1[[#This Row],[ProductID_Clean]])</f>
        <v>P-SI-001</v>
      </c>
      <c r="E1153" t="s">
        <v>72</v>
      </c>
      <c r="F1153" t="s">
        <v>102</v>
      </c>
      <c r="G1153" t="str">
        <f>TRIM(Table1[[#This Row],[Region_Clean]])</f>
        <v>EMEA</v>
      </c>
      <c r="H1153" t="s">
        <v>24</v>
      </c>
      <c r="I1153" t="s">
        <v>34</v>
      </c>
      <c r="J1153" s="3">
        <v>1</v>
      </c>
      <c r="K1153" s="3">
        <v>361.28</v>
      </c>
      <c r="L1153">
        <v>485</v>
      </c>
      <c r="M1153">
        <v>485</v>
      </c>
      <c r="N1153">
        <v>123.72</v>
      </c>
      <c r="O1153">
        <v>361.28</v>
      </c>
      <c r="P1153" t="s">
        <v>26</v>
      </c>
      <c r="Q1153" t="s">
        <v>40</v>
      </c>
      <c r="R1153" t="s">
        <v>36</v>
      </c>
      <c r="S1153" t="str">
        <f>TRIM(PROPER(_xlfn.XLOOKUP(Table1[[#This Row],[ProductID_Clean]],Table3[ProductID],Table3[Category],"Missing Value",0)))</f>
        <v>Sensors</v>
      </c>
      <c r="T1153" t="str">
        <f>_xlfn.XLOOKUP(Table1[[#This Row],[CustomerID_Check]],Table2[CustomerID],Table2[CustomerType],"Missing Value",0)</f>
        <v>Missing Value</v>
      </c>
    </row>
    <row r="1154" spans="1:20">
      <c r="A1154" t="s">
        <v>1410</v>
      </c>
      <c r="B1154" s="1">
        <v>45770</v>
      </c>
      <c r="C1154" t="s">
        <v>702</v>
      </c>
      <c r="D1154" t="str">
        <f>UPPER(Table1[[#This Row],[ProductID_Clean]])</f>
        <v>P-SI-003</v>
      </c>
      <c r="E1154" t="s">
        <v>39</v>
      </c>
      <c r="F1154" t="s">
        <v>32</v>
      </c>
      <c r="G1154" t="str">
        <f>TRIM(Table1[[#This Row],[Region_Clean]])</f>
        <v>LATIN AMERICA</v>
      </c>
      <c r="H1154" t="s">
        <v>24</v>
      </c>
      <c r="I1154" t="s">
        <v>34</v>
      </c>
      <c r="J1154" s="3">
        <v>5</v>
      </c>
      <c r="K1154" s="3">
        <v>1675.26</v>
      </c>
      <c r="L1154">
        <v>1890</v>
      </c>
      <c r="M1154">
        <v>9450</v>
      </c>
      <c r="N1154">
        <v>1073.7</v>
      </c>
      <c r="O1154">
        <v>8376.2999999999993</v>
      </c>
      <c r="P1154" t="s">
        <v>26</v>
      </c>
      <c r="Q1154" t="s">
        <v>27</v>
      </c>
      <c r="R1154" t="s">
        <v>36</v>
      </c>
      <c r="S1154" t="str">
        <f>TRIM(PROPER(_xlfn.XLOOKUP(Table1[[#This Row],[ProductID_Clean]],Table3[ProductID],Table3[Category],"Missing Value",0)))</f>
        <v>Instruments</v>
      </c>
      <c r="T1154" t="str">
        <f>_xlfn.XLOOKUP(Table1[[#This Row],[CustomerID_Check]],Table2[CustomerID],Table2[CustomerType],"Missing Value",0)</f>
        <v>Emerging</v>
      </c>
    </row>
    <row r="1155" spans="1:20">
      <c r="A1155" t="s">
        <v>1411</v>
      </c>
      <c r="B1155" s="1">
        <v>45791</v>
      </c>
      <c r="C1155" t="s">
        <v>410</v>
      </c>
      <c r="D1155" t="str">
        <f>UPPER(Table1[[#This Row],[ProductID_Clean]])</f>
        <v>P-SI-001</v>
      </c>
      <c r="E1155" t="s">
        <v>72</v>
      </c>
      <c r="F1155" t="s">
        <v>23</v>
      </c>
      <c r="G1155" t="str">
        <f>TRIM(Table1[[#This Row],[Region_Clean]])</f>
        <v>N. AMERICA</v>
      </c>
      <c r="H1155" t="s">
        <v>24</v>
      </c>
      <c r="I1155" t="s">
        <v>25</v>
      </c>
      <c r="J1155" s="3">
        <v>4</v>
      </c>
      <c r="K1155" s="3">
        <v>424.32</v>
      </c>
      <c r="L1155">
        <v>485</v>
      </c>
      <c r="M1155">
        <v>1940</v>
      </c>
      <c r="N1155">
        <v>242.72000000000003</v>
      </c>
      <c r="O1155">
        <v>1697.28</v>
      </c>
      <c r="P1155" t="s">
        <v>126</v>
      </c>
      <c r="Q1155" t="s">
        <v>35</v>
      </c>
      <c r="R1155" t="s">
        <v>28</v>
      </c>
      <c r="S1155" t="str">
        <f>TRIM(PROPER(_xlfn.XLOOKUP(Table1[[#This Row],[ProductID_Clean]],Table3[ProductID],Table3[Category],"Missing Value",0)))</f>
        <v>Sensors</v>
      </c>
      <c r="T1155" t="str">
        <f>_xlfn.XLOOKUP(Table1[[#This Row],[CustomerID_Check]],Table2[CustomerID],Table2[CustomerType],"Missing Value",0)</f>
        <v>Key Account</v>
      </c>
    </row>
    <row r="1156" spans="1:20">
      <c r="A1156" t="s">
        <v>1412</v>
      </c>
      <c r="B1156" s="1">
        <v>45734</v>
      </c>
      <c r="C1156" t="s">
        <v>118</v>
      </c>
      <c r="D1156" t="str">
        <f>UPPER(Table1[[#This Row],[ProductID_Clean]])</f>
        <v>P-SI-001</v>
      </c>
      <c r="E1156" t="s">
        <v>72</v>
      </c>
      <c r="F1156" t="s">
        <v>23</v>
      </c>
      <c r="G1156" t="str">
        <f>TRIM(Table1[[#This Row],[Region_Clean]])</f>
        <v>N. AMERICA</v>
      </c>
      <c r="H1156" t="s">
        <v>24</v>
      </c>
      <c r="I1156" t="s">
        <v>25</v>
      </c>
      <c r="J1156" s="3">
        <v>3</v>
      </c>
      <c r="K1156" s="3">
        <v>417.46</v>
      </c>
      <c r="L1156">
        <v>485</v>
      </c>
      <c r="M1156">
        <v>1455</v>
      </c>
      <c r="N1156">
        <v>202.62</v>
      </c>
      <c r="O1156">
        <v>1252.3800000000001</v>
      </c>
      <c r="P1156" t="s">
        <v>26</v>
      </c>
      <c r="Q1156" t="s">
        <v>35</v>
      </c>
      <c r="R1156" t="s">
        <v>59</v>
      </c>
      <c r="S1156" t="str">
        <f>TRIM(PROPER(_xlfn.XLOOKUP(Table1[[#This Row],[ProductID_Clean]],Table3[ProductID],Table3[Category],"Missing Value",0)))</f>
        <v>Sensors</v>
      </c>
      <c r="T1156" t="str">
        <f>_xlfn.XLOOKUP(Table1[[#This Row],[CustomerID_Check]],Table2[CustomerID],Table2[CustomerType],"Missing Value",0)</f>
        <v>Key Account</v>
      </c>
    </row>
    <row r="1157" spans="1:20">
      <c r="A1157" t="s">
        <v>1413</v>
      </c>
      <c r="B1157" s="1">
        <v>45687</v>
      </c>
      <c r="C1157" t="s">
        <v>106</v>
      </c>
      <c r="D1157" t="str">
        <f>UPPER(Table1[[#This Row],[ProductID_Clean]])</f>
        <v>P-SA-001</v>
      </c>
      <c r="E1157" t="s">
        <v>68</v>
      </c>
      <c r="F1157" t="s">
        <v>58</v>
      </c>
      <c r="G1157" t="str">
        <f>TRIM(Table1[[#This Row],[Region_Clean]])</f>
        <v>APAC</v>
      </c>
      <c r="H1157" t="s">
        <v>53</v>
      </c>
      <c r="I1157" t="s">
        <v>34</v>
      </c>
      <c r="J1157" s="3">
        <v>5</v>
      </c>
      <c r="K1157" s="3">
        <v>3612.54</v>
      </c>
      <c r="L1157">
        <v>4200</v>
      </c>
      <c r="M1157">
        <v>21000</v>
      </c>
      <c r="N1157">
        <v>2937.3</v>
      </c>
      <c r="O1157">
        <v>18062.7</v>
      </c>
      <c r="P1157" t="s">
        <v>113</v>
      </c>
      <c r="Q1157" t="s">
        <v>54</v>
      </c>
      <c r="R1157" t="s">
        <v>59</v>
      </c>
      <c r="S1157" t="str">
        <f>TRIM(PROPER(_xlfn.XLOOKUP(Table1[[#This Row],[ProductID_Clean]],Table3[ProductID],Table3[Category],"Missing Value",0)))</f>
        <v>Software</v>
      </c>
      <c r="T1157" t="str">
        <f>_xlfn.XLOOKUP(Table1[[#This Row],[CustomerID_Check]],Table2[CustomerID],Table2[CustomerType],"Missing Value",0)</f>
        <v>Key Account</v>
      </c>
    </row>
    <row r="1158" spans="1:20">
      <c r="A1158" t="s">
        <v>1414</v>
      </c>
      <c r="B1158" s="1">
        <v>45823</v>
      </c>
      <c r="C1158" t="s">
        <v>654</v>
      </c>
      <c r="D1158" t="str">
        <f>UPPER(Table1[[#This Row],[ProductID_Clean]])</f>
        <v>P-SA-003</v>
      </c>
      <c r="E1158" t="s">
        <v>51</v>
      </c>
      <c r="F1158" t="s">
        <v>32</v>
      </c>
      <c r="G1158" t="str">
        <f>TRIM(Table1[[#This Row],[Region_Clean]])</f>
        <v>LATIN AMERICA</v>
      </c>
      <c r="H1158" t="s">
        <v>53</v>
      </c>
      <c r="I1158" t="s">
        <v>25</v>
      </c>
      <c r="J1158" s="3">
        <v>1</v>
      </c>
      <c r="K1158" s="3">
        <v>2522.27</v>
      </c>
      <c r="L1158">
        <v>2750</v>
      </c>
      <c r="M1158">
        <v>2750</v>
      </c>
      <c r="N1158">
        <v>227.73</v>
      </c>
      <c r="O1158">
        <v>2522.27</v>
      </c>
      <c r="P1158" t="s">
        <v>113</v>
      </c>
      <c r="Q1158" t="s">
        <v>88</v>
      </c>
      <c r="R1158" t="s">
        <v>28</v>
      </c>
      <c r="S1158" t="str">
        <f>TRIM(PROPER(_xlfn.XLOOKUP(Table1[[#This Row],[ProductID_Clean]],Table3[ProductID],Table3[Category],"Missing Value",0)))</f>
        <v>Software</v>
      </c>
      <c r="T1158" t="str">
        <f>_xlfn.XLOOKUP(Table1[[#This Row],[CustomerID_Check]],Table2[CustomerID],Table2[CustomerType],"Missing Value",0)</f>
        <v>Emerging</v>
      </c>
    </row>
    <row r="1159" spans="1:20">
      <c r="A1159" t="s">
        <v>1415</v>
      </c>
      <c r="B1159" s="1">
        <v>45831</v>
      </c>
      <c r="C1159" t="s">
        <v>91</v>
      </c>
      <c r="D1159" t="str">
        <f>UPPER(Table1[[#This Row],[ProductID_Clean]])</f>
        <v>P-SA-005</v>
      </c>
      <c r="E1159" t="s">
        <v>62</v>
      </c>
      <c r="F1159" t="s">
        <v>23</v>
      </c>
      <c r="G1159" t="str">
        <f>TRIM(Table1[[#This Row],[Region_Clean]])</f>
        <v>N. AMERICA</v>
      </c>
      <c r="H1159" t="s">
        <v>53</v>
      </c>
      <c r="I1159" t="s">
        <v>25</v>
      </c>
      <c r="J1159" s="3">
        <v>3</v>
      </c>
      <c r="K1159" s="3">
        <v>2740.74</v>
      </c>
      <c r="L1159">
        <v>3200</v>
      </c>
      <c r="M1159">
        <v>9600</v>
      </c>
      <c r="N1159">
        <v>1377.78</v>
      </c>
      <c r="O1159">
        <v>8222.2199999999993</v>
      </c>
      <c r="P1159" t="s">
        <v>26</v>
      </c>
      <c r="Q1159" t="s">
        <v>54</v>
      </c>
      <c r="R1159" t="s">
        <v>48</v>
      </c>
      <c r="S1159" t="str">
        <f>TRIM(PROPER(_xlfn.XLOOKUP(Table1[[#This Row],[ProductID_Clean]],Table3[ProductID],Table3[Category],"Missing Value",0)))</f>
        <v>Software / Integration</v>
      </c>
      <c r="T1159" t="str">
        <f>_xlfn.XLOOKUP(Table1[[#This Row],[CustomerID_Check]],Table2[CustomerID],Table2[CustomerType],"Missing Value",0)</f>
        <v>Key Account</v>
      </c>
    </row>
    <row r="1160" spans="1:20">
      <c r="A1160" t="s">
        <v>1416</v>
      </c>
      <c r="B1160" s="1">
        <v>45720</v>
      </c>
      <c r="C1160" t="s">
        <v>353</v>
      </c>
      <c r="D1160" t="str">
        <f>UPPER(Table1[[#This Row],[ProductID_Clean]])</f>
        <v>P-FS-006</v>
      </c>
      <c r="E1160" t="s">
        <v>92</v>
      </c>
      <c r="F1160" t="s">
        <v>23</v>
      </c>
      <c r="G1160" t="str">
        <f>TRIM(Table1[[#This Row],[Region_Clean]])</f>
        <v>N. AMERICA</v>
      </c>
      <c r="H1160" t="s">
        <v>82</v>
      </c>
      <c r="I1160" t="s">
        <v>87</v>
      </c>
      <c r="J1160" s="3">
        <v>1</v>
      </c>
      <c r="K1160" s="3">
        <v>1193.57</v>
      </c>
      <c r="L1160">
        <v>1450</v>
      </c>
      <c r="M1160">
        <v>1450</v>
      </c>
      <c r="N1160">
        <v>256.43</v>
      </c>
      <c r="O1160">
        <v>1193.57</v>
      </c>
      <c r="P1160" t="s">
        <v>26</v>
      </c>
      <c r="Q1160" t="s">
        <v>27</v>
      </c>
      <c r="R1160" t="s">
        <v>48</v>
      </c>
      <c r="S1160" t="str">
        <f>TRIM(PROPER(_xlfn.XLOOKUP(Table1[[#This Row],[ProductID_Clean]],Table3[ProductID],Table3[Category],"Missing Value",0)))</f>
        <v>Services</v>
      </c>
      <c r="T1160" t="str">
        <f>_xlfn.XLOOKUP(Table1[[#This Row],[CustomerID_Check]],Table2[CustomerID],Table2[CustomerType],"Missing Value",0)</f>
        <v>Key Account</v>
      </c>
    </row>
    <row r="1161" spans="1:20">
      <c r="A1161" t="s">
        <v>1417</v>
      </c>
      <c r="B1161" s="1">
        <v>45702</v>
      </c>
      <c r="C1161" t="s">
        <v>268</v>
      </c>
      <c r="D1161" t="str">
        <f>UPPER(Table1[[#This Row],[ProductID_Clean]])</f>
        <v>P-FS-001</v>
      </c>
      <c r="E1161" t="s">
        <v>133</v>
      </c>
      <c r="F1161" t="s">
        <v>23</v>
      </c>
      <c r="G1161" t="str">
        <f>TRIM(Table1[[#This Row],[Region_Clean]])</f>
        <v>N. AMERICA</v>
      </c>
      <c r="H1161" t="s">
        <v>82</v>
      </c>
      <c r="I1161" t="s">
        <v>25</v>
      </c>
      <c r="J1161" s="3">
        <v>1</v>
      </c>
      <c r="K1161" s="3">
        <v>1777.79</v>
      </c>
      <c r="L1161">
        <v>1850</v>
      </c>
      <c r="M1161">
        <v>1850</v>
      </c>
      <c r="N1161">
        <v>72.209999999999994</v>
      </c>
      <c r="O1161">
        <v>1777.79</v>
      </c>
      <c r="P1161" t="s">
        <v>26</v>
      </c>
      <c r="Q1161" t="s">
        <v>35</v>
      </c>
      <c r="R1161" t="s">
        <v>48</v>
      </c>
      <c r="S1161" t="str">
        <f>TRIM(PROPER(_xlfn.XLOOKUP(Table1[[#This Row],[ProductID_Clean]],Table3[ProductID],Table3[Category],"Missing Value",0)))</f>
        <v>Services</v>
      </c>
      <c r="T1161" t="str">
        <f>_xlfn.XLOOKUP(Table1[[#This Row],[CustomerID_Check]],Table2[CustomerID],Table2[CustomerType],"Missing Value",0)</f>
        <v>Standard</v>
      </c>
    </row>
    <row r="1162" spans="1:20">
      <c r="A1162" t="s">
        <v>1418</v>
      </c>
      <c r="B1162" s="1">
        <v>45694</v>
      </c>
      <c r="C1162" t="s">
        <v>316</v>
      </c>
      <c r="D1162" t="str">
        <f>UPPER(Table1[[#This Row],[ProductID_Clean]])</f>
        <v>P-SI-006</v>
      </c>
      <c r="E1162" t="s">
        <v>43</v>
      </c>
      <c r="F1162" t="s">
        <v>32</v>
      </c>
      <c r="G1162" t="str">
        <f>TRIM(Table1[[#This Row],[Region_Clean]])</f>
        <v>LATIN AMERICA</v>
      </c>
      <c r="H1162" t="s">
        <v>24</v>
      </c>
      <c r="I1162" t="s">
        <v>25</v>
      </c>
      <c r="J1162" s="3">
        <v>4</v>
      </c>
      <c r="K1162" s="3">
        <v>168.26</v>
      </c>
      <c r="L1162">
        <v>215</v>
      </c>
      <c r="M1162">
        <v>860</v>
      </c>
      <c r="N1162">
        <v>186.96000000000004</v>
      </c>
      <c r="O1162">
        <v>673.04</v>
      </c>
      <c r="P1162" t="s">
        <v>26</v>
      </c>
      <c r="Q1162" t="s">
        <v>27</v>
      </c>
      <c r="R1162" t="s">
        <v>48</v>
      </c>
      <c r="S1162" t="str">
        <f>TRIM(PROPER(_xlfn.XLOOKUP(Table1[[#This Row],[ProductID_Clean]],Table3[ProductID],Table3[Category],"Missing Value",0)))</f>
        <v>Sensors</v>
      </c>
      <c r="T1162" t="str">
        <f>_xlfn.XLOOKUP(Table1[[#This Row],[CustomerID_Check]],Table2[CustomerID],Table2[CustomerType],"Missing Value",0)</f>
        <v>Key Account</v>
      </c>
    </row>
    <row r="1163" spans="1:20">
      <c r="A1163" t="s">
        <v>1419</v>
      </c>
      <c r="B1163" s="1">
        <v>45801</v>
      </c>
      <c r="C1163" t="s">
        <v>361</v>
      </c>
      <c r="D1163" t="str">
        <f>UPPER(Table1[[#This Row],[ProductID_Clean]])</f>
        <v>P-SI-001</v>
      </c>
      <c r="E1163" t="s">
        <v>72</v>
      </c>
      <c r="F1163" t="s">
        <v>58</v>
      </c>
      <c r="G1163" t="str">
        <f>TRIM(Table1[[#This Row],[Region_Clean]])</f>
        <v>APAC</v>
      </c>
      <c r="H1163" t="s">
        <v>24</v>
      </c>
      <c r="I1163" t="s">
        <v>40</v>
      </c>
      <c r="J1163" s="3">
        <v>10</v>
      </c>
      <c r="K1163" s="3">
        <v>428.44</v>
      </c>
      <c r="L1163">
        <v>485</v>
      </c>
      <c r="M1163">
        <v>4850</v>
      </c>
      <c r="N1163">
        <v>565.6</v>
      </c>
      <c r="O1163">
        <v>4284.3999999999996</v>
      </c>
      <c r="P1163" t="s">
        <v>26</v>
      </c>
      <c r="Q1163" t="s">
        <v>27</v>
      </c>
      <c r="R1163" t="s">
        <v>44</v>
      </c>
      <c r="S1163" t="str">
        <f>TRIM(PROPER(_xlfn.XLOOKUP(Table1[[#This Row],[ProductID_Clean]],Table3[ProductID],Table3[Category],"Missing Value",0)))</f>
        <v>Sensors</v>
      </c>
      <c r="T1163" t="str">
        <f>_xlfn.XLOOKUP(Table1[[#This Row],[CustomerID_Check]],Table2[CustomerID],Table2[CustomerType],"Missing Value",0)</f>
        <v>Standard</v>
      </c>
    </row>
    <row r="1164" spans="1:20">
      <c r="A1164" t="s">
        <v>1420</v>
      </c>
      <c r="B1164" s="1">
        <v>45776</v>
      </c>
      <c r="C1164" t="s">
        <v>570</v>
      </c>
      <c r="D1164" t="str">
        <f>UPPER(Table1[[#This Row],[ProductID_Clean]])</f>
        <v>P-SA-003</v>
      </c>
      <c r="E1164" t="s">
        <v>51</v>
      </c>
      <c r="F1164" t="s">
        <v>32</v>
      </c>
      <c r="G1164" t="str">
        <f>TRIM(Table1[[#This Row],[Region_Clean]])</f>
        <v>LATIN AMERICA</v>
      </c>
      <c r="H1164" t="s">
        <v>53</v>
      </c>
      <c r="I1164" t="s">
        <v>25</v>
      </c>
      <c r="J1164" s="3">
        <v>1</v>
      </c>
      <c r="K1164" s="3">
        <v>2632.21</v>
      </c>
      <c r="L1164">
        <v>2750</v>
      </c>
      <c r="M1164">
        <v>2750</v>
      </c>
      <c r="N1164">
        <v>117.79</v>
      </c>
      <c r="O1164">
        <v>2632.21</v>
      </c>
      <c r="P1164" t="s">
        <v>26</v>
      </c>
      <c r="Q1164" t="s">
        <v>189</v>
      </c>
      <c r="R1164" t="s">
        <v>48</v>
      </c>
      <c r="S1164" t="str">
        <f>TRIM(PROPER(_xlfn.XLOOKUP(Table1[[#This Row],[ProductID_Clean]],Table3[ProductID],Table3[Category],"Missing Value",0)))</f>
        <v>Software</v>
      </c>
      <c r="T1164" t="str">
        <f>_xlfn.XLOOKUP(Table1[[#This Row],[CustomerID_Check]],Table2[CustomerID],Table2[CustomerType],"Missing Value",0)</f>
        <v>Standard</v>
      </c>
    </row>
    <row r="1165" spans="1:20">
      <c r="A1165" t="s">
        <v>1421</v>
      </c>
      <c r="B1165" s="1">
        <v>45819</v>
      </c>
      <c r="C1165" t="s">
        <v>64</v>
      </c>
      <c r="D1165" t="str">
        <f>UPPER(Table1[[#This Row],[ProductID_Clean]])</f>
        <v>P-FS-003</v>
      </c>
      <c r="E1165" t="s">
        <v>216</v>
      </c>
      <c r="F1165" t="s">
        <v>47</v>
      </c>
      <c r="G1165" t="str">
        <f>TRIM(Table1[[#This Row],[Region_Clean]])</f>
        <v>EMEA</v>
      </c>
      <c r="H1165" t="s">
        <v>82</v>
      </c>
      <c r="I1165" t="s">
        <v>34</v>
      </c>
      <c r="J1165" s="3">
        <v>2</v>
      </c>
      <c r="K1165" s="3">
        <v>3451.08</v>
      </c>
      <c r="L1165">
        <v>4100</v>
      </c>
      <c r="M1165">
        <v>8200</v>
      </c>
      <c r="N1165">
        <v>1297.8399999999999</v>
      </c>
      <c r="O1165">
        <v>6902.16</v>
      </c>
      <c r="P1165" t="s">
        <v>26</v>
      </c>
      <c r="Q1165" t="s">
        <v>83</v>
      </c>
      <c r="R1165" t="s">
        <v>36</v>
      </c>
      <c r="S1165" t="str">
        <f>TRIM(PROPER(_xlfn.XLOOKUP(Table1[[#This Row],[ProductID_Clean]],Table3[ProductID],Table3[Category],"Missing Value",0)))</f>
        <v>Services</v>
      </c>
      <c r="T1165" t="str">
        <f>_xlfn.XLOOKUP(Table1[[#This Row],[CustomerID_Check]],Table2[CustomerID],Table2[CustomerType],"Missing Value",0)</f>
        <v>Key Account</v>
      </c>
    </row>
    <row r="1166" spans="1:20">
      <c r="A1166" t="s">
        <v>1422</v>
      </c>
      <c r="B1166" s="1">
        <v>45705</v>
      </c>
      <c r="C1166" t="s">
        <v>197</v>
      </c>
      <c r="D1166" t="str">
        <f>UPPER(Table1[[#This Row],[ProductID_Clean]])</f>
        <v>P-FS-006</v>
      </c>
      <c r="E1166" t="s">
        <v>92</v>
      </c>
      <c r="F1166" t="s">
        <v>58</v>
      </c>
      <c r="G1166" t="str">
        <f>TRIM(Table1[[#This Row],[Region_Clean]])</f>
        <v>APAC</v>
      </c>
      <c r="H1166" t="s">
        <v>82</v>
      </c>
      <c r="I1166" t="s">
        <v>25</v>
      </c>
      <c r="J1166" s="3">
        <v>1</v>
      </c>
      <c r="K1166" s="3">
        <v>1124.8399999999999</v>
      </c>
      <c r="L1166">
        <v>1450</v>
      </c>
      <c r="M1166">
        <v>1450</v>
      </c>
      <c r="N1166">
        <v>325.16000000000003</v>
      </c>
      <c r="O1166">
        <v>1124.8399999999999</v>
      </c>
      <c r="P1166" t="s">
        <v>26</v>
      </c>
      <c r="Q1166" t="s">
        <v>35</v>
      </c>
      <c r="R1166" t="s">
        <v>28</v>
      </c>
      <c r="S1166" t="str">
        <f>TRIM(PROPER(_xlfn.XLOOKUP(Table1[[#This Row],[ProductID_Clean]],Table3[ProductID],Table3[Category],"Missing Value",0)))</f>
        <v>Services</v>
      </c>
      <c r="T1166" t="str">
        <f>_xlfn.XLOOKUP(Table1[[#This Row],[CustomerID_Check]],Table2[CustomerID],Table2[CustomerType],"Missing Value",0)</f>
        <v>Strategic</v>
      </c>
    </row>
    <row r="1167" spans="1:20">
      <c r="A1167" t="s">
        <v>1423</v>
      </c>
      <c r="B1167" s="1">
        <v>45826</v>
      </c>
      <c r="C1167" t="s">
        <v>463</v>
      </c>
      <c r="D1167" t="str">
        <f>UPPER(Table1[[#This Row],[ProductID_Clean]])</f>
        <v>P-SI-001</v>
      </c>
      <c r="E1167" t="s">
        <v>72</v>
      </c>
      <c r="F1167" t="s">
        <v>47</v>
      </c>
      <c r="G1167" t="str">
        <f>TRIM(Table1[[#This Row],[Region_Clean]])</f>
        <v>EMEA</v>
      </c>
      <c r="H1167" t="s">
        <v>24</v>
      </c>
      <c r="I1167" t="s">
        <v>25</v>
      </c>
      <c r="J1167" s="3">
        <v>1</v>
      </c>
      <c r="K1167" s="3">
        <v>447.1</v>
      </c>
      <c r="L1167">
        <v>485</v>
      </c>
      <c r="M1167">
        <v>485</v>
      </c>
      <c r="N1167">
        <v>37.9</v>
      </c>
      <c r="O1167">
        <v>447.1</v>
      </c>
      <c r="P1167" t="s">
        <v>26</v>
      </c>
      <c r="Q1167" t="s">
        <v>35</v>
      </c>
      <c r="R1167" t="s">
        <v>48</v>
      </c>
      <c r="S1167" t="str">
        <f>TRIM(PROPER(_xlfn.XLOOKUP(Table1[[#This Row],[ProductID_Clean]],Table3[ProductID],Table3[Category],"Missing Value",0)))</f>
        <v>Sensors</v>
      </c>
      <c r="T1167" t="str">
        <f>_xlfn.XLOOKUP(Table1[[#This Row],[CustomerID_Check]],Table2[CustomerID],Table2[CustomerType],"Missing Value",0)</f>
        <v>Key Account</v>
      </c>
    </row>
    <row r="1168" spans="1:20">
      <c r="A1168" t="s">
        <v>1424</v>
      </c>
      <c r="B1168" s="1">
        <v>45759</v>
      </c>
      <c r="C1168" t="s">
        <v>135</v>
      </c>
      <c r="D1168" t="str">
        <f>UPPER(Table1[[#This Row],[ProductID_Clean]])</f>
        <v>P-SI-001</v>
      </c>
      <c r="E1168" t="s">
        <v>72</v>
      </c>
      <c r="F1168" t="s">
        <v>58</v>
      </c>
      <c r="G1168" t="str">
        <f>TRIM(Table1[[#This Row],[Region_Clean]])</f>
        <v>APAC</v>
      </c>
      <c r="H1168" t="s">
        <v>24</v>
      </c>
      <c r="I1168" t="s">
        <v>34</v>
      </c>
      <c r="J1168" s="3">
        <v>1</v>
      </c>
      <c r="K1168" s="3">
        <v>361.65</v>
      </c>
      <c r="L1168">
        <v>485</v>
      </c>
      <c r="M1168">
        <v>485</v>
      </c>
      <c r="N1168">
        <v>123.35</v>
      </c>
      <c r="O1168">
        <v>361.65</v>
      </c>
      <c r="P1168" t="s">
        <v>26</v>
      </c>
      <c r="Q1168" t="s">
        <v>35</v>
      </c>
      <c r="R1168" t="s">
        <v>28</v>
      </c>
      <c r="S1168" t="str">
        <f>TRIM(PROPER(_xlfn.XLOOKUP(Table1[[#This Row],[ProductID_Clean]],Table3[ProductID],Table3[Category],"Missing Value",0)))</f>
        <v>Sensors</v>
      </c>
      <c r="T1168" t="str">
        <f>_xlfn.XLOOKUP(Table1[[#This Row],[CustomerID_Check]],Table2[CustomerID],Table2[CustomerType],"Missing Value",0)</f>
        <v>Strategic</v>
      </c>
    </row>
    <row r="1169" spans="1:20">
      <c r="A1169" t="s">
        <v>1425</v>
      </c>
      <c r="B1169" s="1">
        <v>45815</v>
      </c>
      <c r="C1169" t="s">
        <v>611</v>
      </c>
      <c r="D1169" t="str">
        <f>UPPER(Table1[[#This Row],[ProductID_Clean]])</f>
        <v>P-FS-006</v>
      </c>
      <c r="E1169" t="s">
        <v>92</v>
      </c>
      <c r="F1169" t="s">
        <v>47</v>
      </c>
      <c r="G1169" t="str">
        <f>TRIM(Table1[[#This Row],[Region_Clean]])</f>
        <v>EMEA</v>
      </c>
      <c r="H1169" t="s">
        <v>82</v>
      </c>
      <c r="I1169" t="s">
        <v>87</v>
      </c>
      <c r="J1169" s="3">
        <v>1</v>
      </c>
      <c r="K1169" s="3">
        <v>1305.1500000000001</v>
      </c>
      <c r="L1169">
        <v>1450</v>
      </c>
      <c r="M1169">
        <v>1450</v>
      </c>
      <c r="N1169">
        <v>144.85</v>
      </c>
      <c r="O1169">
        <v>1305.1500000000001</v>
      </c>
      <c r="P1169" t="s">
        <v>126</v>
      </c>
      <c r="Q1169" t="s">
        <v>27</v>
      </c>
      <c r="R1169" t="s">
        <v>59</v>
      </c>
      <c r="S1169" t="str">
        <f>TRIM(PROPER(_xlfn.XLOOKUP(Table1[[#This Row],[ProductID_Clean]],Table3[ProductID],Table3[Category],"Missing Value",0)))</f>
        <v>Services</v>
      </c>
      <c r="T1169" t="str">
        <f>_xlfn.XLOOKUP(Table1[[#This Row],[CustomerID_Check]],Table2[CustomerID],Table2[CustomerType],"Missing Value",0)</f>
        <v>Standard</v>
      </c>
    </row>
    <row r="1170" spans="1:20">
      <c r="A1170" t="s">
        <v>1426</v>
      </c>
      <c r="B1170" s="1">
        <v>45773</v>
      </c>
      <c r="C1170" t="s">
        <v>792</v>
      </c>
      <c r="D1170" t="str">
        <f>UPPER(Table1[[#This Row],[ProductID_Clean]])</f>
        <v>P-FS-002</v>
      </c>
      <c r="E1170" t="s">
        <v>81</v>
      </c>
      <c r="F1170" t="s">
        <v>47</v>
      </c>
      <c r="G1170" t="str">
        <f>TRIM(Table1[[#This Row],[Region_Clean]])</f>
        <v>EMEA</v>
      </c>
      <c r="H1170" t="s">
        <v>82</v>
      </c>
      <c r="I1170" t="s">
        <v>25</v>
      </c>
      <c r="J1170" s="3">
        <v>2</v>
      </c>
      <c r="K1170" s="3">
        <v>2210.16</v>
      </c>
      <c r="L1170">
        <v>2400</v>
      </c>
      <c r="M1170">
        <v>4800</v>
      </c>
      <c r="N1170">
        <v>379.68</v>
      </c>
      <c r="O1170">
        <v>4420.32</v>
      </c>
      <c r="P1170" t="s">
        <v>26</v>
      </c>
      <c r="Q1170" t="s">
        <v>94</v>
      </c>
      <c r="R1170" t="s">
        <v>36</v>
      </c>
      <c r="S1170" t="str">
        <f>TRIM(PROPER(_xlfn.XLOOKUP(Table1[[#This Row],[ProductID_Clean]],Table3[ProductID],Table3[Category],"Missing Value",0)))</f>
        <v>Services</v>
      </c>
      <c r="T1170" t="str">
        <f>_xlfn.XLOOKUP(Table1[[#This Row],[CustomerID_Check]],Table2[CustomerID],Table2[CustomerType],"Missing Value",0)</f>
        <v>Standard</v>
      </c>
    </row>
    <row r="1171" spans="1:20">
      <c r="A1171" t="s">
        <v>1427</v>
      </c>
      <c r="B1171" s="1">
        <v>45659</v>
      </c>
      <c r="C1171" t="s">
        <v>259</v>
      </c>
      <c r="D1171" t="str">
        <f>UPPER(Table1[[#This Row],[ProductID_Clean]])</f>
        <v>P-SI-001</v>
      </c>
      <c r="E1171" t="s">
        <v>72</v>
      </c>
      <c r="F1171" t="s">
        <v>23</v>
      </c>
      <c r="G1171" t="str">
        <f>TRIM(Table1[[#This Row],[Region_Clean]])</f>
        <v>N. AMERICA</v>
      </c>
      <c r="H1171" t="s">
        <v>24</v>
      </c>
      <c r="I1171" t="s">
        <v>25</v>
      </c>
      <c r="J1171" s="3">
        <v>2</v>
      </c>
      <c r="K1171" s="3">
        <v>452.56</v>
      </c>
      <c r="L1171">
        <v>485</v>
      </c>
      <c r="M1171">
        <v>970</v>
      </c>
      <c r="N1171">
        <v>64.88</v>
      </c>
      <c r="O1171">
        <v>905.12</v>
      </c>
      <c r="P1171" t="s">
        <v>26</v>
      </c>
      <c r="Q1171" t="s">
        <v>35</v>
      </c>
      <c r="R1171" t="s">
        <v>48</v>
      </c>
      <c r="S1171" t="str">
        <f>TRIM(PROPER(_xlfn.XLOOKUP(Table1[[#This Row],[ProductID_Clean]],Table3[ProductID],Table3[Category],"Missing Value",0)))</f>
        <v>Sensors</v>
      </c>
      <c r="T1171" t="str">
        <f>_xlfn.XLOOKUP(Table1[[#This Row],[CustomerID_Check]],Table2[CustomerID],Table2[CustomerType],"Missing Value",0)</f>
        <v>Standard</v>
      </c>
    </row>
    <row r="1172" spans="1:20">
      <c r="A1172" t="s">
        <v>1428</v>
      </c>
      <c r="B1172" s="1">
        <v>45756</v>
      </c>
      <c r="C1172" t="s">
        <v>563</v>
      </c>
      <c r="D1172" t="str">
        <f>UPPER(Table1[[#This Row],[ProductID_Clean]])</f>
        <v>P-SI-001</v>
      </c>
      <c r="E1172" t="s">
        <v>72</v>
      </c>
      <c r="F1172" t="s">
        <v>23</v>
      </c>
      <c r="G1172" t="str">
        <f>TRIM(Table1[[#This Row],[Region_Clean]])</f>
        <v>N. AMERICA</v>
      </c>
      <c r="H1172" t="s">
        <v>24</v>
      </c>
      <c r="I1172" t="s">
        <v>34</v>
      </c>
      <c r="J1172" s="3">
        <v>4</v>
      </c>
      <c r="K1172" s="3">
        <v>427.57</v>
      </c>
      <c r="L1172">
        <v>485</v>
      </c>
      <c r="M1172">
        <v>1940</v>
      </c>
      <c r="N1172">
        <v>229.72000000000003</v>
      </c>
      <c r="O1172">
        <v>1710.28</v>
      </c>
      <c r="P1172" t="s">
        <v>26</v>
      </c>
      <c r="Q1172" t="s">
        <v>40</v>
      </c>
      <c r="R1172" t="s">
        <v>28</v>
      </c>
      <c r="S1172" t="str">
        <f>TRIM(PROPER(_xlfn.XLOOKUP(Table1[[#This Row],[ProductID_Clean]],Table3[ProductID],Table3[Category],"Missing Value",0)))</f>
        <v>Sensors</v>
      </c>
      <c r="T1172" t="str">
        <f>_xlfn.XLOOKUP(Table1[[#This Row],[CustomerID_Check]],Table2[CustomerID],Table2[CustomerType],"Missing Value",0)</f>
        <v>Standard</v>
      </c>
    </row>
    <row r="1173" spans="1:20">
      <c r="A1173" t="s">
        <v>1429</v>
      </c>
      <c r="B1173" s="1">
        <v>45729</v>
      </c>
      <c r="C1173" t="s">
        <v>165</v>
      </c>
      <c r="D1173" t="str">
        <f>UPPER(Table1[[#This Row],[ProductID_Clean]])</f>
        <v>P-SI-006</v>
      </c>
      <c r="E1173" t="s">
        <v>43</v>
      </c>
      <c r="F1173" t="s">
        <v>47</v>
      </c>
      <c r="G1173" t="str">
        <f>TRIM(Table1[[#This Row],[Region_Clean]])</f>
        <v>EMEA</v>
      </c>
      <c r="H1173" t="s">
        <v>24</v>
      </c>
      <c r="I1173" t="s">
        <v>25</v>
      </c>
      <c r="J1173" s="3">
        <v>3</v>
      </c>
      <c r="K1173" s="3">
        <v>183.43</v>
      </c>
      <c r="L1173">
        <v>215</v>
      </c>
      <c r="M1173">
        <v>645</v>
      </c>
      <c r="N1173">
        <v>94.71</v>
      </c>
      <c r="O1173">
        <v>550.29</v>
      </c>
      <c r="P1173" t="s">
        <v>26</v>
      </c>
      <c r="Q1173" t="s">
        <v>35</v>
      </c>
      <c r="R1173" t="s">
        <v>28</v>
      </c>
      <c r="S1173" t="str">
        <f>TRIM(PROPER(_xlfn.XLOOKUP(Table1[[#This Row],[ProductID_Clean]],Table3[ProductID],Table3[Category],"Missing Value",0)))</f>
        <v>Sensors</v>
      </c>
      <c r="T1173" t="str">
        <f>_xlfn.XLOOKUP(Table1[[#This Row],[CustomerID_Check]],Table2[CustomerID],Table2[CustomerType],"Missing Value",0)</f>
        <v>Key Account</v>
      </c>
    </row>
    <row r="1174" spans="1:20">
      <c r="A1174" t="s">
        <v>1430</v>
      </c>
      <c r="B1174" s="1">
        <v>45803</v>
      </c>
      <c r="C1174" t="s">
        <v>141</v>
      </c>
      <c r="D1174" t="str">
        <f>UPPER(Table1[[#This Row],[ProductID_Clean]])</f>
        <v>P-SI-002</v>
      </c>
      <c r="E1174" t="s">
        <v>31</v>
      </c>
      <c r="F1174" t="s">
        <v>23</v>
      </c>
      <c r="G1174" t="str">
        <f>TRIM(Table1[[#This Row],[Region_Clean]])</f>
        <v>N. AMERICA</v>
      </c>
      <c r="H1174" t="s">
        <v>24</v>
      </c>
      <c r="I1174" t="s">
        <v>98</v>
      </c>
      <c r="J1174" s="3">
        <v>4</v>
      </c>
      <c r="K1174" s="3">
        <v>36.25</v>
      </c>
      <c r="L1174">
        <v>725</v>
      </c>
      <c r="M1174">
        <v>2900</v>
      </c>
      <c r="N1174">
        <v>2755</v>
      </c>
      <c r="O1174">
        <v>145</v>
      </c>
      <c r="P1174" t="s">
        <v>26</v>
      </c>
      <c r="Q1174" t="s">
        <v>27</v>
      </c>
      <c r="R1174" t="s">
        <v>36</v>
      </c>
      <c r="S1174" t="str">
        <f>TRIM(PROPER(_xlfn.XLOOKUP(Table1[[#This Row],[ProductID_Clean]],Table3[ProductID],Table3[Category],"Missing Value",0)))</f>
        <v>Sensors</v>
      </c>
      <c r="T1174" t="str">
        <f>_xlfn.XLOOKUP(Table1[[#This Row],[CustomerID_Check]],Table2[CustomerID],Table2[CustomerType],"Missing Value",0)</f>
        <v>Key Account</v>
      </c>
    </row>
    <row r="1175" spans="1:20">
      <c r="A1175" t="s">
        <v>1431</v>
      </c>
      <c r="B1175" s="1">
        <v>45684</v>
      </c>
      <c r="C1175" t="s">
        <v>143</v>
      </c>
      <c r="D1175" t="str">
        <f>UPPER(Table1[[#This Row],[ProductID_Clean]])</f>
        <v>P-SI-003</v>
      </c>
      <c r="E1175" t="s">
        <v>39</v>
      </c>
      <c r="F1175" t="s">
        <v>23</v>
      </c>
      <c r="G1175" t="str">
        <f>TRIM(Table1[[#This Row],[Region_Clean]])</f>
        <v>N. AMERICA</v>
      </c>
      <c r="H1175" t="s">
        <v>24</v>
      </c>
      <c r="I1175" t="s">
        <v>34</v>
      </c>
      <c r="J1175" s="3">
        <v>5</v>
      </c>
      <c r="K1175" s="3">
        <v>1543.09</v>
      </c>
      <c r="L1175">
        <v>1890</v>
      </c>
      <c r="M1175">
        <v>9450</v>
      </c>
      <c r="N1175">
        <v>1734.55</v>
      </c>
      <c r="O1175">
        <v>7715.45</v>
      </c>
      <c r="P1175" t="s">
        <v>26</v>
      </c>
      <c r="Q1175" t="s">
        <v>35</v>
      </c>
      <c r="R1175" t="s">
        <v>28</v>
      </c>
      <c r="S1175" t="str">
        <f>TRIM(PROPER(_xlfn.XLOOKUP(Table1[[#This Row],[ProductID_Clean]],Table3[ProductID],Table3[Category],"Missing Value",0)))</f>
        <v>Instruments</v>
      </c>
      <c r="T1175" t="str">
        <f>_xlfn.XLOOKUP(Table1[[#This Row],[CustomerID_Check]],Table2[CustomerID],Table2[CustomerType],"Missing Value",0)</f>
        <v>Strategic</v>
      </c>
    </row>
    <row r="1176" spans="1:20">
      <c r="A1176" t="s">
        <v>1432</v>
      </c>
      <c r="B1176" s="1">
        <v>45705</v>
      </c>
      <c r="C1176" t="s">
        <v>190</v>
      </c>
      <c r="D1176" t="str">
        <f>UPPER(Table1[[#This Row],[ProductID_Clean]])</f>
        <v>P-SI-005</v>
      </c>
      <c r="E1176" t="s">
        <v>57</v>
      </c>
      <c r="F1176" t="s">
        <v>47</v>
      </c>
      <c r="G1176" t="str">
        <f>TRIM(Table1[[#This Row],[Region_Clean]])</f>
        <v>EMEA</v>
      </c>
      <c r="H1176" t="s">
        <v>24</v>
      </c>
      <c r="I1176" t="s">
        <v>25</v>
      </c>
      <c r="J1176" s="3">
        <v>8</v>
      </c>
      <c r="K1176" s="3">
        <v>901.96</v>
      </c>
      <c r="L1176">
        <v>1120</v>
      </c>
      <c r="M1176">
        <v>8960</v>
      </c>
      <c r="N1176">
        <v>1744.32</v>
      </c>
      <c r="O1176">
        <v>7215.68</v>
      </c>
      <c r="P1176" t="s">
        <v>26</v>
      </c>
      <c r="Q1176" t="s">
        <v>35</v>
      </c>
      <c r="R1176" t="s">
        <v>36</v>
      </c>
      <c r="S1176" t="str">
        <f>TRIM(PROPER(_xlfn.XLOOKUP(Table1[[#This Row],[ProductID_Clean]],Table3[ProductID],Table3[Category],"Missing Value",0)))</f>
        <v>Sensors</v>
      </c>
      <c r="T1176" t="str">
        <f>_xlfn.XLOOKUP(Table1[[#This Row],[CustomerID_Check]],Table2[CustomerID],Table2[CustomerType],"Missing Value",0)</f>
        <v>Strategic</v>
      </c>
    </row>
    <row r="1177" spans="1:20">
      <c r="A1177" t="s">
        <v>1433</v>
      </c>
      <c r="B1177" s="1">
        <v>45741</v>
      </c>
      <c r="C1177" t="s">
        <v>185</v>
      </c>
      <c r="D1177" t="str">
        <f>UPPER(Table1[[#This Row],[ProductID_Clean]])</f>
        <v>P-SI-001</v>
      </c>
      <c r="E1177" t="s">
        <v>72</v>
      </c>
      <c r="F1177" t="s">
        <v>23</v>
      </c>
      <c r="G1177" t="str">
        <f>TRIM(Table1[[#This Row],[Region_Clean]])</f>
        <v>N. AMERICA</v>
      </c>
      <c r="H1177" t="s">
        <v>24</v>
      </c>
      <c r="I1177" t="s">
        <v>34</v>
      </c>
      <c r="J1177" s="3">
        <v>2</v>
      </c>
      <c r="K1177" s="3">
        <v>428.25</v>
      </c>
      <c r="L1177">
        <v>485</v>
      </c>
      <c r="M1177">
        <v>970</v>
      </c>
      <c r="N1177">
        <v>113.5</v>
      </c>
      <c r="O1177">
        <v>856.5</v>
      </c>
      <c r="P1177" t="s">
        <v>26</v>
      </c>
      <c r="Q1177" t="s">
        <v>35</v>
      </c>
      <c r="R1177" t="s">
        <v>59</v>
      </c>
      <c r="S1177" t="str">
        <f>TRIM(PROPER(_xlfn.XLOOKUP(Table1[[#This Row],[ProductID_Clean]],Table3[ProductID],Table3[Category],"Missing Value",0)))</f>
        <v>Sensors</v>
      </c>
      <c r="T1177" t="str">
        <f>_xlfn.XLOOKUP(Table1[[#This Row],[CustomerID_Check]],Table2[CustomerID],Table2[CustomerType],"Missing Value",0)</f>
        <v>Standard</v>
      </c>
    </row>
    <row r="1178" spans="1:20">
      <c r="A1178" t="s">
        <v>1434</v>
      </c>
      <c r="B1178" s="1">
        <v>45783</v>
      </c>
      <c r="C1178" t="s">
        <v>61</v>
      </c>
      <c r="D1178" t="str">
        <f>UPPER(Table1[[#This Row],[ProductID_Clean]])</f>
        <v>P-FS-001</v>
      </c>
      <c r="E1178" t="s">
        <v>133</v>
      </c>
      <c r="F1178" t="s">
        <v>47</v>
      </c>
      <c r="G1178" t="str">
        <f>TRIM(Table1[[#This Row],[Region_Clean]])</f>
        <v>EMEA</v>
      </c>
      <c r="H1178" t="s">
        <v>82</v>
      </c>
      <c r="I1178" t="s">
        <v>87</v>
      </c>
      <c r="J1178" s="3">
        <v>1</v>
      </c>
      <c r="K1178" s="3">
        <v>1342.24</v>
      </c>
      <c r="L1178">
        <v>1850</v>
      </c>
      <c r="M1178">
        <v>1850</v>
      </c>
      <c r="N1178">
        <v>507.76</v>
      </c>
      <c r="O1178">
        <v>1342.24</v>
      </c>
      <c r="P1178" t="s">
        <v>26</v>
      </c>
      <c r="Q1178" t="s">
        <v>27</v>
      </c>
      <c r="R1178" t="s">
        <v>48</v>
      </c>
      <c r="S1178" t="str">
        <f>TRIM(PROPER(_xlfn.XLOOKUP(Table1[[#This Row],[ProductID_Clean]],Table3[ProductID],Table3[Category],"Missing Value",0)))</f>
        <v>Services</v>
      </c>
      <c r="T1178" t="str">
        <f>_xlfn.XLOOKUP(Table1[[#This Row],[CustomerID_Check]],Table2[CustomerID],Table2[CustomerType],"Missing Value",0)</f>
        <v>Strategic</v>
      </c>
    </row>
    <row r="1179" spans="1:20">
      <c r="A1179" t="s">
        <v>1435</v>
      </c>
      <c r="B1179" s="1">
        <v>45821</v>
      </c>
      <c r="C1179" t="s">
        <v>541</v>
      </c>
      <c r="D1179" t="str">
        <f>UPPER(Table1[[#This Row],[ProductID_Clean]])</f>
        <v>P-FS-006</v>
      </c>
      <c r="E1179" t="s">
        <v>92</v>
      </c>
      <c r="F1179" t="s">
        <v>23</v>
      </c>
      <c r="G1179" t="str">
        <f>TRIM(Table1[[#This Row],[Region_Clean]])</f>
        <v>N. AMERICA</v>
      </c>
      <c r="H1179" t="s">
        <v>82</v>
      </c>
      <c r="I1179" t="s">
        <v>25</v>
      </c>
      <c r="J1179" s="3">
        <v>1</v>
      </c>
      <c r="K1179" s="3">
        <v>1421.7</v>
      </c>
      <c r="L1179">
        <v>1450</v>
      </c>
      <c r="M1179">
        <v>1450</v>
      </c>
      <c r="N1179">
        <v>28.3</v>
      </c>
      <c r="O1179">
        <v>1421.7</v>
      </c>
      <c r="P1179" t="s">
        <v>26</v>
      </c>
      <c r="Q1179" t="s">
        <v>27</v>
      </c>
      <c r="R1179" t="s">
        <v>48</v>
      </c>
      <c r="S1179" t="str">
        <f>TRIM(PROPER(_xlfn.XLOOKUP(Table1[[#This Row],[ProductID_Clean]],Table3[ProductID],Table3[Category],"Missing Value",0)))</f>
        <v>Services</v>
      </c>
      <c r="T1179" t="str">
        <f>_xlfn.XLOOKUP(Table1[[#This Row],[CustomerID_Check]],Table2[CustomerID],Table2[CustomerType],"Missing Value",0)</f>
        <v>Standard</v>
      </c>
    </row>
    <row r="1180" spans="1:20">
      <c r="A1180" t="s">
        <v>1436</v>
      </c>
      <c r="B1180" s="1">
        <v>45810</v>
      </c>
      <c r="C1180" t="s">
        <v>488</v>
      </c>
      <c r="D1180" t="str">
        <f>UPPER(Table1[[#This Row],[ProductID_Clean]])</f>
        <v>P-SI-007</v>
      </c>
      <c r="E1180" t="s">
        <v>97</v>
      </c>
      <c r="F1180" t="s">
        <v>32</v>
      </c>
      <c r="G1180" t="str">
        <f>TRIM(Table1[[#This Row],[Region_Clean]])</f>
        <v>LATIN AMERICA</v>
      </c>
      <c r="H1180" t="s">
        <v>24</v>
      </c>
      <c r="I1180" t="s">
        <v>25</v>
      </c>
      <c r="J1180" s="3">
        <v>5</v>
      </c>
      <c r="K1180" s="3">
        <v>803.12</v>
      </c>
      <c r="L1180">
        <v>980</v>
      </c>
      <c r="M1180">
        <v>4900</v>
      </c>
      <c r="N1180">
        <v>884.4</v>
      </c>
      <c r="O1180">
        <v>4015.6</v>
      </c>
      <c r="P1180" t="s">
        <v>26</v>
      </c>
      <c r="Q1180" t="s">
        <v>27</v>
      </c>
      <c r="R1180" t="s">
        <v>36</v>
      </c>
      <c r="S1180" t="str">
        <f>TRIM(PROPER(_xlfn.XLOOKUP(Table1[[#This Row],[ProductID_Clean]],Table3[ProductID],Table3[Category],"Missing Value",0)))</f>
        <v>Sensors</v>
      </c>
      <c r="T1180" t="str">
        <f>_xlfn.XLOOKUP(Table1[[#This Row],[CustomerID_Check]],Table2[CustomerID],Table2[CustomerType],"Missing Value",0)</f>
        <v>Strategic</v>
      </c>
    </row>
    <row r="1181" spans="1:20">
      <c r="A1181" t="s">
        <v>1437</v>
      </c>
      <c r="B1181" s="1">
        <v>45814</v>
      </c>
      <c r="C1181" t="s">
        <v>225</v>
      </c>
      <c r="D1181" t="str">
        <f>UPPER(Table1[[#This Row],[ProductID_Clean]])</f>
        <v>P-FS-003</v>
      </c>
      <c r="E1181" t="s">
        <v>216</v>
      </c>
      <c r="F1181" t="s">
        <v>23</v>
      </c>
      <c r="G1181" t="str">
        <f>TRIM(Table1[[#This Row],[Region_Clean]])</f>
        <v>N. AMERICA</v>
      </c>
      <c r="H1181" t="s">
        <v>82</v>
      </c>
      <c r="I1181" t="s">
        <v>34</v>
      </c>
      <c r="J1181" s="3">
        <v>1</v>
      </c>
      <c r="K1181" s="3">
        <v>3475.35</v>
      </c>
      <c r="L1181">
        <v>4100</v>
      </c>
      <c r="M1181">
        <v>4100</v>
      </c>
      <c r="N1181">
        <v>624.65</v>
      </c>
      <c r="O1181">
        <v>3475.35</v>
      </c>
      <c r="P1181" t="s">
        <v>26</v>
      </c>
      <c r="Q1181" t="s">
        <v>94</v>
      </c>
      <c r="R1181" t="s">
        <v>36</v>
      </c>
      <c r="S1181" t="str">
        <f>TRIM(PROPER(_xlfn.XLOOKUP(Table1[[#This Row],[ProductID_Clean]],Table3[ProductID],Table3[Category],"Missing Value",0)))</f>
        <v>Services</v>
      </c>
      <c r="T1181" t="str">
        <f>_xlfn.XLOOKUP(Table1[[#This Row],[CustomerID_Check]],Table2[CustomerID],Table2[CustomerType],"Missing Value",0)</f>
        <v>Key Account</v>
      </c>
    </row>
    <row r="1182" spans="1:20">
      <c r="A1182" t="s">
        <v>1438</v>
      </c>
      <c r="B1182" s="1">
        <v>45775</v>
      </c>
      <c r="C1182" t="s">
        <v>100</v>
      </c>
      <c r="D1182" t="str">
        <f>UPPER(Table1[[#This Row],[ProductID_Clean]])</f>
        <v>P-SI-003</v>
      </c>
      <c r="E1182" t="s">
        <v>39</v>
      </c>
      <c r="F1182" t="s">
        <v>47</v>
      </c>
      <c r="G1182" t="str">
        <f>TRIM(Table1[[#This Row],[Region_Clean]])</f>
        <v>EMEA</v>
      </c>
      <c r="H1182" t="s">
        <v>24</v>
      </c>
      <c r="I1182" t="s">
        <v>87</v>
      </c>
      <c r="J1182" s="3">
        <v>1</v>
      </c>
      <c r="K1182" s="3">
        <v>1499.64</v>
      </c>
      <c r="L1182">
        <v>1890</v>
      </c>
      <c r="M1182">
        <v>1890</v>
      </c>
      <c r="N1182">
        <v>390.36</v>
      </c>
      <c r="O1182">
        <v>1499.64</v>
      </c>
      <c r="P1182" t="s">
        <v>26</v>
      </c>
      <c r="Q1182" t="s">
        <v>35</v>
      </c>
      <c r="R1182" t="s">
        <v>36</v>
      </c>
      <c r="S1182" t="str">
        <f>TRIM(PROPER(_xlfn.XLOOKUP(Table1[[#This Row],[ProductID_Clean]],Table3[ProductID],Table3[Category],"Missing Value",0)))</f>
        <v>Instruments</v>
      </c>
      <c r="T1182" t="str">
        <f>_xlfn.XLOOKUP(Table1[[#This Row],[CustomerID_Check]],Table2[CustomerID],Table2[CustomerType],"Missing Value",0)</f>
        <v>Strategic</v>
      </c>
    </row>
    <row r="1183" spans="1:20">
      <c r="A1183" t="s">
        <v>1439</v>
      </c>
      <c r="B1183" s="1">
        <v>45838</v>
      </c>
      <c r="C1183" t="s">
        <v>61</v>
      </c>
      <c r="D1183" t="str">
        <f>UPPER(Table1[[#This Row],[ProductID_Clean]])</f>
        <v>P-SI-002</v>
      </c>
      <c r="E1183" t="s">
        <v>31</v>
      </c>
      <c r="F1183" t="s">
        <v>47</v>
      </c>
      <c r="G1183" t="str">
        <f>TRIM(Table1[[#This Row],[Region_Clean]])</f>
        <v>EMEA</v>
      </c>
      <c r="H1183" t="s">
        <v>24</v>
      </c>
      <c r="I1183" t="s">
        <v>25</v>
      </c>
      <c r="J1183" s="3">
        <v>8</v>
      </c>
      <c r="K1183" s="3">
        <v>596.62</v>
      </c>
      <c r="L1183">
        <v>725</v>
      </c>
      <c r="M1183">
        <v>5800</v>
      </c>
      <c r="N1183">
        <v>1027.04</v>
      </c>
      <c r="O1183">
        <v>4772.96</v>
      </c>
      <c r="P1183" t="s">
        <v>26</v>
      </c>
      <c r="Q1183" t="s">
        <v>65</v>
      </c>
      <c r="R1183" t="s">
        <v>48</v>
      </c>
      <c r="S1183" t="str">
        <f>TRIM(PROPER(_xlfn.XLOOKUP(Table1[[#This Row],[ProductID_Clean]],Table3[ProductID],Table3[Category],"Missing Value",0)))</f>
        <v>Sensors</v>
      </c>
      <c r="T1183" t="str">
        <f>_xlfn.XLOOKUP(Table1[[#This Row],[CustomerID_Check]],Table2[CustomerID],Table2[CustomerType],"Missing Value",0)</f>
        <v>Strategic</v>
      </c>
    </row>
    <row r="1184" spans="1:20">
      <c r="A1184" t="s">
        <v>1440</v>
      </c>
      <c r="B1184" s="1">
        <v>45809</v>
      </c>
      <c r="C1184" t="s">
        <v>272</v>
      </c>
      <c r="D1184" t="str">
        <f>UPPER(Table1[[#This Row],[ProductID_Clean]])</f>
        <v>P-SI-006</v>
      </c>
      <c r="E1184" t="s">
        <v>43</v>
      </c>
      <c r="F1184" t="s">
        <v>47</v>
      </c>
      <c r="G1184" t="str">
        <f>TRIM(Table1[[#This Row],[Region_Clean]])</f>
        <v>EMEA</v>
      </c>
      <c r="H1184" t="s">
        <v>24</v>
      </c>
      <c r="I1184" t="s">
        <v>87</v>
      </c>
      <c r="J1184" s="3">
        <v>2</v>
      </c>
      <c r="K1184" s="3">
        <v>150.22999999999999</v>
      </c>
      <c r="L1184">
        <v>215</v>
      </c>
      <c r="M1184">
        <v>430</v>
      </c>
      <c r="N1184">
        <v>129.54</v>
      </c>
      <c r="O1184">
        <v>300.45999999999998</v>
      </c>
      <c r="P1184" t="s">
        <v>26</v>
      </c>
      <c r="Q1184" t="s">
        <v>35</v>
      </c>
      <c r="R1184" t="s">
        <v>36</v>
      </c>
      <c r="S1184" t="str">
        <f>TRIM(PROPER(_xlfn.XLOOKUP(Table1[[#This Row],[ProductID_Clean]],Table3[ProductID],Table3[Category],"Missing Value",0)))</f>
        <v>Sensors</v>
      </c>
      <c r="T1184" t="str">
        <f>_xlfn.XLOOKUP(Table1[[#This Row],[CustomerID_Check]],Table2[CustomerID],Table2[CustomerType],"Missing Value",0)</f>
        <v>Key Account</v>
      </c>
    </row>
    <row r="1185" spans="1:20">
      <c r="A1185" t="s">
        <v>1441</v>
      </c>
      <c r="B1185" s="1">
        <v>45830</v>
      </c>
      <c r="C1185" t="s">
        <v>288</v>
      </c>
      <c r="D1185" t="str">
        <f>UPPER(Table1[[#This Row],[ProductID_Clean]])</f>
        <v>P-SI-002</v>
      </c>
      <c r="E1185" t="s">
        <v>31</v>
      </c>
      <c r="F1185" t="s">
        <v>23</v>
      </c>
      <c r="G1185" t="str">
        <f>TRIM(Table1[[#This Row],[Region_Clean]])</f>
        <v>N. AMERICA</v>
      </c>
      <c r="H1185" t="s">
        <v>24</v>
      </c>
      <c r="I1185" t="s">
        <v>87</v>
      </c>
      <c r="J1185" s="3">
        <v>5</v>
      </c>
      <c r="K1185" s="3">
        <v>572.71</v>
      </c>
      <c r="L1185">
        <v>725</v>
      </c>
      <c r="M1185">
        <v>3625</v>
      </c>
      <c r="N1185">
        <v>761.45</v>
      </c>
      <c r="O1185">
        <v>2863.55</v>
      </c>
      <c r="P1185" t="s">
        <v>26</v>
      </c>
      <c r="Q1185" t="s">
        <v>35</v>
      </c>
      <c r="R1185" t="s">
        <v>59</v>
      </c>
      <c r="S1185" t="str">
        <f>TRIM(PROPER(_xlfn.XLOOKUP(Table1[[#This Row],[ProductID_Clean]],Table3[ProductID],Table3[Category],"Missing Value",0)))</f>
        <v>Sensors</v>
      </c>
      <c r="T1185" t="str">
        <f>_xlfn.XLOOKUP(Table1[[#This Row],[CustomerID_Check]],Table2[CustomerID],Table2[CustomerType],"Missing Value",0)</f>
        <v>Key Account</v>
      </c>
    </row>
    <row r="1186" spans="1:20">
      <c r="A1186" t="s">
        <v>1442</v>
      </c>
      <c r="B1186" s="1">
        <v>45738</v>
      </c>
      <c r="C1186" t="s">
        <v>218</v>
      </c>
      <c r="D1186" t="str">
        <f>UPPER(Table1[[#This Row],[ProductID_Clean]])</f>
        <v>P-SA-003</v>
      </c>
      <c r="E1186" t="s">
        <v>51</v>
      </c>
      <c r="F1186" t="s">
        <v>23</v>
      </c>
      <c r="G1186" t="str">
        <f>TRIM(Table1[[#This Row],[Region_Clean]])</f>
        <v>N. AMERICA</v>
      </c>
      <c r="H1186" t="s">
        <v>53</v>
      </c>
      <c r="I1186" t="s">
        <v>87</v>
      </c>
      <c r="J1186" s="3">
        <v>1</v>
      </c>
      <c r="K1186" s="3">
        <v>2309.13</v>
      </c>
      <c r="L1186">
        <v>2750</v>
      </c>
      <c r="M1186">
        <v>2750</v>
      </c>
      <c r="N1186">
        <v>440.87</v>
      </c>
      <c r="O1186">
        <v>2309.13</v>
      </c>
      <c r="P1186" t="s">
        <v>26</v>
      </c>
      <c r="Q1186" t="s">
        <v>88</v>
      </c>
      <c r="R1186" t="s">
        <v>59</v>
      </c>
      <c r="S1186" t="str">
        <f>TRIM(PROPER(_xlfn.XLOOKUP(Table1[[#This Row],[ProductID_Clean]],Table3[ProductID],Table3[Category],"Missing Value",0)))</f>
        <v>Software</v>
      </c>
      <c r="T1186" t="str">
        <f>_xlfn.XLOOKUP(Table1[[#This Row],[CustomerID_Check]],Table2[CustomerID],Table2[CustomerType],"Missing Value",0)</f>
        <v>Standard</v>
      </c>
    </row>
    <row r="1187" spans="1:20">
      <c r="A1187" t="s">
        <v>1443</v>
      </c>
      <c r="B1187" s="1">
        <v>45719</v>
      </c>
      <c r="C1187" t="s">
        <v>370</v>
      </c>
      <c r="D1187" t="str">
        <f>UPPER(Table1[[#This Row],[ProductID_Clean]])</f>
        <v>P-SA-001</v>
      </c>
      <c r="E1187" t="s">
        <v>68</v>
      </c>
      <c r="F1187" t="s">
        <v>58</v>
      </c>
      <c r="G1187" t="str">
        <f>TRIM(Table1[[#This Row],[Region_Clean]])</f>
        <v>APAC</v>
      </c>
      <c r="H1187" t="s">
        <v>53</v>
      </c>
      <c r="I1187" t="s">
        <v>25</v>
      </c>
      <c r="J1187" s="3">
        <v>1</v>
      </c>
      <c r="K1187" s="3">
        <v>3781.44</v>
      </c>
      <c r="L1187">
        <v>4200</v>
      </c>
      <c r="M1187">
        <v>4200</v>
      </c>
      <c r="N1187">
        <v>418.56</v>
      </c>
      <c r="O1187">
        <v>3781.44</v>
      </c>
      <c r="P1187" t="s">
        <v>26</v>
      </c>
      <c r="Q1187" t="s">
        <v>54</v>
      </c>
      <c r="R1187" t="s">
        <v>59</v>
      </c>
      <c r="S1187" t="str">
        <f>TRIM(PROPER(_xlfn.XLOOKUP(Table1[[#This Row],[ProductID_Clean]],Table3[ProductID],Table3[Category],"Missing Value",0)))</f>
        <v>Software</v>
      </c>
      <c r="T1187" t="str">
        <f>_xlfn.XLOOKUP(Table1[[#This Row],[CustomerID_Check]],Table2[CustomerID],Table2[CustomerType],"Missing Value",0)</f>
        <v>Standard</v>
      </c>
    </row>
    <row r="1188" spans="1:20">
      <c r="A1188" t="s">
        <v>1444</v>
      </c>
      <c r="B1188" s="1">
        <v>45687</v>
      </c>
      <c r="C1188" t="s">
        <v>178</v>
      </c>
      <c r="D1188" t="str">
        <f>UPPER(Table1[[#This Row],[ProductID_Clean]])</f>
        <v>P-SA-001</v>
      </c>
      <c r="E1188" t="s">
        <v>68</v>
      </c>
      <c r="F1188" t="s">
        <v>23</v>
      </c>
      <c r="G1188" t="str">
        <f>TRIM(Table1[[#This Row],[Region_Clean]])</f>
        <v>N. AMERICA</v>
      </c>
      <c r="H1188" t="s">
        <v>53</v>
      </c>
      <c r="I1188" t="s">
        <v>87</v>
      </c>
      <c r="J1188" s="3">
        <v>1</v>
      </c>
      <c r="K1188" s="3">
        <v>3160.94</v>
      </c>
      <c r="L1188">
        <v>4200</v>
      </c>
      <c r="M1188">
        <v>4200</v>
      </c>
      <c r="N1188">
        <v>1039.06</v>
      </c>
      <c r="O1188">
        <v>3160.94</v>
      </c>
      <c r="P1188" t="s">
        <v>26</v>
      </c>
      <c r="Q1188" t="s">
        <v>40</v>
      </c>
      <c r="R1188" t="s">
        <v>28</v>
      </c>
      <c r="S1188" t="str">
        <f>TRIM(PROPER(_xlfn.XLOOKUP(Table1[[#This Row],[ProductID_Clean]],Table3[ProductID],Table3[Category],"Missing Value",0)))</f>
        <v>Software</v>
      </c>
      <c r="T1188" t="str">
        <f>_xlfn.XLOOKUP(Table1[[#This Row],[CustomerID_Check]],Table2[CustomerID],Table2[CustomerType],"Missing Value",0)</f>
        <v>Key Account</v>
      </c>
    </row>
    <row r="1189" spans="1:20">
      <c r="A1189" t="s">
        <v>1445</v>
      </c>
      <c r="B1189" s="1">
        <v>45761</v>
      </c>
      <c r="C1189" t="s">
        <v>204</v>
      </c>
      <c r="D1189" t="str">
        <f>UPPER(Table1[[#This Row],[ProductID_Clean]])</f>
        <v>P-SI-004</v>
      </c>
      <c r="E1189" t="s">
        <v>22</v>
      </c>
      <c r="F1189" t="s">
        <v>47</v>
      </c>
      <c r="G1189" t="str">
        <f>TRIM(Table1[[#This Row],[Region_Clean]])</f>
        <v>EMEA</v>
      </c>
      <c r="H1189" t="s">
        <v>24</v>
      </c>
      <c r="I1189" t="s">
        <v>25</v>
      </c>
      <c r="J1189" s="3">
        <v>5</v>
      </c>
      <c r="K1189" s="3">
        <v>2304.71</v>
      </c>
      <c r="L1189">
        <v>2450</v>
      </c>
      <c r="M1189">
        <v>12250</v>
      </c>
      <c r="N1189">
        <v>726.45000000000073</v>
      </c>
      <c r="O1189">
        <v>11523.55</v>
      </c>
      <c r="P1189" t="s">
        <v>26</v>
      </c>
      <c r="Q1189" t="s">
        <v>35</v>
      </c>
      <c r="R1189" t="s">
        <v>48</v>
      </c>
      <c r="S1189" t="str">
        <f>TRIM(PROPER(_xlfn.XLOOKUP(Table1[[#This Row],[ProductID_Clean]],Table3[ProductID],Table3[Category],"Missing Value",0)))</f>
        <v>Instruments</v>
      </c>
      <c r="T1189" t="str">
        <f>_xlfn.XLOOKUP(Table1[[#This Row],[CustomerID_Check]],Table2[CustomerID],Table2[CustomerType],"Missing Value",0)</f>
        <v>Standard</v>
      </c>
    </row>
    <row r="1190" spans="1:20">
      <c r="A1190" t="s">
        <v>1446</v>
      </c>
      <c r="B1190" s="1">
        <v>45757</v>
      </c>
      <c r="C1190" t="s">
        <v>172</v>
      </c>
      <c r="D1190" t="str">
        <f>UPPER(Table1[[#This Row],[ProductID_Clean]])</f>
        <v>P-SI-008</v>
      </c>
      <c r="E1190" t="s">
        <v>152</v>
      </c>
      <c r="F1190" t="s">
        <v>23</v>
      </c>
      <c r="G1190" t="str">
        <f>TRIM(Table1[[#This Row],[Region_Clean]])</f>
        <v>N. AMERICA</v>
      </c>
      <c r="H1190" t="s">
        <v>24</v>
      </c>
      <c r="I1190" t="s">
        <v>25</v>
      </c>
      <c r="J1190" s="3">
        <v>2</v>
      </c>
      <c r="K1190" s="3">
        <v>897.3</v>
      </c>
      <c r="L1190">
        <v>950</v>
      </c>
      <c r="M1190">
        <v>1900</v>
      </c>
      <c r="N1190">
        <v>105.4</v>
      </c>
      <c r="O1190">
        <v>1794.6</v>
      </c>
      <c r="P1190" t="s">
        <v>26</v>
      </c>
      <c r="Q1190" t="s">
        <v>35</v>
      </c>
      <c r="R1190" t="s">
        <v>36</v>
      </c>
      <c r="S1190" t="str">
        <f>TRIM(PROPER(_xlfn.XLOOKUP(Table1[[#This Row],[ProductID_Clean]],Table3[ProductID],Table3[Category],"Missing Value",0)))</f>
        <v>Instruments</v>
      </c>
      <c r="T1190" t="str">
        <f>_xlfn.XLOOKUP(Table1[[#This Row],[CustomerID_Check]],Table2[CustomerID],Table2[CustomerType],"Missing Value",0)</f>
        <v>Key Account</v>
      </c>
    </row>
    <row r="1191" spans="1:20">
      <c r="A1191" t="s">
        <v>1447</v>
      </c>
      <c r="B1191" s="1">
        <v>45715</v>
      </c>
      <c r="C1191" t="s">
        <v>61</v>
      </c>
      <c r="D1191" t="str">
        <f>UPPER(Table1[[#This Row],[ProductID_Clean]])</f>
        <v>P-SI-005</v>
      </c>
      <c r="E1191" t="s">
        <v>57</v>
      </c>
      <c r="F1191" t="s">
        <v>47</v>
      </c>
      <c r="G1191" t="str">
        <f>TRIM(Table1[[#This Row],[Region_Clean]])</f>
        <v>EMEA</v>
      </c>
      <c r="H1191" t="s">
        <v>24</v>
      </c>
      <c r="I1191" t="s">
        <v>25</v>
      </c>
      <c r="J1191" s="3">
        <v>5</v>
      </c>
      <c r="K1191" s="3">
        <v>905.94</v>
      </c>
      <c r="L1191">
        <v>1120</v>
      </c>
      <c r="M1191">
        <v>5600</v>
      </c>
      <c r="N1191">
        <v>1070.3000000000002</v>
      </c>
      <c r="O1191">
        <v>4529.7</v>
      </c>
      <c r="P1191" t="s">
        <v>26</v>
      </c>
      <c r="Q1191" t="s">
        <v>65</v>
      </c>
      <c r="R1191" t="s">
        <v>48</v>
      </c>
      <c r="S1191" t="str">
        <f>TRIM(PROPER(_xlfn.XLOOKUP(Table1[[#This Row],[ProductID_Clean]],Table3[ProductID],Table3[Category],"Missing Value",0)))</f>
        <v>Sensors</v>
      </c>
      <c r="T1191" t="str">
        <f>_xlfn.XLOOKUP(Table1[[#This Row],[CustomerID_Check]],Table2[CustomerID],Table2[CustomerType],"Missing Value",0)</f>
        <v>Strategic</v>
      </c>
    </row>
    <row r="1192" spans="1:20">
      <c r="A1192" t="s">
        <v>1448</v>
      </c>
      <c r="B1192" s="1">
        <v>45805</v>
      </c>
      <c r="C1192" t="s">
        <v>89</v>
      </c>
      <c r="D1192" t="str">
        <f>UPPER(Table1[[#This Row],[ProductID_Clean]])</f>
        <v>P-FS-002</v>
      </c>
      <c r="E1192" t="s">
        <v>81</v>
      </c>
      <c r="F1192" t="s">
        <v>58</v>
      </c>
      <c r="G1192" t="str">
        <f>TRIM(Table1[[#This Row],[Region_Clean]])</f>
        <v>APAC</v>
      </c>
      <c r="H1192" t="s">
        <v>82</v>
      </c>
      <c r="I1192" t="s">
        <v>87</v>
      </c>
      <c r="J1192" s="3">
        <v>1</v>
      </c>
      <c r="K1192" s="3">
        <v>1594.84</v>
      </c>
      <c r="L1192">
        <v>2400</v>
      </c>
      <c r="M1192">
        <v>2400</v>
      </c>
      <c r="N1192">
        <v>805.16</v>
      </c>
      <c r="O1192">
        <v>1594.84</v>
      </c>
      <c r="P1192" t="s">
        <v>26</v>
      </c>
      <c r="Q1192" t="s">
        <v>94</v>
      </c>
      <c r="R1192" t="s">
        <v>44</v>
      </c>
      <c r="S1192" t="str">
        <f>TRIM(PROPER(_xlfn.XLOOKUP(Table1[[#This Row],[ProductID_Clean]],Table3[ProductID],Table3[Category],"Missing Value",0)))</f>
        <v>Services</v>
      </c>
      <c r="T1192" t="str">
        <f>_xlfn.XLOOKUP(Table1[[#This Row],[CustomerID_Check]],Table2[CustomerID],Table2[CustomerType],"Missing Value",0)</f>
        <v>Strategic</v>
      </c>
    </row>
    <row r="1193" spans="1:20">
      <c r="A1193" t="s">
        <v>1449</v>
      </c>
      <c r="B1193" s="1">
        <v>45782</v>
      </c>
      <c r="C1193" t="s">
        <v>677</v>
      </c>
      <c r="D1193" t="str">
        <f>UPPER(Table1[[#This Row],[ProductID_Clean]])</f>
        <v>P-FS-002</v>
      </c>
      <c r="E1193" t="s">
        <v>81</v>
      </c>
      <c r="F1193" t="s">
        <v>32</v>
      </c>
      <c r="G1193" t="str">
        <f>TRIM(Table1[[#This Row],[Region_Clean]])</f>
        <v>LATIN AMERICA</v>
      </c>
      <c r="H1193" t="s">
        <v>82</v>
      </c>
      <c r="I1193" t="s">
        <v>25</v>
      </c>
      <c r="J1193" s="3">
        <v>1</v>
      </c>
      <c r="K1193" s="3">
        <v>2187.4</v>
      </c>
      <c r="L1193">
        <v>2400</v>
      </c>
      <c r="M1193">
        <v>2400</v>
      </c>
      <c r="N1193">
        <v>212.6</v>
      </c>
      <c r="O1193">
        <v>2187.4</v>
      </c>
      <c r="P1193" t="s">
        <v>26</v>
      </c>
      <c r="Q1193" t="s">
        <v>94</v>
      </c>
      <c r="R1193" t="s">
        <v>48</v>
      </c>
      <c r="S1193" t="str">
        <f>TRIM(PROPER(_xlfn.XLOOKUP(Table1[[#This Row],[ProductID_Clean]],Table3[ProductID],Table3[Category],"Missing Value",0)))</f>
        <v>Services</v>
      </c>
      <c r="T1193" t="str">
        <f>_xlfn.XLOOKUP(Table1[[#This Row],[CustomerID_Check]],Table2[CustomerID],Table2[CustomerType],"Missing Value",0)</f>
        <v>Standard</v>
      </c>
    </row>
    <row r="1194" spans="1:20">
      <c r="A1194" t="s">
        <v>1450</v>
      </c>
      <c r="B1194" s="1">
        <v>45795</v>
      </c>
      <c r="C1194" t="s">
        <v>457</v>
      </c>
      <c r="D1194" t="str">
        <f>UPPER(Table1[[#This Row],[ProductID_Clean]])</f>
        <v>P-SI-008</v>
      </c>
      <c r="E1194" t="s">
        <v>152</v>
      </c>
      <c r="F1194" t="s">
        <v>23</v>
      </c>
      <c r="G1194" t="str">
        <f>TRIM(Table1[[#This Row],[Region_Clean]])</f>
        <v>N. AMERICA</v>
      </c>
      <c r="H1194" t="s">
        <v>24</v>
      </c>
      <c r="I1194" t="s">
        <v>184</v>
      </c>
      <c r="J1194" s="3">
        <v>1</v>
      </c>
      <c r="K1194" s="3">
        <v>743.39</v>
      </c>
      <c r="L1194">
        <v>950</v>
      </c>
      <c r="M1194">
        <v>950</v>
      </c>
      <c r="N1194">
        <v>206.61</v>
      </c>
      <c r="O1194">
        <v>743.39</v>
      </c>
      <c r="P1194" t="s">
        <v>26</v>
      </c>
      <c r="Q1194" t="s">
        <v>27</v>
      </c>
      <c r="R1194" t="s">
        <v>28</v>
      </c>
      <c r="S1194" t="str">
        <f>TRIM(PROPER(_xlfn.XLOOKUP(Table1[[#This Row],[ProductID_Clean]],Table3[ProductID],Table3[Category],"Missing Value",0)))</f>
        <v>Instruments</v>
      </c>
      <c r="T1194" t="str">
        <f>_xlfn.XLOOKUP(Table1[[#This Row],[CustomerID_Check]],Table2[CustomerID],Table2[CustomerType],"Missing Value",0)</f>
        <v>Key Account</v>
      </c>
    </row>
    <row r="1195" spans="1:20">
      <c r="A1195" t="s">
        <v>1451</v>
      </c>
      <c r="B1195" s="1">
        <v>45823</v>
      </c>
      <c r="C1195" t="s">
        <v>745</v>
      </c>
      <c r="D1195" t="str">
        <f>UPPER(Table1[[#This Row],[ProductID_Clean]])</f>
        <v>P-SA-002</v>
      </c>
      <c r="E1195" t="s">
        <v>147</v>
      </c>
      <c r="F1195" t="s">
        <v>198</v>
      </c>
      <c r="G1195" t="str">
        <f>TRIM(Table1[[#This Row],[Region_Clean]])</f>
        <v>APAC</v>
      </c>
      <c r="H1195" t="s">
        <v>53</v>
      </c>
      <c r="I1195" t="s">
        <v>40</v>
      </c>
      <c r="J1195" s="3">
        <v>1</v>
      </c>
      <c r="K1195" s="3">
        <v>7848.99</v>
      </c>
      <c r="L1195">
        <v>9800</v>
      </c>
      <c r="M1195">
        <v>9800</v>
      </c>
      <c r="N1195">
        <v>1951.01</v>
      </c>
      <c r="O1195">
        <v>7848.99</v>
      </c>
      <c r="P1195" t="s">
        <v>113</v>
      </c>
      <c r="Q1195" t="s">
        <v>54</v>
      </c>
      <c r="R1195" t="s">
        <v>28</v>
      </c>
      <c r="S1195" t="str">
        <f>TRIM(PROPER(_xlfn.XLOOKUP(Table1[[#This Row],[ProductID_Clean]],Table3[ProductID],Table3[Category],"Missing Value",0)))</f>
        <v>Software</v>
      </c>
      <c r="T1195" t="str">
        <f>_xlfn.XLOOKUP(Table1[[#This Row],[CustomerID_Check]],Table2[CustomerID],Table2[CustomerType],"Missing Value",0)</f>
        <v>Emerging</v>
      </c>
    </row>
    <row r="1196" spans="1:20">
      <c r="A1196" t="s">
        <v>1452</v>
      </c>
      <c r="B1196" s="1">
        <v>45800</v>
      </c>
      <c r="C1196" t="s">
        <v>424</v>
      </c>
      <c r="D1196" t="str">
        <f>UPPER(Table1[[#This Row],[ProductID_Clean]])</f>
        <v>P-SI-005</v>
      </c>
      <c r="E1196" t="s">
        <v>57</v>
      </c>
      <c r="F1196" t="s">
        <v>23</v>
      </c>
      <c r="G1196" t="str">
        <f>TRIM(Table1[[#This Row],[Region_Clean]])</f>
        <v>N. AMERICA</v>
      </c>
      <c r="H1196" t="s">
        <v>24</v>
      </c>
      <c r="I1196" t="s">
        <v>25</v>
      </c>
      <c r="J1196" s="3">
        <v>1</v>
      </c>
      <c r="K1196" s="3">
        <v>1014.47</v>
      </c>
      <c r="L1196">
        <v>1120</v>
      </c>
      <c r="M1196">
        <v>1120</v>
      </c>
      <c r="N1196">
        <v>105.53</v>
      </c>
      <c r="O1196">
        <v>1014.47</v>
      </c>
      <c r="P1196" t="s">
        <v>26</v>
      </c>
      <c r="Q1196" t="s">
        <v>65</v>
      </c>
      <c r="R1196" t="s">
        <v>44</v>
      </c>
      <c r="S1196" t="str">
        <f>TRIM(PROPER(_xlfn.XLOOKUP(Table1[[#This Row],[ProductID_Clean]],Table3[ProductID],Table3[Category],"Missing Value",0)))</f>
        <v>Sensors</v>
      </c>
      <c r="T1196" t="str">
        <f>_xlfn.XLOOKUP(Table1[[#This Row],[CustomerID_Check]],Table2[CustomerID],Table2[CustomerType],"Missing Value",0)</f>
        <v>Key Account</v>
      </c>
    </row>
    <row r="1197" spans="1:20">
      <c r="A1197" t="s">
        <v>1453</v>
      </c>
      <c r="B1197" s="1">
        <v>45783</v>
      </c>
      <c r="C1197" t="s">
        <v>466</v>
      </c>
      <c r="D1197" t="str">
        <f>UPPER(Table1[[#This Row],[ProductID_Clean]])</f>
        <v>P-SI-007</v>
      </c>
      <c r="E1197" t="s">
        <v>97</v>
      </c>
      <c r="F1197" t="s">
        <v>23</v>
      </c>
      <c r="G1197" t="str">
        <f>TRIM(Table1[[#This Row],[Region_Clean]])</f>
        <v>N. AMERICA</v>
      </c>
      <c r="H1197" t="s">
        <v>24</v>
      </c>
      <c r="I1197" t="s">
        <v>25</v>
      </c>
      <c r="J1197" s="3">
        <v>4</v>
      </c>
      <c r="K1197" s="3">
        <v>955.52</v>
      </c>
      <c r="L1197">
        <v>980</v>
      </c>
      <c r="M1197">
        <v>3920</v>
      </c>
      <c r="N1197">
        <v>97.92</v>
      </c>
      <c r="O1197">
        <v>3822.08</v>
      </c>
      <c r="P1197" t="s">
        <v>26</v>
      </c>
      <c r="Q1197" t="s">
        <v>35</v>
      </c>
      <c r="R1197" t="s">
        <v>59</v>
      </c>
      <c r="S1197" t="str">
        <f>TRIM(PROPER(_xlfn.XLOOKUP(Table1[[#This Row],[ProductID_Clean]],Table3[ProductID],Table3[Category],"Missing Value",0)))</f>
        <v>Sensors</v>
      </c>
      <c r="T1197" t="str">
        <f>_xlfn.XLOOKUP(Table1[[#This Row],[CustomerID_Check]],Table2[CustomerID],Table2[CustomerType],"Missing Value",0)</f>
        <v>Standard</v>
      </c>
    </row>
    <row r="1198" spans="1:20">
      <c r="A1198" t="s">
        <v>1454</v>
      </c>
      <c r="B1198" s="1">
        <v>45693</v>
      </c>
      <c r="C1198" t="s">
        <v>135</v>
      </c>
      <c r="D1198" t="str">
        <f>UPPER(Table1[[#This Row],[ProductID_Clean]])</f>
        <v>P-SA-004</v>
      </c>
      <c r="E1198" t="s">
        <v>86</v>
      </c>
      <c r="F1198" t="s">
        <v>58</v>
      </c>
      <c r="G1198" t="str">
        <f>TRIM(Table1[[#This Row],[Region_Clean]])</f>
        <v>APAC</v>
      </c>
      <c r="H1198" t="s">
        <v>53</v>
      </c>
      <c r="I1198" t="s">
        <v>25</v>
      </c>
      <c r="J1198" s="3">
        <v>1</v>
      </c>
      <c r="K1198" s="3">
        <v>1340.65</v>
      </c>
      <c r="L1198">
        <v>1650</v>
      </c>
      <c r="M1198">
        <v>1650</v>
      </c>
      <c r="N1198">
        <v>309.35000000000002</v>
      </c>
      <c r="O1198">
        <v>1340.65</v>
      </c>
      <c r="P1198" t="s">
        <v>26</v>
      </c>
      <c r="Q1198" t="s">
        <v>189</v>
      </c>
      <c r="R1198" t="s">
        <v>28</v>
      </c>
      <c r="S1198" t="str">
        <f>TRIM(PROPER(_xlfn.XLOOKUP(Table1[[#This Row],[ProductID_Clean]],Table3[ProductID],Table3[Category],"Missing Value",0)))</f>
        <v>Software</v>
      </c>
      <c r="T1198" t="str">
        <f>_xlfn.XLOOKUP(Table1[[#This Row],[CustomerID_Check]],Table2[CustomerID],Table2[CustomerType],"Missing Value",0)</f>
        <v>Strategic</v>
      </c>
    </row>
    <row r="1199" spans="1:20">
      <c r="A1199" t="s">
        <v>1455</v>
      </c>
      <c r="B1199" s="1">
        <v>45738</v>
      </c>
      <c r="C1199" t="s">
        <v>165</v>
      </c>
      <c r="D1199" t="str">
        <f>UPPER(Table1[[#This Row],[ProductID_Clean]])</f>
        <v>P-SI-003</v>
      </c>
      <c r="E1199" t="s">
        <v>39</v>
      </c>
      <c r="F1199" t="s">
        <v>47</v>
      </c>
      <c r="G1199" t="str">
        <f>TRIM(Table1[[#This Row],[Region_Clean]])</f>
        <v>EMEA</v>
      </c>
      <c r="H1199" t="s">
        <v>24</v>
      </c>
      <c r="I1199" t="s">
        <v>87</v>
      </c>
      <c r="J1199" s="3">
        <v>3</v>
      </c>
      <c r="K1199" s="3">
        <v>1389.79</v>
      </c>
      <c r="L1199">
        <v>1890</v>
      </c>
      <c r="M1199">
        <v>5670</v>
      </c>
      <c r="N1199">
        <v>1500.63</v>
      </c>
      <c r="O1199">
        <v>4169.37</v>
      </c>
      <c r="P1199" t="s">
        <v>26</v>
      </c>
      <c r="Q1199" t="s">
        <v>65</v>
      </c>
      <c r="R1199" t="s">
        <v>28</v>
      </c>
      <c r="S1199" t="str">
        <f>TRIM(PROPER(_xlfn.XLOOKUP(Table1[[#This Row],[ProductID_Clean]],Table3[ProductID],Table3[Category],"Missing Value",0)))</f>
        <v>Instruments</v>
      </c>
      <c r="T1199" t="str">
        <f>_xlfn.XLOOKUP(Table1[[#This Row],[CustomerID_Check]],Table2[CustomerID],Table2[CustomerType],"Missing Value",0)</f>
        <v>Key Account</v>
      </c>
    </row>
    <row r="1200" spans="1:20">
      <c r="A1200" t="s">
        <v>1456</v>
      </c>
      <c r="B1200" s="1">
        <v>45749</v>
      </c>
      <c r="C1200" t="s">
        <v>182</v>
      </c>
      <c r="D1200" t="str">
        <f>UPPER(Table1[[#This Row],[ProductID_Clean]])</f>
        <v>P-SA-004</v>
      </c>
      <c r="E1200" t="s">
        <v>86</v>
      </c>
      <c r="F1200" t="s">
        <v>47</v>
      </c>
      <c r="G1200" t="str">
        <f>TRIM(Table1[[#This Row],[Region_Clean]])</f>
        <v>EMEA</v>
      </c>
      <c r="H1200" t="s">
        <v>53</v>
      </c>
      <c r="I1200" t="s">
        <v>87</v>
      </c>
      <c r="J1200" s="3">
        <v>1</v>
      </c>
      <c r="K1200" s="3">
        <v>1318.05</v>
      </c>
      <c r="L1200">
        <v>1650</v>
      </c>
      <c r="M1200">
        <v>1650</v>
      </c>
      <c r="N1200">
        <v>331.95</v>
      </c>
      <c r="O1200">
        <v>1318.05</v>
      </c>
      <c r="P1200" t="s">
        <v>26</v>
      </c>
      <c r="Q1200" t="s">
        <v>189</v>
      </c>
      <c r="R1200" t="s">
        <v>44</v>
      </c>
      <c r="S1200" t="str">
        <f>TRIM(PROPER(_xlfn.XLOOKUP(Table1[[#This Row],[ProductID_Clean]],Table3[ProductID],Table3[Category],"Missing Value",0)))</f>
        <v>Software</v>
      </c>
      <c r="T1200" t="str">
        <f>_xlfn.XLOOKUP(Table1[[#This Row],[CustomerID_Check]],Table2[CustomerID],Table2[CustomerType],"Missing Value",0)</f>
        <v>Key Account</v>
      </c>
    </row>
    <row r="1201" spans="1:20">
      <c r="A1201" t="s">
        <v>1457</v>
      </c>
      <c r="B1201" s="1">
        <v>45782</v>
      </c>
      <c r="C1201" t="s">
        <v>527</v>
      </c>
      <c r="D1201" t="str">
        <f>UPPER(Table1[[#This Row],[ProductID_Clean]])</f>
        <v>P-FS-006</v>
      </c>
      <c r="E1201" t="s">
        <v>92</v>
      </c>
      <c r="F1201" t="s">
        <v>23</v>
      </c>
      <c r="G1201" t="str">
        <f>TRIM(Table1[[#This Row],[Region_Clean]])</f>
        <v>N. AMERICA</v>
      </c>
      <c r="H1201" t="s">
        <v>82</v>
      </c>
      <c r="I1201" t="s">
        <v>25</v>
      </c>
      <c r="J1201" s="3">
        <v>1</v>
      </c>
      <c r="K1201" s="3">
        <v>1295.5</v>
      </c>
      <c r="L1201">
        <v>1450</v>
      </c>
      <c r="M1201">
        <v>1450</v>
      </c>
      <c r="N1201">
        <v>154.5</v>
      </c>
      <c r="O1201">
        <v>1295.5</v>
      </c>
      <c r="P1201" t="s">
        <v>26</v>
      </c>
      <c r="Q1201" t="s">
        <v>35</v>
      </c>
      <c r="R1201" t="s">
        <v>44</v>
      </c>
      <c r="S1201" t="str">
        <f>TRIM(PROPER(_xlfn.XLOOKUP(Table1[[#This Row],[ProductID_Clean]],Table3[ProductID],Table3[Category],"Missing Value",0)))</f>
        <v>Services</v>
      </c>
      <c r="T1201" t="str">
        <f>_xlfn.XLOOKUP(Table1[[#This Row],[CustomerID_Check]],Table2[CustomerID],Table2[CustomerType],"Missing Value",0)</f>
        <v>Standard</v>
      </c>
    </row>
    <row r="1202" spans="1:20">
      <c r="A1202" t="s">
        <v>1458</v>
      </c>
      <c r="B1202" s="1">
        <v>45707</v>
      </c>
      <c r="C1202" t="s">
        <v>89</v>
      </c>
      <c r="D1202" t="str">
        <f>UPPER(Table1[[#This Row],[ProductID_Clean]])</f>
        <v>P-SA-001</v>
      </c>
      <c r="E1202" t="s">
        <v>68</v>
      </c>
      <c r="F1202" t="s">
        <v>58</v>
      </c>
      <c r="G1202" t="str">
        <f>TRIM(Table1[[#This Row],[Region_Clean]])</f>
        <v>APAC</v>
      </c>
      <c r="H1202" t="s">
        <v>53</v>
      </c>
      <c r="I1202" t="s">
        <v>25</v>
      </c>
      <c r="J1202" s="3">
        <v>1</v>
      </c>
      <c r="K1202" s="3">
        <v>3027.18</v>
      </c>
      <c r="L1202">
        <v>4200</v>
      </c>
      <c r="M1202">
        <v>4200</v>
      </c>
      <c r="N1202">
        <v>1172.82</v>
      </c>
      <c r="O1202">
        <v>3027.18</v>
      </c>
      <c r="P1202" t="s">
        <v>26</v>
      </c>
      <c r="Q1202" t="s">
        <v>54</v>
      </c>
      <c r="R1202" t="s">
        <v>44</v>
      </c>
      <c r="S1202" t="str">
        <f>TRIM(PROPER(_xlfn.XLOOKUP(Table1[[#This Row],[ProductID_Clean]],Table3[ProductID],Table3[Category],"Missing Value",0)))</f>
        <v>Software</v>
      </c>
      <c r="T1202" t="str">
        <f>_xlfn.XLOOKUP(Table1[[#This Row],[CustomerID_Check]],Table2[CustomerID],Table2[CustomerType],"Missing Value",0)</f>
        <v>Strategic</v>
      </c>
    </row>
    <row r="1203" spans="1:20">
      <c r="A1203" t="s">
        <v>1459</v>
      </c>
      <c r="B1203" s="1">
        <v>45801</v>
      </c>
      <c r="C1203" t="s">
        <v>477</v>
      </c>
      <c r="D1203" t="str">
        <f>UPPER(Table1[[#This Row],[ProductID_Clean]])</f>
        <v>P-SA-001</v>
      </c>
      <c r="E1203" t="s">
        <v>68</v>
      </c>
      <c r="F1203" t="s">
        <v>23</v>
      </c>
      <c r="G1203" t="str">
        <f>TRIM(Table1[[#This Row],[Region_Clean]])</f>
        <v>N. AMERICA</v>
      </c>
      <c r="H1203" t="s">
        <v>53</v>
      </c>
      <c r="I1203" t="s">
        <v>98</v>
      </c>
      <c r="J1203" s="3">
        <v>1</v>
      </c>
      <c r="K1203" s="3">
        <v>3901.53</v>
      </c>
      <c r="L1203">
        <v>4200</v>
      </c>
      <c r="M1203">
        <v>4200</v>
      </c>
      <c r="N1203">
        <v>298.47000000000003</v>
      </c>
      <c r="O1203">
        <v>3901.53</v>
      </c>
      <c r="P1203" t="s">
        <v>26</v>
      </c>
      <c r="Q1203" t="s">
        <v>54</v>
      </c>
      <c r="R1203" t="s">
        <v>36</v>
      </c>
      <c r="S1203" t="str">
        <f>TRIM(PROPER(_xlfn.XLOOKUP(Table1[[#This Row],[ProductID_Clean]],Table3[ProductID],Table3[Category],"Missing Value",0)))</f>
        <v>Software</v>
      </c>
      <c r="T1203" t="str">
        <f>_xlfn.XLOOKUP(Table1[[#This Row],[CustomerID_Check]],Table2[CustomerID],Table2[CustomerType],"Missing Value",0)</f>
        <v>Key Account</v>
      </c>
    </row>
    <row r="1204" spans="1:20">
      <c r="A1204" t="s">
        <v>1460</v>
      </c>
      <c r="B1204" s="1">
        <v>45825</v>
      </c>
      <c r="C1204" t="s">
        <v>745</v>
      </c>
      <c r="D1204" t="str">
        <f>UPPER(Table1[[#This Row],[ProductID_Clean]])</f>
        <v>P-SA-004</v>
      </c>
      <c r="E1204" t="s">
        <v>86</v>
      </c>
      <c r="F1204" t="s">
        <v>58</v>
      </c>
      <c r="G1204" t="str">
        <f>TRIM(Table1[[#This Row],[Region_Clean]])</f>
        <v>APAC</v>
      </c>
      <c r="H1204" t="s">
        <v>53</v>
      </c>
      <c r="I1204" t="s">
        <v>25</v>
      </c>
      <c r="J1204" s="3">
        <v>1</v>
      </c>
      <c r="K1204" s="3">
        <v>1497.26</v>
      </c>
      <c r="L1204">
        <v>1650</v>
      </c>
      <c r="M1204">
        <v>1650</v>
      </c>
      <c r="N1204">
        <v>152.74</v>
      </c>
      <c r="O1204">
        <v>1497.26</v>
      </c>
      <c r="P1204" t="s">
        <v>26</v>
      </c>
      <c r="Q1204" t="s">
        <v>54</v>
      </c>
      <c r="R1204" t="s">
        <v>28</v>
      </c>
      <c r="S1204" t="str">
        <f>TRIM(PROPER(_xlfn.XLOOKUP(Table1[[#This Row],[ProductID_Clean]],Table3[ProductID],Table3[Category],"Missing Value",0)))</f>
        <v>Software</v>
      </c>
      <c r="T1204" t="str">
        <f>_xlfn.XLOOKUP(Table1[[#This Row],[CustomerID_Check]],Table2[CustomerID],Table2[CustomerType],"Missing Value",0)</f>
        <v>Emerging</v>
      </c>
    </row>
    <row r="1205" spans="1:20">
      <c r="A1205" t="s">
        <v>1461</v>
      </c>
      <c r="B1205" s="1">
        <v>45762</v>
      </c>
      <c r="C1205" t="s">
        <v>314</v>
      </c>
      <c r="D1205" t="str">
        <f>UPPER(Table1[[#This Row],[ProductID_Clean]])</f>
        <v>P-SI-003</v>
      </c>
      <c r="E1205" t="s">
        <v>39</v>
      </c>
      <c r="F1205" t="s">
        <v>52</v>
      </c>
      <c r="G1205" t="str">
        <f>TRIM(Table1[[#This Row],[Region_Clean]])</f>
        <v>N. AMERICA</v>
      </c>
      <c r="H1205" t="s">
        <v>24</v>
      </c>
      <c r="I1205" t="s">
        <v>87</v>
      </c>
      <c r="J1205" s="3">
        <v>10</v>
      </c>
      <c r="K1205" s="3">
        <v>1588.06</v>
      </c>
      <c r="L1205">
        <v>1890</v>
      </c>
      <c r="M1205">
        <v>18900</v>
      </c>
      <c r="N1205">
        <v>3019.4</v>
      </c>
      <c r="O1205">
        <v>15880.6</v>
      </c>
      <c r="P1205" t="s">
        <v>26</v>
      </c>
      <c r="Q1205" t="s">
        <v>65</v>
      </c>
      <c r="R1205" t="s">
        <v>44</v>
      </c>
      <c r="S1205" t="str">
        <f>TRIM(PROPER(_xlfn.XLOOKUP(Table1[[#This Row],[ProductID_Clean]],Table3[ProductID],Table3[Category],"Missing Value",0)))</f>
        <v>Instruments</v>
      </c>
      <c r="T1205" t="str">
        <f>_xlfn.XLOOKUP(Table1[[#This Row],[CustomerID_Check]],Table2[CustomerID],Table2[CustomerType],"Missing Value",0)</f>
        <v>Key Account</v>
      </c>
    </row>
    <row r="1206" spans="1:20">
      <c r="A1206" t="s">
        <v>1462</v>
      </c>
      <c r="B1206" s="1">
        <v>45783</v>
      </c>
      <c r="C1206" t="s">
        <v>262</v>
      </c>
      <c r="D1206" t="str">
        <f>UPPER(Table1[[#This Row],[ProductID_Clean]])</f>
        <v>P-SA-001</v>
      </c>
      <c r="E1206" t="s">
        <v>68</v>
      </c>
      <c r="F1206" t="s">
        <v>23</v>
      </c>
      <c r="G1206" t="str">
        <f>TRIM(Table1[[#This Row],[Region_Clean]])</f>
        <v>N. AMERICA</v>
      </c>
      <c r="H1206" t="s">
        <v>53</v>
      </c>
      <c r="I1206" t="s">
        <v>40</v>
      </c>
      <c r="J1206" s="3">
        <v>3</v>
      </c>
      <c r="K1206" s="3">
        <v>3946.02</v>
      </c>
      <c r="L1206">
        <v>4200</v>
      </c>
      <c r="M1206">
        <v>12600</v>
      </c>
      <c r="N1206">
        <v>761.94</v>
      </c>
      <c r="O1206">
        <v>11838.06</v>
      </c>
      <c r="P1206" t="s">
        <v>26</v>
      </c>
      <c r="Q1206" t="s">
        <v>54</v>
      </c>
      <c r="R1206" t="s">
        <v>48</v>
      </c>
      <c r="S1206" t="str">
        <f>TRIM(PROPER(_xlfn.XLOOKUP(Table1[[#This Row],[ProductID_Clean]],Table3[ProductID],Table3[Category],"Missing Value",0)))</f>
        <v>Software</v>
      </c>
      <c r="T1206" t="str">
        <f>_xlfn.XLOOKUP(Table1[[#This Row],[CustomerID_Check]],Table2[CustomerID],Table2[CustomerType],"Missing Value",0)</f>
        <v>Key Account</v>
      </c>
    </row>
    <row r="1207" spans="1:20">
      <c r="A1207" t="s">
        <v>1463</v>
      </c>
      <c r="B1207" s="1">
        <v>45771</v>
      </c>
      <c r="C1207" t="s">
        <v>239</v>
      </c>
      <c r="D1207" t="str">
        <f>UPPER(Table1[[#This Row],[ProductID_Clean]])</f>
        <v>P-SA-002</v>
      </c>
      <c r="E1207" t="s">
        <v>147</v>
      </c>
      <c r="F1207" t="s">
        <v>23</v>
      </c>
      <c r="G1207" t="str">
        <f>TRIM(Table1[[#This Row],[Region_Clean]])</f>
        <v>N. AMERICA</v>
      </c>
      <c r="H1207" t="s">
        <v>53</v>
      </c>
      <c r="I1207" t="s">
        <v>87</v>
      </c>
      <c r="J1207" s="3">
        <v>1</v>
      </c>
      <c r="K1207" s="3">
        <v>7921.95</v>
      </c>
      <c r="L1207">
        <v>9800</v>
      </c>
      <c r="M1207">
        <v>9800</v>
      </c>
      <c r="N1207">
        <v>1878.05</v>
      </c>
      <c r="O1207">
        <v>7921.95</v>
      </c>
      <c r="P1207" t="s">
        <v>26</v>
      </c>
      <c r="Q1207" t="s">
        <v>54</v>
      </c>
      <c r="R1207" t="s">
        <v>44</v>
      </c>
      <c r="S1207" t="str">
        <f>TRIM(PROPER(_xlfn.XLOOKUP(Table1[[#This Row],[ProductID_Clean]],Table3[ProductID],Table3[Category],"Missing Value",0)))</f>
        <v>Software</v>
      </c>
      <c r="T1207" t="str">
        <f>_xlfn.XLOOKUP(Table1[[#This Row],[CustomerID_Check]],Table2[CustomerID],Table2[CustomerType],"Missing Value",0)</f>
        <v>Strategic</v>
      </c>
    </row>
    <row r="1208" spans="1:20">
      <c r="A1208" t="s">
        <v>1464</v>
      </c>
      <c r="B1208" s="1">
        <v>45774</v>
      </c>
      <c r="C1208" t="s">
        <v>469</v>
      </c>
      <c r="D1208" t="str">
        <f>UPPER(Table1[[#This Row],[ProductID_Clean]])</f>
        <v>P-SI-005</v>
      </c>
      <c r="E1208" t="s">
        <v>57</v>
      </c>
      <c r="F1208" t="s">
        <v>23</v>
      </c>
      <c r="G1208" t="str">
        <f>TRIM(Table1[[#This Row],[Region_Clean]])</f>
        <v>N. AMERICA</v>
      </c>
      <c r="H1208" t="s">
        <v>24</v>
      </c>
      <c r="I1208" t="s">
        <v>34</v>
      </c>
      <c r="J1208" s="3">
        <v>8</v>
      </c>
      <c r="K1208" s="3">
        <v>897.27</v>
      </c>
      <c r="L1208">
        <v>1120</v>
      </c>
      <c r="M1208">
        <v>8960</v>
      </c>
      <c r="N1208">
        <v>1781.8400000000001</v>
      </c>
      <c r="O1208">
        <v>7178.16</v>
      </c>
      <c r="P1208" t="s">
        <v>126</v>
      </c>
      <c r="Q1208" t="s">
        <v>40</v>
      </c>
      <c r="R1208" t="s">
        <v>44</v>
      </c>
      <c r="S1208" t="str">
        <f>TRIM(PROPER(_xlfn.XLOOKUP(Table1[[#This Row],[ProductID_Clean]],Table3[ProductID],Table3[Category],"Missing Value",0)))</f>
        <v>Sensors</v>
      </c>
      <c r="T1208" t="str">
        <f>_xlfn.XLOOKUP(Table1[[#This Row],[CustomerID_Check]],Table2[CustomerID],Table2[CustomerType],"Missing Value",0)</f>
        <v>Standard</v>
      </c>
    </row>
    <row r="1209" spans="1:20">
      <c r="A1209" t="s">
        <v>1465</v>
      </c>
      <c r="B1209" s="1">
        <v>45741</v>
      </c>
      <c r="C1209" t="s">
        <v>316</v>
      </c>
      <c r="D1209" t="str">
        <f>UPPER(Table1[[#This Row],[ProductID_Clean]])</f>
        <v>P-SI-005</v>
      </c>
      <c r="E1209" t="s">
        <v>57</v>
      </c>
      <c r="F1209" t="s">
        <v>32</v>
      </c>
      <c r="G1209" t="str">
        <f>TRIM(Table1[[#This Row],[Region_Clean]])</f>
        <v>LATIN AMERICA</v>
      </c>
      <c r="H1209" t="s">
        <v>24</v>
      </c>
      <c r="I1209" t="s">
        <v>25</v>
      </c>
      <c r="J1209" s="3">
        <v>10</v>
      </c>
      <c r="K1209" s="3">
        <v>978.26</v>
      </c>
      <c r="L1209">
        <v>1120</v>
      </c>
      <c r="M1209">
        <v>11200</v>
      </c>
      <c r="N1209">
        <v>1417.3999999999996</v>
      </c>
      <c r="O1209">
        <v>9782.6</v>
      </c>
      <c r="P1209" t="s">
        <v>26</v>
      </c>
      <c r="Q1209" t="s">
        <v>35</v>
      </c>
      <c r="R1209" t="s">
        <v>48</v>
      </c>
      <c r="S1209" t="str">
        <f>TRIM(PROPER(_xlfn.XLOOKUP(Table1[[#This Row],[ProductID_Clean]],Table3[ProductID],Table3[Category],"Missing Value",0)))</f>
        <v>Sensors</v>
      </c>
      <c r="T1209" t="str">
        <f>_xlfn.XLOOKUP(Table1[[#This Row],[CustomerID_Check]],Table2[CustomerID],Table2[CustomerType],"Missing Value",0)</f>
        <v>Key Account</v>
      </c>
    </row>
    <row r="1210" spans="1:20">
      <c r="A1210" t="s">
        <v>1466</v>
      </c>
      <c r="B1210" s="1">
        <v>45781</v>
      </c>
      <c r="C1210" t="s">
        <v>76</v>
      </c>
      <c r="D1210" t="str">
        <f>UPPER(Table1[[#This Row],[ProductID_Clean]])</f>
        <v>P-SA-001</v>
      </c>
      <c r="E1210" t="s">
        <v>68</v>
      </c>
      <c r="F1210" t="s">
        <v>58</v>
      </c>
      <c r="G1210" t="str">
        <f>TRIM(Table1[[#This Row],[Region_Clean]])</f>
        <v>APAC</v>
      </c>
      <c r="H1210" t="s">
        <v>53</v>
      </c>
      <c r="I1210" t="s">
        <v>98</v>
      </c>
      <c r="J1210" s="3">
        <v>1</v>
      </c>
      <c r="K1210" s="3">
        <v>3780.9</v>
      </c>
      <c r="L1210">
        <v>4200</v>
      </c>
      <c r="M1210">
        <v>4200</v>
      </c>
      <c r="N1210">
        <v>419.1</v>
      </c>
      <c r="O1210">
        <v>3780.9</v>
      </c>
      <c r="P1210" t="s">
        <v>26</v>
      </c>
      <c r="Q1210" t="s">
        <v>88</v>
      </c>
      <c r="R1210" t="s">
        <v>59</v>
      </c>
      <c r="S1210" t="str">
        <f>TRIM(PROPER(_xlfn.XLOOKUP(Table1[[#This Row],[ProductID_Clean]],Table3[ProductID],Table3[Category],"Missing Value",0)))</f>
        <v>Software</v>
      </c>
      <c r="T1210" t="str">
        <f>_xlfn.XLOOKUP(Table1[[#This Row],[CustomerID_Check]],Table2[CustomerID],Table2[CustomerType],"Missing Value",0)</f>
        <v>Missing Value</v>
      </c>
    </row>
    <row r="1211" spans="1:20">
      <c r="A1211" t="s">
        <v>1467</v>
      </c>
      <c r="B1211" s="1">
        <v>45788</v>
      </c>
      <c r="C1211" t="s">
        <v>222</v>
      </c>
      <c r="D1211" t="str">
        <f>UPPER(Table1[[#This Row],[ProductID_Clean]])</f>
        <v>P-SI-004</v>
      </c>
      <c r="E1211" t="s">
        <v>22</v>
      </c>
      <c r="F1211" t="s">
        <v>47</v>
      </c>
      <c r="G1211" t="str">
        <f>TRIM(Table1[[#This Row],[Region_Clean]])</f>
        <v>EMEA</v>
      </c>
      <c r="H1211" t="s">
        <v>24</v>
      </c>
      <c r="I1211" t="s">
        <v>25</v>
      </c>
      <c r="J1211" s="3">
        <v>11</v>
      </c>
      <c r="K1211" s="3">
        <v>2258.88</v>
      </c>
      <c r="L1211">
        <v>2450</v>
      </c>
      <c r="M1211">
        <v>26950</v>
      </c>
      <c r="N1211">
        <v>2102.3199999999997</v>
      </c>
      <c r="O1211">
        <v>24847.68</v>
      </c>
      <c r="P1211" t="s">
        <v>26</v>
      </c>
      <c r="Q1211" t="s">
        <v>35</v>
      </c>
      <c r="R1211" t="s">
        <v>28</v>
      </c>
      <c r="S1211" t="str">
        <f>TRIM(PROPER(_xlfn.XLOOKUP(Table1[[#This Row],[ProductID_Clean]],Table3[ProductID],Table3[Category],"Missing Value",0)))</f>
        <v>Instruments</v>
      </c>
      <c r="T1211" t="str">
        <f>_xlfn.XLOOKUP(Table1[[#This Row],[CustomerID_Check]],Table2[CustomerID],Table2[CustomerType],"Missing Value",0)</f>
        <v>Standard</v>
      </c>
    </row>
    <row r="1212" spans="1:20">
      <c r="A1212" t="s">
        <v>1468</v>
      </c>
      <c r="B1212" s="1">
        <v>45797</v>
      </c>
      <c r="C1212" t="s">
        <v>172</v>
      </c>
      <c r="D1212" t="str">
        <f>UPPER(Table1[[#This Row],[ProductID_Clean]])</f>
        <v>P-SA-001</v>
      </c>
      <c r="E1212" t="s">
        <v>68</v>
      </c>
      <c r="F1212" t="s">
        <v>23</v>
      </c>
      <c r="G1212" t="str">
        <f>TRIM(Table1[[#This Row],[Region_Clean]])</f>
        <v>N. AMERICA</v>
      </c>
      <c r="H1212" t="s">
        <v>53</v>
      </c>
      <c r="I1212" t="s">
        <v>25</v>
      </c>
      <c r="J1212" s="3">
        <v>1</v>
      </c>
      <c r="K1212" s="3">
        <v>3979.85</v>
      </c>
      <c r="L1212">
        <v>4200</v>
      </c>
      <c r="M1212">
        <v>4200</v>
      </c>
      <c r="N1212">
        <v>220.15</v>
      </c>
      <c r="O1212">
        <v>3979.85</v>
      </c>
      <c r="P1212" t="s">
        <v>113</v>
      </c>
      <c r="Q1212" t="s">
        <v>88</v>
      </c>
      <c r="R1212" t="s">
        <v>36</v>
      </c>
      <c r="S1212" t="str">
        <f>TRIM(PROPER(_xlfn.XLOOKUP(Table1[[#This Row],[ProductID_Clean]],Table3[ProductID],Table3[Category],"Missing Value",0)))</f>
        <v>Software</v>
      </c>
      <c r="T1212" t="str">
        <f>_xlfn.XLOOKUP(Table1[[#This Row],[CustomerID_Check]],Table2[CustomerID],Table2[CustomerType],"Missing Value",0)</f>
        <v>Key Account</v>
      </c>
    </row>
    <row r="1213" spans="1:20">
      <c r="A1213" t="s">
        <v>1469</v>
      </c>
      <c r="B1213" s="1">
        <v>45693</v>
      </c>
      <c r="C1213" t="s">
        <v>237</v>
      </c>
      <c r="D1213" t="str">
        <f>UPPER(Table1[[#This Row],[ProductID_Clean]])</f>
        <v>P-SI-007</v>
      </c>
      <c r="E1213" t="s">
        <v>97</v>
      </c>
      <c r="F1213" t="s">
        <v>47</v>
      </c>
      <c r="G1213" t="str">
        <f>TRIM(Table1[[#This Row],[Region_Clean]])</f>
        <v>EMEA</v>
      </c>
      <c r="H1213" t="s">
        <v>24</v>
      </c>
      <c r="I1213" t="s">
        <v>34</v>
      </c>
      <c r="J1213" s="3">
        <v>12</v>
      </c>
      <c r="K1213" s="3">
        <v>832.14</v>
      </c>
      <c r="L1213">
        <v>980</v>
      </c>
      <c r="M1213">
        <v>11760</v>
      </c>
      <c r="N1213">
        <v>1774.3199999999997</v>
      </c>
      <c r="O1213">
        <v>9985.68</v>
      </c>
      <c r="P1213" t="s">
        <v>26</v>
      </c>
      <c r="Q1213" t="s">
        <v>65</v>
      </c>
      <c r="R1213" t="s">
        <v>28</v>
      </c>
      <c r="S1213" t="str">
        <f>TRIM(PROPER(_xlfn.XLOOKUP(Table1[[#This Row],[ProductID_Clean]],Table3[ProductID],Table3[Category],"Missing Value",0)))</f>
        <v>Sensors</v>
      </c>
      <c r="T1213" t="str">
        <f>_xlfn.XLOOKUP(Table1[[#This Row],[CustomerID_Check]],Table2[CustomerID],Table2[CustomerType],"Missing Value",0)</f>
        <v>Standard</v>
      </c>
    </row>
    <row r="1214" spans="1:20">
      <c r="A1214" t="s">
        <v>1470</v>
      </c>
      <c r="B1214" s="1">
        <v>45818</v>
      </c>
      <c r="C1214" t="s">
        <v>454</v>
      </c>
      <c r="D1214" t="str">
        <f>UPPER(Table1[[#This Row],[ProductID_Clean]])</f>
        <v>P-SI-005</v>
      </c>
      <c r="E1214" t="s">
        <v>57</v>
      </c>
      <c r="F1214" t="s">
        <v>2605</v>
      </c>
      <c r="G1214" t="str">
        <f>TRIM(Table1[[#This Row],[Region_Clean]])</f>
        <v>EMEA</v>
      </c>
      <c r="H1214" t="s">
        <v>24</v>
      </c>
      <c r="I1214" t="s">
        <v>25</v>
      </c>
      <c r="J1214" s="3">
        <v>15</v>
      </c>
      <c r="K1214" s="3">
        <v>1036.83</v>
      </c>
      <c r="L1214">
        <v>1120</v>
      </c>
      <c r="M1214">
        <v>16800</v>
      </c>
      <c r="N1214">
        <v>1247.5499999999993</v>
      </c>
      <c r="O1214">
        <v>15552.45</v>
      </c>
      <c r="P1214" t="s">
        <v>26</v>
      </c>
      <c r="Q1214" t="s">
        <v>35</v>
      </c>
      <c r="R1214" t="s">
        <v>28</v>
      </c>
      <c r="S1214" t="str">
        <f>TRIM(PROPER(_xlfn.XLOOKUP(Table1[[#This Row],[ProductID_Clean]],Table3[ProductID],Table3[Category],"Missing Value",0)))</f>
        <v>Sensors</v>
      </c>
      <c r="T1214" t="str">
        <f>_xlfn.XLOOKUP(Table1[[#This Row],[CustomerID_Check]],Table2[CustomerID],Table2[CustomerType],"Missing Value",0)</f>
        <v>Standard</v>
      </c>
    </row>
    <row r="1215" spans="1:20">
      <c r="A1215" t="s">
        <v>1471</v>
      </c>
      <c r="B1215" s="1">
        <v>45725</v>
      </c>
      <c r="C1215" t="s">
        <v>225</v>
      </c>
      <c r="D1215" t="str">
        <f>UPPER(Table1[[#This Row],[ProductID_Clean]])</f>
        <v>P-SI-001</v>
      </c>
      <c r="E1215" t="s">
        <v>72</v>
      </c>
      <c r="F1215" t="s">
        <v>23</v>
      </c>
      <c r="G1215" t="str">
        <f>TRIM(Table1[[#This Row],[Region_Clean]])</f>
        <v>N. AMERICA</v>
      </c>
      <c r="H1215" t="s">
        <v>24</v>
      </c>
      <c r="I1215" t="s">
        <v>25</v>
      </c>
      <c r="J1215" s="3">
        <v>1</v>
      </c>
      <c r="K1215" s="3">
        <v>445.38</v>
      </c>
      <c r="L1215">
        <v>485</v>
      </c>
      <c r="M1215">
        <v>485</v>
      </c>
      <c r="N1215">
        <v>39.619999999999997</v>
      </c>
      <c r="O1215">
        <v>445.38</v>
      </c>
      <c r="P1215" t="s">
        <v>26</v>
      </c>
      <c r="Q1215" t="s">
        <v>35</v>
      </c>
      <c r="R1215" t="s">
        <v>36</v>
      </c>
      <c r="S1215" t="str">
        <f>TRIM(PROPER(_xlfn.XLOOKUP(Table1[[#This Row],[ProductID_Clean]],Table3[ProductID],Table3[Category],"Missing Value",0)))</f>
        <v>Sensors</v>
      </c>
      <c r="T1215" t="str">
        <f>_xlfn.XLOOKUP(Table1[[#This Row],[CustomerID_Check]],Table2[CustomerID],Table2[CustomerType],"Missing Value",0)</f>
        <v>Key Account</v>
      </c>
    </row>
    <row r="1216" spans="1:20">
      <c r="A1216" t="s">
        <v>1472</v>
      </c>
      <c r="B1216" s="1">
        <v>45703</v>
      </c>
      <c r="C1216" t="s">
        <v>56</v>
      </c>
      <c r="D1216" t="str">
        <f>UPPER(Table1[[#This Row],[ProductID_Clean]])</f>
        <v>P-SA-004</v>
      </c>
      <c r="E1216" t="s">
        <v>86</v>
      </c>
      <c r="F1216" t="s">
        <v>58</v>
      </c>
      <c r="G1216" t="str">
        <f>TRIM(Table1[[#This Row],[Region_Clean]])</f>
        <v>APAC</v>
      </c>
      <c r="H1216" t="s">
        <v>53</v>
      </c>
      <c r="I1216" t="s">
        <v>25</v>
      </c>
      <c r="J1216" s="3">
        <v>1</v>
      </c>
      <c r="K1216" s="3">
        <v>1397.88</v>
      </c>
      <c r="L1216">
        <v>1650</v>
      </c>
      <c r="M1216">
        <v>1650</v>
      </c>
      <c r="N1216">
        <v>252.12</v>
      </c>
      <c r="O1216">
        <v>1397.88</v>
      </c>
      <c r="P1216" t="s">
        <v>26</v>
      </c>
      <c r="Q1216" t="s">
        <v>54</v>
      </c>
      <c r="R1216" t="s">
        <v>59</v>
      </c>
      <c r="S1216" t="str">
        <f>TRIM(PROPER(_xlfn.XLOOKUP(Table1[[#This Row],[ProductID_Clean]],Table3[ProductID],Table3[Category],"Missing Value",0)))</f>
        <v>Software</v>
      </c>
      <c r="T1216" t="str">
        <f>_xlfn.XLOOKUP(Table1[[#This Row],[CustomerID_Check]],Table2[CustomerID],Table2[CustomerType],"Missing Value",0)</f>
        <v>Key Account</v>
      </c>
    </row>
    <row r="1217" spans="1:21">
      <c r="A1217" t="s">
        <v>1473</v>
      </c>
      <c r="B1217" s="1">
        <v>45772</v>
      </c>
      <c r="C1217" t="s">
        <v>463</v>
      </c>
      <c r="D1217" t="str">
        <f>UPPER(Table1[[#This Row],[ProductID_Clean]])</f>
        <v>P-SI-002</v>
      </c>
      <c r="E1217" t="s">
        <v>31</v>
      </c>
      <c r="F1217" t="s">
        <v>47</v>
      </c>
      <c r="G1217" t="str">
        <f>TRIM(Table1[[#This Row],[Region_Clean]])</f>
        <v>EMEA</v>
      </c>
      <c r="H1217" t="s">
        <v>24</v>
      </c>
      <c r="I1217" t="s">
        <v>25</v>
      </c>
      <c r="J1217" s="3">
        <v>20</v>
      </c>
      <c r="K1217" s="3">
        <v>663.43</v>
      </c>
      <c r="L1217">
        <v>725</v>
      </c>
      <c r="M1217">
        <v>14500</v>
      </c>
      <c r="N1217">
        <v>1231.3999999999996</v>
      </c>
      <c r="O1217">
        <v>13268.6</v>
      </c>
      <c r="P1217" t="s">
        <v>26</v>
      </c>
      <c r="Q1217" t="s">
        <v>35</v>
      </c>
      <c r="R1217" t="s">
        <v>48</v>
      </c>
      <c r="S1217" t="str">
        <f>TRIM(PROPER(_xlfn.XLOOKUP(Table1[[#This Row],[ProductID_Clean]],Table3[ProductID],Table3[Category],"Missing Value",0)))</f>
        <v>Sensors</v>
      </c>
      <c r="T1217" t="str">
        <f>_xlfn.XLOOKUP(Table1[[#This Row],[CustomerID_Check]],Table2[CustomerID],Table2[CustomerType],"Missing Value",0)</f>
        <v>Key Account</v>
      </c>
    </row>
    <row r="1218" spans="1:21">
      <c r="A1218" t="s">
        <v>1474</v>
      </c>
      <c r="B1218" s="1">
        <v>45766</v>
      </c>
      <c r="C1218" t="s">
        <v>702</v>
      </c>
      <c r="D1218" t="str">
        <f>UPPER(Table1[[#This Row],[ProductID_Clean]])</f>
        <v>P-FS-001</v>
      </c>
      <c r="E1218" t="s">
        <v>133</v>
      </c>
      <c r="F1218" t="s">
        <v>32</v>
      </c>
      <c r="G1218" t="str">
        <f>TRIM(Table1[[#This Row],[Region_Clean]])</f>
        <v>LATIN AMERICA</v>
      </c>
      <c r="H1218" t="s">
        <v>82</v>
      </c>
      <c r="I1218" t="s">
        <v>87</v>
      </c>
      <c r="J1218" s="3">
        <v>1</v>
      </c>
      <c r="K1218" s="3">
        <v>1333.75</v>
      </c>
      <c r="L1218">
        <v>1850</v>
      </c>
      <c r="M1218">
        <v>1850</v>
      </c>
      <c r="N1218">
        <v>516.25</v>
      </c>
      <c r="O1218">
        <v>1333.75</v>
      </c>
      <c r="P1218" t="s">
        <v>26</v>
      </c>
      <c r="Q1218" t="s">
        <v>35</v>
      </c>
      <c r="R1218" t="s">
        <v>36</v>
      </c>
      <c r="S1218" t="str">
        <f>TRIM(PROPER(_xlfn.XLOOKUP(Table1[[#This Row],[ProductID_Clean]],Table3[ProductID],Table3[Category],"Missing Value",0)))</f>
        <v>Services</v>
      </c>
      <c r="T1218" t="str">
        <f>_xlfn.XLOOKUP(Table1[[#This Row],[CustomerID_Check]],Table2[CustomerID],Table2[CustomerType],"Missing Value",0)</f>
        <v>Emerging</v>
      </c>
    </row>
    <row r="1219" spans="1:21">
      <c r="A1219" t="s">
        <v>2597</v>
      </c>
      <c r="J1219" s="3">
        <f>SUBTOTAL(109,Table1[Quantity])</f>
        <v>3470</v>
      </c>
      <c r="M1219">
        <f>SUBTOTAL(109,Table1[GrossRevenue_Analytical])</f>
        <v>4586720</v>
      </c>
      <c r="N1219">
        <f>SUBTOTAL(109,Table1[DiscountAmount_Analytical])</f>
        <v>672959.55999999947</v>
      </c>
      <c r="O1219">
        <f>SUBTOTAL(109,Table1[NetRevenue_Analytical])</f>
        <v>3913760.4400000074</v>
      </c>
    </row>
    <row r="1221" spans="1:21">
      <c r="M1221" s="4" t="s">
        <v>2598</v>
      </c>
      <c r="N1221" s="5">
        <f>Table1[[#Totals],[DiscountAmount_Analytical]]/Table1[[#Totals],[GrossRevenue_Analytical]]</f>
        <v>0.14671912826595029</v>
      </c>
    </row>
    <row r="1222" spans="1:21" ht="21" customHeight="1">
      <c r="O1222" s="6" t="s">
        <v>2599</v>
      </c>
      <c r="P1222" s="8" t="s">
        <v>2600</v>
      </c>
      <c r="Q1222" s="6" t="s">
        <v>2601</v>
      </c>
      <c r="R1222" s="11" t="s">
        <v>2602</v>
      </c>
      <c r="S1222" s="8" t="s">
        <v>2603</v>
      </c>
      <c r="T1222" s="8" t="s">
        <v>2604</v>
      </c>
      <c r="U1222" s="8" t="s">
        <v>11</v>
      </c>
    </row>
    <row r="1223" spans="1:21">
      <c r="O1223" s="9" t="s">
        <v>24</v>
      </c>
      <c r="P1223" s="7">
        <f>SUMIF(Table1[BusinessUnit_Clean],Table8[[#This Row],[Business Unit]],Table1[GrossRevenue_Analytical])</f>
        <v>2647045</v>
      </c>
      <c r="Q1223" s="7">
        <f>SUMIF(Table1[BusinessUnit_Clean],Table8[[#This Row],[Business Unit]],Table1[DiscountAmount_Analytical])</f>
        <v>387131.82000000018</v>
      </c>
      <c r="R1223" s="10">
        <f>Table8[[#This Row],[Discount]]/Table8[[#This Row],[Gross Revenue]]</f>
        <v>0.14625056241960382</v>
      </c>
      <c r="S1223" s="7">
        <f>SUMIF(Table1[BusinessUnit_Clean],Table8[[#This Row],[Business Unit]],Table1[NetRevenue_Analytical])</f>
        <v>2259913.1800000016</v>
      </c>
      <c r="T1223" s="10">
        <f>Table8[[#This Row],[Net Revenue]]/Table8[[#Totals],[Net Revenue]]</f>
        <v>0.57532474975740555</v>
      </c>
      <c r="U1223" s="7">
        <f>SUMIF(Table1[BusinessUnit_Clean],Table8[[#This Row],[Business Unit]],Table1[Quantity])</f>
        <v>2922</v>
      </c>
    </row>
    <row r="1224" spans="1:21" ht="19.5" customHeight="1">
      <c r="O1224" s="9" t="s">
        <v>53</v>
      </c>
      <c r="P1224" s="7">
        <f>SUMIF(Table1[BusinessUnit_Clean],Table8[[#This Row],[Business Unit]],Table1[GrossRevenue_Analytical])</f>
        <v>1511650</v>
      </c>
      <c r="Q1224" s="7">
        <f>SUMIF(Table1[BusinessUnit_Clean],Table8[[#This Row],[Business Unit]],Table1[DiscountAmount_Analytical])</f>
        <v>216870.2399999999</v>
      </c>
      <c r="R1224" s="10">
        <f>Table8[[#This Row],[Discount]]/Table8[[#This Row],[Gross Revenue]]</f>
        <v>0.14346590811365059</v>
      </c>
      <c r="S1224" s="7">
        <f>SUMIF(Table1[BusinessUnit_Clean],Table8[[#This Row],[Business Unit]],Table1[NetRevenue_Analytical])</f>
        <v>1294779.7599999995</v>
      </c>
      <c r="T1224" s="10">
        <f>Table8[[#This Row],[Net Revenue]]/Table8[[#Totals],[Net Revenue]]</f>
        <v>0.32962276958487091</v>
      </c>
      <c r="U1224" s="7">
        <f>SUMIF(Table1[BusinessUnit_Clean],Table8[[#This Row],[Business Unit]],Table1[Quantity])</f>
        <v>357</v>
      </c>
    </row>
    <row r="1225" spans="1:21">
      <c r="O1225" s="9" t="s">
        <v>82</v>
      </c>
      <c r="P1225" s="7">
        <f>SUMIF(Table1[BusinessUnit_Clean],Table8[[#This Row],[Business Unit]],Table1[GrossRevenue_Analytical])</f>
        <v>444000</v>
      </c>
      <c r="Q1225" s="7">
        <f>SUMIF(Table1[BusinessUnit_Clean],Table8[[#This Row],[Business Unit]],Table1[DiscountAmount_Analytical])</f>
        <v>70627.650000000023</v>
      </c>
      <c r="R1225" s="10">
        <f>Table8[[#This Row],[Discount]]/Table8[[#This Row],[Gross Revenue]]</f>
        <v>0.15907128378378382</v>
      </c>
      <c r="S1225" s="7">
        <f>SUMIF(Table1[BusinessUnit_Clean],Table8[[#This Row],[Business Unit]],Table1[NetRevenue_Analytical])</f>
        <v>373372.35000000009</v>
      </c>
      <c r="T1225" s="10">
        <f>Table8[[#This Row],[Net Revenue]]/Table8[[#Totals],[Net Revenue]]</f>
        <v>9.5052480657723482E-2</v>
      </c>
      <c r="U1225" s="7">
        <f>SUMIF(Table1[BusinessUnit_Clean],Table8[[#This Row],[Business Unit]],Table1[Quantity])</f>
        <v>204</v>
      </c>
    </row>
    <row r="1226" spans="1:21">
      <c r="O1226" s="9" t="s">
        <v>2597</v>
      </c>
      <c r="P1226" s="7">
        <f>SUBTOTAL(109,Table8[Gross Revenue])</f>
        <v>4602695</v>
      </c>
      <c r="Q1226" s="7">
        <f>SUBTOTAL(109,Table8[Discount])</f>
        <v>674629.71000000008</v>
      </c>
      <c r="R1226" s="7"/>
      <c r="S1226" s="7">
        <f>SUBTOTAL(109,Table8[Net Revenue])</f>
        <v>3928065.2900000014</v>
      </c>
      <c r="T1226" s="10">
        <f>SUBTOTAL(109,Table8[Revenue Contribution (%)])</f>
        <v>1</v>
      </c>
      <c r="U1226" s="7">
        <f>SUBTOTAL(109,Table8[Quantity])</f>
        <v>3483</v>
      </c>
    </row>
    <row r="1227" spans="1:21">
      <c r="O1227" s="9"/>
      <c r="P1227" s="7"/>
      <c r="Q1227" s="7"/>
      <c r="R1227" s="7"/>
      <c r="S1227" s="7"/>
      <c r="T1227" s="10"/>
      <c r="U1227" s="7"/>
    </row>
    <row r="1228" spans="1:21" ht="15" customHeight="1">
      <c r="O1228" s="6" t="s">
        <v>2599</v>
      </c>
      <c r="P1228" s="6" t="s">
        <v>2600</v>
      </c>
      <c r="Q1228" s="6" t="s">
        <v>2601</v>
      </c>
      <c r="R1228" s="6" t="s">
        <v>2603</v>
      </c>
      <c r="S1228" s="6" t="s">
        <v>2663</v>
      </c>
      <c r="T1228" s="6" t="s">
        <v>11</v>
      </c>
      <c r="U1228" s="7"/>
    </row>
    <row r="1229" spans="1:21">
      <c r="O1229" s="9" t="s">
        <v>82</v>
      </c>
      <c r="P1229" s="7">
        <v>442550</v>
      </c>
      <c r="Q1229" s="7">
        <v>70491.39</v>
      </c>
      <c r="R1229" s="7">
        <f>Business_Unit_Valid_Product_Revenue[[#This Row],[Gross Revenue]]-Business_Unit_Valid_Product_Revenue[[#This Row],[Discount]]</f>
        <v>372058.61</v>
      </c>
      <c r="S1229" s="10">
        <f>Business_Unit_Valid_Product_Revenue[[#This Row],[Net Revenue]]/Business_Unit_Valid_Product_Revenue[[#Totals],[Net Revenue]]</f>
        <v>9.5064226772142449E-2</v>
      </c>
      <c r="T1229" s="7">
        <v>203</v>
      </c>
      <c r="U1229" s="7"/>
    </row>
    <row r="1230" spans="1:21">
      <c r="O1230" s="9" t="s">
        <v>53</v>
      </c>
      <c r="P1230" s="7">
        <v>1505150</v>
      </c>
      <c r="Q1230" s="7">
        <v>216197.72</v>
      </c>
      <c r="R1230" s="7">
        <f>Business_Unit_Valid_Product_Revenue[[#This Row],[Gross Revenue]]-Business_Unit_Valid_Product_Revenue[[#This Row],[Discount]]</f>
        <v>1288952.28</v>
      </c>
      <c r="S1230" s="10">
        <f>Business_Unit_Valid_Product_Revenue[[#This Row],[Net Revenue]]/Business_Unit_Valid_Product_Revenue[[#Totals],[Net Revenue]]</f>
        <v>0.32933857341559719</v>
      </c>
      <c r="T1230" s="7">
        <v>354</v>
      </c>
      <c r="U1230" s="7"/>
    </row>
    <row r="1231" spans="1:21">
      <c r="O1231" s="9" t="s">
        <v>24</v>
      </c>
      <c r="P1231" s="7">
        <v>2639020</v>
      </c>
      <c r="Q1231" s="7">
        <v>386270.45</v>
      </c>
      <c r="R1231" s="7">
        <f>Business_Unit_Valid_Product_Revenue[[#This Row],[Gross Revenue]]-Business_Unit_Valid_Product_Revenue[[#This Row],[Discount]]</f>
        <v>2252749.5499999998</v>
      </c>
      <c r="S1231" s="10">
        <f>Business_Unit_Valid_Product_Revenue[[#This Row],[Net Revenue]]/Business_Unit_Valid_Product_Revenue[[#Totals],[Net Revenue]]</f>
        <v>0.57559719981226032</v>
      </c>
      <c r="T1231" s="7">
        <v>2913</v>
      </c>
      <c r="U1231" s="7"/>
    </row>
    <row r="1232" spans="1:21">
      <c r="O1232" s="9" t="s">
        <v>2597</v>
      </c>
      <c r="P1232" s="7">
        <f>SUBTOTAL(109,Business_Unit_Valid_Product_Revenue[Gross Revenue])</f>
        <v>4586720</v>
      </c>
      <c r="Q1232" s="7"/>
      <c r="R1232" s="7">
        <f>SUBTOTAL(109,Business_Unit_Valid_Product_Revenue[Net Revenue])</f>
        <v>3913760.44</v>
      </c>
      <c r="S1232" s="10">
        <f>SUBTOTAL(109,Business_Unit_Valid_Product_Revenue[Net Revenue Contribution %])</f>
        <v>1</v>
      </c>
      <c r="T1232" s="7">
        <f>SUBTOTAL(109,Business_Unit_Valid_Product_Revenue[Quantity])</f>
        <v>3470</v>
      </c>
      <c r="U1232" s="7"/>
    </row>
    <row r="1233" spans="6:21">
      <c r="O1233" s="9"/>
      <c r="P1233" s="7"/>
      <c r="Q1233" s="7"/>
      <c r="R1233" s="7"/>
      <c r="S1233" s="7"/>
      <c r="T1233" s="7"/>
      <c r="U1233" s="7"/>
    </row>
    <row r="1235" spans="6:21">
      <c r="O1235" s="6" t="s">
        <v>7</v>
      </c>
      <c r="P1235" s="8" t="s">
        <v>2600</v>
      </c>
      <c r="Q1235" s="8" t="s">
        <v>2601</v>
      </c>
      <c r="R1235" s="8" t="s">
        <v>2602</v>
      </c>
      <c r="S1235" s="8" t="s">
        <v>2603</v>
      </c>
      <c r="T1235" s="8" t="s">
        <v>2604</v>
      </c>
      <c r="U1235" s="8" t="s">
        <v>11</v>
      </c>
    </row>
    <row r="1236" spans="6:21">
      <c r="O1236" s="9" t="s">
        <v>23</v>
      </c>
      <c r="P1236" s="7">
        <f>SUMIF(Table1[RegionClean_],Table9[[#This Row],[Region]],Table1[GrossRevenue_Analytical])</f>
        <v>1804200</v>
      </c>
      <c r="Q1236" s="7">
        <f>SUMIF(Table1[RegionClean_],Table9[[#This Row],[Region]],Table1[DiscountAmount_Analytical])</f>
        <v>243296.86999999979</v>
      </c>
      <c r="R1236" s="10">
        <f>Table9[[#This Row],[Discount]]/Table9[[#This Row],[Gross Revenue]]</f>
        <v>0.13485027713113834</v>
      </c>
      <c r="S1236" s="7">
        <f>SUMIF(Table1[RegionClean_],Table9[[#This Row],[Region]],Table1[NetRevenue_Analytical])</f>
        <v>1560903.1300000004</v>
      </c>
      <c r="T1236" s="10">
        <f>Table9[[#This Row],[Net Revenue]]/Table9[[#Totals],[Net Revenue]]</f>
        <v>0.3973719922562694</v>
      </c>
      <c r="U1236" s="7">
        <f>SUMIF(Table1[RegionClean_],Table9[[#This Row],[Region]],Table1[Quantity])</f>
        <v>1394</v>
      </c>
    </row>
    <row r="1237" spans="6:21">
      <c r="O1237" s="9" t="s">
        <v>47</v>
      </c>
      <c r="P1237" s="7">
        <f>SUMIF(Table1[RegionClean_],Table9[[#This Row],[Region]],Table1[GrossRevenue_Analytical])</f>
        <v>1484225</v>
      </c>
      <c r="Q1237" s="7">
        <f>SUMIF(Table1[RegionClean_],Table9[[#This Row],[Region]],Table1[DiscountAmount_Analytical])</f>
        <v>197909.42999999993</v>
      </c>
      <c r="R1237" s="10">
        <f>Table9[[#This Row],[Discount]]/Table9[[#This Row],[Gross Revenue]]</f>
        <v>0.13334193265845806</v>
      </c>
      <c r="S1237" s="7">
        <f>SUMIF(Table1[RegionClean_],Table9[[#This Row],[Region]],Table1[NetRevenue_Analytical])</f>
        <v>1286315.5699999989</v>
      </c>
      <c r="T1237" s="10">
        <f>Table9[[#This Row],[Net Revenue]]/Table9[[#Totals],[Net Revenue]]</f>
        <v>0.327467970879883</v>
      </c>
      <c r="U1237" s="7">
        <f>SUMIF(Table1[RegionClean_],Table9[[#This Row],[Region]],Table1[Quantity])</f>
        <v>1116</v>
      </c>
    </row>
    <row r="1238" spans="6:21" ht="30">
      <c r="F1238" s="6" t="s">
        <v>2609</v>
      </c>
      <c r="G1238" s="8" t="s">
        <v>2600</v>
      </c>
      <c r="H1238" s="8" t="s">
        <v>2601</v>
      </c>
      <c r="I1238" s="8" t="s">
        <v>2603</v>
      </c>
      <c r="J1238" s="8" t="s">
        <v>2610</v>
      </c>
      <c r="K1238" s="8" t="s">
        <v>11</v>
      </c>
      <c r="O1238" s="9" t="s">
        <v>58</v>
      </c>
      <c r="P1238" s="7">
        <f>SUMIF(Table1[RegionClean_],Table9[[#This Row],[Region]],Table1[GrossRevenue_Analytical])</f>
        <v>814715</v>
      </c>
      <c r="Q1238" s="7">
        <f>SUMIF(Table1[RegionClean_],Table9[[#This Row],[Region]],Table1[DiscountAmount_Analytical])</f>
        <v>148525.88</v>
      </c>
      <c r="R1238" s="10">
        <f>Table9[[#This Row],[Discount]]/Table9[[#This Row],[Gross Revenue]]</f>
        <v>0.18230409406970535</v>
      </c>
      <c r="S1238" s="7">
        <f>SUMIF(Table1[RegionClean_],Table9[[#This Row],[Region]],Table1[NetRevenue_Analytical])</f>
        <v>666189.12000000034</v>
      </c>
      <c r="T1238" s="10">
        <f>Table9[[#This Row],[Net Revenue]]/Table9[[#Totals],[Net Revenue]]</f>
        <v>0.16959726247320103</v>
      </c>
      <c r="U1238" s="7">
        <f>SUMIF(Table1[RegionClean_],Table9[[#This Row],[Region]],Table1[Quantity])</f>
        <v>617</v>
      </c>
    </row>
    <row r="1239" spans="6:21">
      <c r="F1239" s="18">
        <v>45688</v>
      </c>
      <c r="G1239" s="7">
        <f>SUMIFS(Table1[GrossRevenue_Analytical],Table1[TransactionDate_Clean],"&gt;"&amp;EOMONTH(Table12[[#This Row],[Month]],-1),Table1[TransactionDate_Clean],"&lt;="&amp;Table12[[#This Row],[Month]])</f>
        <v>644255</v>
      </c>
      <c r="H1239" s="7">
        <f>SUMIFS(Table1[DiscountAmount_Analytical],Table1[TransactionDate_Clean],"&gt;"&amp;EOMONTH(Table12[[#This Row],[Month]],-1),Table1[TransactionDate_Clean],"&lt;="&amp;Table12[[#This Row],[Month]])</f>
        <v>101513.06000000006</v>
      </c>
      <c r="I1239" s="7">
        <f>SUMIFS(Table1[NetRevenue_Analytical],Table1[TransactionDate_Clean],"&gt;"&amp;EOMONTH(Table12[[#This Row],[Month]],-1),Table1[TransactionDate_Clean],"&lt;="&amp;Table12[[#This Row],[Month]])</f>
        <v>542741.93999999971</v>
      </c>
      <c r="J1239" s="7" t="s">
        <v>2607</v>
      </c>
      <c r="K1239" s="7">
        <f>SUMIFS(Table1[Quantity],Table1[TransactionDate_Clean],"&gt;"&amp;EOMONTH(Table12[[#This Row],[Month]],-1),Table1[TransactionDate_Clean],"&lt;="&amp;Table12[[#This Row],[Month]])</f>
        <v>496</v>
      </c>
      <c r="L1239" s="7"/>
      <c r="M1239" s="17"/>
      <c r="O1239" s="9" t="s">
        <v>32</v>
      </c>
      <c r="P1239" s="7">
        <f>SUMIF(Table1[RegionClean_],Table9[[#This Row],[Region]],Table1[GrossRevenue_Analytical])</f>
        <v>499555</v>
      </c>
      <c r="Q1239" s="7">
        <f>SUMIF(Table1[RegionClean_],Table9[[#This Row],[Region]],Table1[DiscountAmount_Analytical])</f>
        <v>84897.529999999984</v>
      </c>
      <c r="R1239" s="10">
        <f>Table9[[#This Row],[Discount]]/Table9[[#This Row],[Gross Revenue]]</f>
        <v>0.16994631221787387</v>
      </c>
      <c r="S1239" s="7">
        <f>SUMIF(Table1[RegionClean_],Table9[[#This Row],[Region]],Table1[NetRevenue_Analytical])</f>
        <v>414657.47</v>
      </c>
      <c r="T1239" s="10">
        <f>Table9[[#This Row],[Net Revenue]]/Table9[[#Totals],[Net Revenue]]</f>
        <v>0.10556277439064667</v>
      </c>
      <c r="U1239" s="7">
        <f>SUMIF(Table1[RegionClean_],Table9[[#This Row],[Region]],Table1[Quantity])</f>
        <v>356</v>
      </c>
    </row>
    <row r="1240" spans="6:21">
      <c r="F1240" s="18">
        <v>45716</v>
      </c>
      <c r="G1240" s="7">
        <f>SUMIFS(Table1[GrossRevenue_Analytical],Table1[TransactionDate_Clean],"&gt;"&amp;EOMONTH(Table12[[#This Row],[Month]],-1),Table1[TransactionDate_Clean],"&lt;="&amp;Table12[[#This Row],[Month]])</f>
        <v>562320</v>
      </c>
      <c r="H1240" s="7">
        <f>SUMIFS(Table1[DiscountAmount_Analytical],Table1[TransactionDate_Clean],"&gt;"&amp;EOMONTH(Table12[[#This Row],[Month]],-1),Table1[TransactionDate_Clean],"&lt;="&amp;Table12[[#This Row],[Month]])</f>
        <v>84533.000000000058</v>
      </c>
      <c r="I1240" s="7">
        <f>SUMIFS(Table1[NetRevenue_Analytical],Table1[TransactionDate_Clean],"&gt;"&amp;EOMONTH(Table12[[#This Row],[Month]],-1),Table1[TransactionDate_Clean],"&lt;="&amp;Table12[[#This Row],[Month]])</f>
        <v>477787.00000000017</v>
      </c>
      <c r="J1240" s="10">
        <f>(Table12[[#This Row],[Net Revenue]]-I1239)/I1239</f>
        <v>-0.11967923466537259</v>
      </c>
      <c r="K1240" s="7">
        <f>SUMIFS(Table1[Quantity],Table1[TransactionDate_Clean],"&gt;"&amp;EOMONTH(Table12[[#This Row],[Month]],-1),Table1[TransactionDate_Clean],"&lt;="&amp;Table12[[#This Row],[Month]])</f>
        <v>499</v>
      </c>
      <c r="O1240" s="9" t="s">
        <v>2597</v>
      </c>
      <c r="P1240" s="7">
        <f>SUBTOTAL(109,Table9[Gross Revenue])</f>
        <v>4602695</v>
      </c>
      <c r="Q1240" s="7">
        <f>SUBTOTAL(109,Table9[Discount])</f>
        <v>674629.70999999973</v>
      </c>
      <c r="R1240" s="10"/>
      <c r="S1240" s="7">
        <f>SUBTOTAL(109,Table9[Net Revenue])</f>
        <v>3928065.2899999991</v>
      </c>
      <c r="T1240" s="15">
        <f>SUBTOTAL(109,Table9[Revenue Contribution (%)])</f>
        <v>1.0000000000000002</v>
      </c>
      <c r="U1240" s="7">
        <f>SUBTOTAL(109,Table9[Quantity])</f>
        <v>3483</v>
      </c>
    </row>
    <row r="1241" spans="6:21">
      <c r="F1241" s="18">
        <v>45747</v>
      </c>
      <c r="G1241" s="7">
        <f>SUMIFS(Table1[GrossRevenue_Analytical],Table1[TransactionDate_Clean],"&gt;"&amp;EOMONTH(Table12[[#This Row],[Month]],-1),Table1[TransactionDate_Clean],"&lt;="&amp;Table12[[#This Row],[Month]])</f>
        <v>688795</v>
      </c>
      <c r="H1241" s="7">
        <f>SUMIFS(Table1[DiscountAmount_Analytical],Table1[TransactionDate_Clean],"&gt;"&amp;EOMONTH(Table12[[#This Row],[Month]],-1),Table1[TransactionDate_Clean],"&lt;="&amp;Table12[[#This Row],[Month]])</f>
        <v>94640.989999999991</v>
      </c>
      <c r="I1241" s="7">
        <f>SUMIFS(Table1[NetRevenue_Analytical],Table1[TransactionDate_Clean],"&gt;"&amp;EOMONTH(Table12[[#This Row],[Month]],-1),Table1[TransactionDate_Clean],"&lt;="&amp;Table12[[#This Row],[Month]])</f>
        <v>594154.00999999989</v>
      </c>
      <c r="J1241" s="10">
        <f>(Table12[[#This Row],[Net Revenue]]-I1240)/I1240</f>
        <v>0.24355415697789951</v>
      </c>
      <c r="K1241" s="7">
        <f>SUMIFS(Table1[Quantity],Table1[TransactionDate_Clean],"&gt;"&amp;EOMONTH(Table12[[#This Row],[Month]],-1),Table1[TransactionDate_Clean],"&lt;="&amp;Table12[[#This Row],[Month]])</f>
        <v>581</v>
      </c>
      <c r="O1241" s="9"/>
      <c r="P1241" s="7"/>
      <c r="Q1241" s="7"/>
      <c r="R1241" s="10"/>
      <c r="S1241" s="7"/>
      <c r="T1241" s="15"/>
      <c r="U1241" s="7"/>
    </row>
    <row r="1242" spans="6:21">
      <c r="F1242" s="18">
        <v>45777</v>
      </c>
      <c r="G1242" s="7">
        <f>SUMIFS(Table1[GrossRevenue_Analytical],Table1[TransactionDate_Clean],"&gt;"&amp;EOMONTH(Table12[[#This Row],[Month]],-1),Table1[TransactionDate_Clean],"&lt;="&amp;Table12[[#This Row],[Month]])</f>
        <v>847870</v>
      </c>
      <c r="H1242" s="7">
        <f>SUMIFS(Table1[DiscountAmount_Analytical],Table1[TransactionDate_Clean],"&gt;"&amp;EOMONTH(Table12[[#This Row],[Month]],-1),Table1[TransactionDate_Clean],"&lt;="&amp;Table12[[#This Row],[Month]])</f>
        <v>115587.1899999999</v>
      </c>
      <c r="I1242" s="7">
        <f>SUMIFS(Table1[NetRevenue_Analytical],Table1[TransactionDate_Clean],"&gt;"&amp;EOMONTH(Table12[[#This Row],[Month]],-1),Table1[TransactionDate_Clean],"&lt;="&amp;Table12[[#This Row],[Month]])</f>
        <v>732282.80999999994</v>
      </c>
      <c r="J1242" s="10">
        <f>(Table12[[#This Row],[Net Revenue]]-I1241)/I1241</f>
        <v>0.23247979088788792</v>
      </c>
      <c r="K1242" s="7">
        <f>SUMIFS(Table1[Quantity],Table1[TransactionDate_Clean],"&gt;"&amp;EOMONTH(Table12[[#This Row],[Month]],-1),Table1[TransactionDate_Clean],"&lt;="&amp;Table12[[#This Row],[Month]])</f>
        <v>645</v>
      </c>
      <c r="O1242" s="6" t="s">
        <v>7</v>
      </c>
      <c r="P1242" s="8" t="s">
        <v>2589</v>
      </c>
      <c r="Q1242" s="8" t="s">
        <v>2600</v>
      </c>
      <c r="R1242" s="8" t="s">
        <v>2601</v>
      </c>
      <c r="S1242" s="8" t="s">
        <v>2603</v>
      </c>
      <c r="T1242" s="16" t="s">
        <v>2662</v>
      </c>
      <c r="U1242" s="8" t="s">
        <v>11</v>
      </c>
    </row>
    <row r="1243" spans="6:21">
      <c r="F1243" s="18">
        <v>45808</v>
      </c>
      <c r="G1243" s="7">
        <f>SUMIFS(Table1[GrossRevenue_Analytical],Table1[TransactionDate_Clean],"&gt;"&amp;EOMONTH(Table12[[#This Row],[Month]],-1),Table1[TransactionDate_Clean],"&lt;="&amp;Table12[[#This Row],[Month]])</f>
        <v>882260</v>
      </c>
      <c r="H1243" s="7">
        <f>SUMIFS(Table1[DiscountAmount_Analytical],Table1[TransactionDate_Clean],"&gt;"&amp;EOMONTH(Table12[[#This Row],[Month]],-1),Table1[TransactionDate_Clean],"&lt;="&amp;Table12[[#This Row],[Month]])</f>
        <v>132063.05000000005</v>
      </c>
      <c r="I1243" s="7">
        <f>SUMIFS(Table1[NetRevenue_Analytical],Table1[TransactionDate_Clean],"&gt;"&amp;EOMONTH(Table12[[#This Row],[Month]],-1),Table1[TransactionDate_Clean],"&lt;="&amp;Table12[[#This Row],[Month]])</f>
        <v>750196.95000000042</v>
      </c>
      <c r="J1243" s="10">
        <f>(Table12[[#This Row],[Net Revenue]]-I1242)/I1242</f>
        <v>2.4463417351010167E-2</v>
      </c>
      <c r="K1243" s="7">
        <f>SUMIFS(Table1[Quantity],Table1[TransactionDate_Clean],"&gt;"&amp;EOMONTH(Table12[[#This Row],[Month]],-1),Table1[TransactionDate_Clean],"&lt;="&amp;Table12[[#This Row],[Month]])</f>
        <v>590</v>
      </c>
      <c r="O1243" s="9" t="s">
        <v>23</v>
      </c>
      <c r="P1243" s="7"/>
      <c r="Q1243" s="7">
        <v>1800120</v>
      </c>
      <c r="R1243" s="7">
        <v>242814.14</v>
      </c>
      <c r="S1243" s="7">
        <f>Invalid_ProductID_Exclusion[[#This Row],[Gross Revenue]]-Invalid_ProductID_Exclusion[[#This Row],[Discount]]</f>
        <v>1557305.8599999999</v>
      </c>
      <c r="T1243" s="10">
        <f>Invalid_ProductID_Exclusion[[#This Row],[Net Revenue]]/Invalid_ProductID_Exclusion[[#Totals],[Net Revenue]]</f>
        <v>0.39790525860596621</v>
      </c>
      <c r="U1243" s="7">
        <v>1391</v>
      </c>
    </row>
    <row r="1244" spans="6:21">
      <c r="F1244" s="18">
        <v>45838</v>
      </c>
      <c r="G1244" s="7">
        <f>SUMIFS(Table1[GrossRevenue_Analytical],Table1[TransactionDate_Clean],"&gt;"&amp;EOMONTH(Table12[[#This Row],[Month]],-1),Table1[TransactionDate_Clean],"&lt;="&amp;Table12[[#This Row],[Month]])</f>
        <v>977195</v>
      </c>
      <c r="H1244" s="7">
        <f>SUMIFS(Table1[DiscountAmount_Analytical],Table1[TransactionDate_Clean],"&gt;"&amp;EOMONTH(Table12[[#This Row],[Month]],-1),Table1[TransactionDate_Clean],"&lt;="&amp;Table12[[#This Row],[Month]])</f>
        <v>146292.42000000007</v>
      </c>
      <c r="I1244" s="7">
        <f>SUMIFS(Table1[NetRevenue_Analytical],Table1[TransactionDate_Clean],"&gt;"&amp;EOMONTH(Table12[[#This Row],[Month]],-1),Table1[TransactionDate_Clean],"&lt;="&amp;Table12[[#This Row],[Month]])</f>
        <v>830902.58000000042</v>
      </c>
      <c r="J1244" s="10">
        <f>(Table12[[#This Row],[Net Revenue]]-I1243)/I1243</f>
        <v>0.10757925635394806</v>
      </c>
      <c r="K1244" s="7">
        <f>SUMIFS(Table1[Quantity],Table1[TransactionDate_Clean],"&gt;"&amp;EOMONTH(Table12[[#This Row],[Month]],-1),Table1[TransactionDate_Clean],"&lt;="&amp;Table12[[#This Row],[Month]])</f>
        <v>672</v>
      </c>
      <c r="O1244" s="9" t="s">
        <v>47</v>
      </c>
      <c r="P1244" s="7"/>
      <c r="Q1244" s="7">
        <v>1474750</v>
      </c>
      <c r="R1244" s="7">
        <v>197046.59</v>
      </c>
      <c r="S1244" s="7">
        <f>Invalid_ProductID_Exclusion[[#This Row],[Gross Revenue]]-Invalid_ProductID_Exclusion[[#This Row],[Discount]]</f>
        <v>1277703.4099999999</v>
      </c>
      <c r="T1244" s="10">
        <f>Invalid_ProductID_Exclusion[[#This Row],[Net Revenue]]/Invalid_ProductID_Exclusion[[#Totals],[Net Revenue]]</f>
        <v>0.32646438881169743</v>
      </c>
      <c r="U1244" s="7">
        <v>1110</v>
      </c>
    </row>
    <row r="1245" spans="6:21">
      <c r="F1245" s="9" t="s">
        <v>2597</v>
      </c>
      <c r="G1245" s="7">
        <f>SUBTOTAL(109,Table12[Gross Revenue])</f>
        <v>4602695</v>
      </c>
      <c r="H1245" s="7">
        <f>SUBTOTAL(109,Table12[Discount])</f>
        <v>674629.71000000008</v>
      </c>
      <c r="I1245" s="7">
        <f>SUBTOTAL(109,Table12[Net Revenue])</f>
        <v>3928065.2900000005</v>
      </c>
      <c r="J1245" s="7"/>
      <c r="K1245" s="7">
        <f>SUBTOTAL(109,Table12[Quantity])</f>
        <v>3483</v>
      </c>
      <c r="O1245" s="9" t="s">
        <v>58</v>
      </c>
      <c r="P1245" s="7"/>
      <c r="Q1245" s="7">
        <v>812295</v>
      </c>
      <c r="R1245" s="7">
        <v>148201.29999999999</v>
      </c>
      <c r="S1245" s="7">
        <f>Invalid_ProductID_Exclusion[[#This Row],[Gross Revenue]]-Invalid_ProductID_Exclusion[[#This Row],[Discount]]</f>
        <v>664093.69999999995</v>
      </c>
      <c r="T1245" s="10">
        <f>Invalid_ProductID_Exclusion[[#This Row],[Net Revenue]]/Invalid_ProductID_Exclusion[[#Totals],[Net Revenue]]</f>
        <v>0.16968174475185815</v>
      </c>
      <c r="U1245" s="7">
        <v>613</v>
      </c>
    </row>
    <row r="1246" spans="6:21">
      <c r="O1246" s="9" t="s">
        <v>32</v>
      </c>
      <c r="P1246" s="7"/>
      <c r="Q1246" s="7">
        <v>499555</v>
      </c>
      <c r="R1246" s="7">
        <v>84897.53</v>
      </c>
      <c r="S1246" s="7">
        <f>Invalid_ProductID_Exclusion[[#This Row],[Gross Revenue]]-Invalid_ProductID_Exclusion[[#This Row],[Discount]]</f>
        <v>414657.47</v>
      </c>
      <c r="T1246" s="10">
        <f>Invalid_ProductID_Exclusion[[#This Row],[Net Revenue]]/Invalid_ProductID_Exclusion[[#Totals],[Net Revenue]]</f>
        <v>0.10594860783047826</v>
      </c>
      <c r="U1246" s="7">
        <v>356</v>
      </c>
    </row>
    <row r="1247" spans="6:21">
      <c r="O1247" s="9" t="s">
        <v>2597</v>
      </c>
      <c r="P1247" s="7"/>
      <c r="Q1247" s="7">
        <f>SUBTOTAL(109,Invalid_ProductID_Exclusion[Gross Revenue])</f>
        <v>4586720</v>
      </c>
      <c r="R1247" s="7">
        <f>SUBTOTAL(109,Invalid_ProductID_Exclusion[Discount])</f>
        <v>672959.56</v>
      </c>
      <c r="S1247" s="7">
        <f>SUBTOTAL(109,Invalid_ProductID_Exclusion[Net Revenue])</f>
        <v>3913760.4399999995</v>
      </c>
      <c r="T1247" s="15">
        <f>SUBTOTAL(109,Invalid_ProductID_Exclusion[Net Contribution])</f>
        <v>1</v>
      </c>
      <c r="U1247" s="7">
        <f>SUBTOTAL(109,Invalid_ProductID_Exclusion[Quantity])</f>
        <v>3470</v>
      </c>
    </row>
    <row r="1248" spans="6:21">
      <c r="O1248" s="9"/>
      <c r="P1248" s="7"/>
      <c r="Q1248" s="7"/>
      <c r="R1248" s="7"/>
      <c r="S1248" s="7"/>
      <c r="T1248" s="15"/>
      <c r="U1248" s="7"/>
    </row>
    <row r="1249" spans="6:22" ht="15" customHeight="1">
      <c r="O1249" s="6" t="s">
        <v>2608</v>
      </c>
      <c r="P1249" s="6" t="s">
        <v>2600</v>
      </c>
      <c r="Q1249" s="6" t="s">
        <v>2601</v>
      </c>
      <c r="R1249" s="6" t="s">
        <v>2667</v>
      </c>
      <c r="S1249" s="6" t="s">
        <v>2603</v>
      </c>
      <c r="T1249" s="6" t="s">
        <v>2663</v>
      </c>
      <c r="U1249" s="8" t="s">
        <v>11</v>
      </c>
    </row>
    <row r="1250" spans="6:22">
      <c r="O1250" s="9" t="s">
        <v>2049</v>
      </c>
      <c r="P1250" s="46">
        <v>442550</v>
      </c>
      <c r="Q1250" s="43">
        <v>70491.39</v>
      </c>
      <c r="R1250" s="10">
        <f>Product_Category_Valid_Product_Revenue[[#This Row],[Discount]]/Product_Category_Valid_Product_Revenue[[#This Row],[Gross Revenue]]</f>
        <v>0.15928457801378376</v>
      </c>
      <c r="S1250" s="43">
        <f>Product_Category_Valid_Product_Revenue[[#This Row],[Gross Revenue]]-Product_Category_Valid_Product_Revenue[[#This Row],[Discount]]</f>
        <v>372058.61</v>
      </c>
      <c r="T1250" s="10">
        <f>Product_Category_Valid_Product_Revenue[[#This Row],[Net Revenue]]/Product_Category_Valid_Product_Revenue[[#Totals],[Net Revenue]]</f>
        <v>9.5064226772142435E-2</v>
      </c>
      <c r="U1250" s="46">
        <v>203</v>
      </c>
      <c r="V1250" s="12"/>
    </row>
    <row r="1251" spans="6:22">
      <c r="O1251" s="9" t="s">
        <v>2064</v>
      </c>
      <c r="P1251" s="46">
        <v>1341950</v>
      </c>
      <c r="Q1251" s="43">
        <v>192895.8</v>
      </c>
      <c r="R1251" s="10">
        <f>Product_Category_Valid_Product_Revenue[[#This Row],[Discount]]/Product_Category_Valid_Product_Revenue[[#This Row],[Gross Revenue]]</f>
        <v>0.14374291143485227</v>
      </c>
      <c r="S1251" s="43">
        <f>Product_Category_Valid_Product_Revenue[[#This Row],[Gross Revenue]]-Product_Category_Valid_Product_Revenue[[#This Row],[Discount]]</f>
        <v>1149054.2</v>
      </c>
      <c r="T1251" s="10">
        <f>Product_Category_Valid_Product_Revenue[[#This Row],[Net Revenue]]/Product_Category_Valid_Product_Revenue[[#Totals],[Net Revenue]]</f>
        <v>0.29359339121941758</v>
      </c>
      <c r="U1251" s="46">
        <v>303</v>
      </c>
      <c r="V1251" s="7"/>
    </row>
    <row r="1252" spans="6:22">
      <c r="O1252" s="9" t="s">
        <v>2076</v>
      </c>
      <c r="P1252" s="46">
        <v>163200</v>
      </c>
      <c r="Q1252" s="43">
        <v>23301.919999999998</v>
      </c>
      <c r="R1252" s="10">
        <f>Product_Category_Valid_Product_Revenue[[#This Row],[Discount]]/Product_Category_Valid_Product_Revenue[[#This Row],[Gross Revenue]]</f>
        <v>0.1427813725490196</v>
      </c>
      <c r="S1252" s="43">
        <f>Product_Category_Valid_Product_Revenue[[#This Row],[Gross Revenue]]-Product_Category_Valid_Product_Revenue[[#This Row],[Discount]]</f>
        <v>139898.08000000002</v>
      </c>
      <c r="T1252" s="10">
        <f>Product_Category_Valid_Product_Revenue[[#This Row],[Net Revenue]]/Product_Category_Valid_Product_Revenue[[#Totals],[Net Revenue]]</f>
        <v>3.5745182196179594E-2</v>
      </c>
      <c r="U1252" s="46">
        <v>51</v>
      </c>
      <c r="V1252" s="7"/>
    </row>
    <row r="1253" spans="6:22">
      <c r="O1253" s="9" t="s">
        <v>2081</v>
      </c>
      <c r="P1253" s="46">
        <v>1339150</v>
      </c>
      <c r="Q1253" s="43">
        <v>203632.17</v>
      </c>
      <c r="R1253" s="10">
        <f>Product_Category_Valid_Product_Revenue[[#This Row],[Discount]]/Product_Category_Valid_Product_Revenue[[#This Row],[Gross Revenue]]</f>
        <v>0.15206076242392563</v>
      </c>
      <c r="S1253" s="43">
        <f>Product_Category_Valid_Product_Revenue[[#This Row],[Gross Revenue]]-Product_Category_Valid_Product_Revenue[[#This Row],[Discount]]</f>
        <v>1135517.83</v>
      </c>
      <c r="T1253" s="10">
        <f>Product_Category_Valid_Product_Revenue[[#This Row],[Net Revenue]]/Product_Category_Valid_Product_Revenue[[#Totals],[Net Revenue]]</f>
        <v>0.29013473037199999</v>
      </c>
      <c r="U1253" s="46">
        <v>2146</v>
      </c>
      <c r="V1253" s="7"/>
    </row>
    <row r="1254" spans="6:22">
      <c r="O1254" s="9" t="s">
        <v>2088</v>
      </c>
      <c r="P1254" s="46">
        <v>1299870</v>
      </c>
      <c r="Q1254" s="43">
        <v>182638.28</v>
      </c>
      <c r="R1254" s="10">
        <f>Product_Category_Valid_Product_Revenue[[#This Row],[Discount]]/Product_Category_Valid_Product_Revenue[[#This Row],[Gross Revenue]]</f>
        <v>0.1405050351188965</v>
      </c>
      <c r="S1254" s="43">
        <f>Product_Category_Valid_Product_Revenue[[#This Row],[Gross Revenue]]-Product_Category_Valid_Product_Revenue[[#This Row],[Discount]]</f>
        <v>1117231.72</v>
      </c>
      <c r="T1254" s="10">
        <f>Product_Category_Valid_Product_Revenue[[#This Row],[Net Revenue]]/Product_Category_Valid_Product_Revenue[[#Totals],[Net Revenue]]</f>
        <v>0.28546246944026032</v>
      </c>
      <c r="U1254" s="46">
        <v>767</v>
      </c>
      <c r="V1254" s="7"/>
    </row>
    <row r="1255" spans="6:22">
      <c r="O1255" s="12"/>
      <c r="P1255" s="46">
        <f>SUBTOTAL(109,Product_Category_Valid_Product_Revenue[Gross Revenue])</f>
        <v>4586720</v>
      </c>
      <c r="Q1255" s="43">
        <f>SUBTOTAL(109,Product_Category_Valid_Product_Revenue[Discount])</f>
        <v>672959.56</v>
      </c>
      <c r="R1255" s="43"/>
      <c r="S1255" s="43">
        <f>SUBTOTAL(109,Product_Category_Valid_Product_Revenue[Net Revenue])</f>
        <v>3913760.4400000004</v>
      </c>
      <c r="T1255" s="16">
        <f>SUBTOTAL(109,Product_Category_Valid_Product_Revenue[Net Revenue Contribution %])</f>
        <v>1</v>
      </c>
      <c r="U1255" s="47">
        <f>SUBTOTAL(109,Product_Category_Valid_Product_Revenue[Quantity])</f>
        <v>3470</v>
      </c>
      <c r="V1255" s="7"/>
    </row>
    <row r="1256" spans="6:22">
      <c r="O1256" s="12"/>
      <c r="P1256" s="7"/>
      <c r="Q1256" s="7"/>
      <c r="R1256" s="7"/>
      <c r="S1256" s="7"/>
      <c r="T1256" s="7"/>
      <c r="U1256" s="7"/>
      <c r="V1256" s="7"/>
    </row>
    <row r="1257" spans="6:22">
      <c r="O1257" s="9"/>
      <c r="P1257" s="7"/>
      <c r="Q1257" s="7"/>
      <c r="R1257" s="7"/>
      <c r="S1257" s="7"/>
      <c r="T1257" s="15"/>
      <c r="U1257" s="7"/>
    </row>
    <row r="1258" spans="6:22">
      <c r="O1258" s="9"/>
      <c r="P1258" s="7"/>
      <c r="Q1258" s="7"/>
      <c r="R1258" s="7"/>
      <c r="S1258" s="7"/>
      <c r="T1258" s="15"/>
      <c r="U1258" s="7"/>
    </row>
    <row r="1260" spans="6:22">
      <c r="O1260" s="6" t="s">
        <v>2606</v>
      </c>
      <c r="P1260" s="8" t="s">
        <v>2600</v>
      </c>
      <c r="Q1260" s="8" t="s">
        <v>2601</v>
      </c>
      <c r="R1260" s="8" t="s">
        <v>2602</v>
      </c>
      <c r="S1260" s="8" t="s">
        <v>2603</v>
      </c>
      <c r="T1260" s="8" t="s">
        <v>2604</v>
      </c>
      <c r="U1260" s="8" t="s">
        <v>11</v>
      </c>
    </row>
    <row r="1261" spans="6:22">
      <c r="O1261" s="9" t="s">
        <v>59</v>
      </c>
      <c r="P1261" s="7">
        <f>SUMIF(Table1[CustomerSegment],Table10[[#This Row],[Customer Segment]],Table1[GrossRevenue_Analytical])</f>
        <v>701995</v>
      </c>
      <c r="Q1261" s="7">
        <f>SUMIF(Table1[CustomerSegment],Table10[[#This Row],[Customer Segment]],Table1[DiscountAmount_Analytical])</f>
        <v>84447.320000000022</v>
      </c>
      <c r="R1261" s="10">
        <f>Table10[[#This Row],[Discount]]/Table10[[#This Row],[Gross Revenue]]</f>
        <v>0.12029618444575819</v>
      </c>
      <c r="S1261" s="7">
        <f>SUMIF(Table1[CustomerSegment],Table10[[#This Row],[Customer Segment]],Table1[NetRevenue_Analytical])</f>
        <v>617547.6799999997</v>
      </c>
      <c r="T1261" s="10">
        <f>Table10[[#This Row],[Net Revenue]]/Table10[[#Totals],[Net Revenue]]</f>
        <v>0.15721420964466698</v>
      </c>
      <c r="U1261" s="7">
        <f>SUMIF(Table1[CustomerSegment],Table10[[#This Row],[Customer Segment]],Table1[Quantity])</f>
        <v>524</v>
      </c>
    </row>
    <row r="1262" spans="6:22" ht="15.75" customHeight="1">
      <c r="O1262" s="9" t="s">
        <v>36</v>
      </c>
      <c r="P1262" s="7">
        <f>SUMIF(Table1[CustomerSegment],Table10[[#This Row],[Customer Segment]],Table1[GrossRevenue_Analytical])</f>
        <v>1432890</v>
      </c>
      <c r="Q1262" s="7">
        <f>SUMIF(Table1[CustomerSegment],Table10[[#This Row],[Customer Segment]],Table1[DiscountAmount_Analytical])</f>
        <v>206639.22999999992</v>
      </c>
      <c r="R1262" s="10">
        <f>Table10[[#This Row],[Discount]]/Table10[[#This Row],[Gross Revenue]]</f>
        <v>0.14421150960645962</v>
      </c>
      <c r="S1262" s="7">
        <f>SUMIF(Table1[CustomerSegment],Table10[[#This Row],[Customer Segment]],Table1[NetRevenue_Analytical])</f>
        <v>1226250.77</v>
      </c>
      <c r="T1262" s="10">
        <f>Table10[[#This Row],[Net Revenue]]/Table10[[#Totals],[Net Revenue]]</f>
        <v>0.31217677901682733</v>
      </c>
      <c r="U1262" s="7">
        <f>SUMIF(Table1[CustomerSegment],Table10[[#This Row],[Customer Segment]],Table1[Quantity])</f>
        <v>1105</v>
      </c>
    </row>
    <row r="1263" spans="6:22" ht="15" customHeight="1">
      <c r="F1263" s="6" t="s">
        <v>4</v>
      </c>
      <c r="G1263" s="8" t="s">
        <v>2600</v>
      </c>
      <c r="H1263" s="8" t="s">
        <v>2601</v>
      </c>
      <c r="I1263" s="6" t="s">
        <v>2602</v>
      </c>
      <c r="J1263" s="8" t="s">
        <v>2603</v>
      </c>
      <c r="K1263" s="6" t="s">
        <v>2604</v>
      </c>
      <c r="L1263" s="6" t="s">
        <v>11</v>
      </c>
      <c r="O1263" s="9" t="s">
        <v>44</v>
      </c>
      <c r="P1263" s="7">
        <f>SUMIF(Table1[CustomerSegment],Table10[[#This Row],[Customer Segment]],Table1[GrossRevenue_Analytical])</f>
        <v>970620</v>
      </c>
      <c r="Q1263" s="7">
        <f>SUMIF(Table1[CustomerSegment],Table10[[#This Row],[Customer Segment]],Table1[DiscountAmount_Analytical])</f>
        <v>161872.59000000014</v>
      </c>
      <c r="R1263" s="10">
        <f>Table10[[#This Row],[Discount]]/Table10[[#This Row],[Gross Revenue]]</f>
        <v>0.16677236199542575</v>
      </c>
      <c r="S1263" s="7">
        <f>SUMIF(Table1[CustomerSegment],Table10[[#This Row],[Customer Segment]],Table1[NetRevenue_Analytical])</f>
        <v>808747.41000000038</v>
      </c>
      <c r="T1263" s="10">
        <f>Table10[[#This Row],[Net Revenue]]/Table10[[#Totals],[Net Revenue]]</f>
        <v>0.2058895029211697</v>
      </c>
      <c r="U1263" s="7">
        <f>SUMIF(Table1[CustomerSegment],Table10[[#This Row],[Customer Segment]],Table1[Quantity])</f>
        <v>710</v>
      </c>
    </row>
    <row r="1264" spans="6:22">
      <c r="F1264" s="9" t="s">
        <v>133</v>
      </c>
      <c r="G1264" s="7">
        <f>SUMIF(Table1[ProductID_Clean],Table14[[#This Row],[ProductID]],Table1[GrossRevenue_Analytical])</f>
        <v>92500</v>
      </c>
      <c r="H1264" s="7">
        <f>SUMIF(Table1[ProductID_Clean],Table14[[#This Row],[ProductID]],Table1[DiscountAmount_Analytical])</f>
        <v>20879.159999999996</v>
      </c>
      <c r="I1264" s="10">
        <f>Table14[[#This Row],[Discount]]/Table14[[#This Row],[Gross Revenue]]</f>
        <v>0.2257206486486486</v>
      </c>
      <c r="J1264" s="7">
        <f>SUMIF(Table1[ProductID_Clean],Table14[[#This Row],[ProductID]],Table1[NetRevenue_Analytical])</f>
        <v>71620.84</v>
      </c>
      <c r="K1264" s="10">
        <f>Table14[[#This Row],[Net Revenue]]/Table14[[#Totals],[Net Revenue]]</f>
        <v>1.8299750610182974E-2</v>
      </c>
      <c r="L1264" s="7">
        <f>SUMIF(Table1[ProductID_Clean],Table14[[#This Row],[ProductID]],Table1[Quantity])</f>
        <v>50</v>
      </c>
      <c r="O1264" s="9" t="s">
        <v>28</v>
      </c>
      <c r="P1264" s="7">
        <f>SUMIF(Table1[CustomerSegment],Table10[[#This Row],[Customer Segment]],Table1[GrossRevenue_Analytical])</f>
        <v>725270</v>
      </c>
      <c r="Q1264" s="7">
        <f>SUMIF(Table1[CustomerSegment],Table10[[#This Row],[Customer Segment]],Table1[DiscountAmount_Analytical])</f>
        <v>117086.82000000005</v>
      </c>
      <c r="R1264" s="10">
        <f>Table10[[#This Row],[Discount]]/Table10[[#This Row],[Gross Revenue]]</f>
        <v>0.16143893998097267</v>
      </c>
      <c r="S1264" s="7">
        <f>SUMIF(Table1[CustomerSegment],Table10[[#This Row],[Customer Segment]],Table1[NetRevenue_Analytical])</f>
        <v>608183.18000000005</v>
      </c>
      <c r="T1264" s="10">
        <f>Table10[[#This Row],[Net Revenue]]/Table10[[#Totals],[Net Revenue]]</f>
        <v>0.15483021159253693</v>
      </c>
      <c r="U1264" s="7">
        <f>SUMIF(Table1[CustomerSegment],Table10[[#This Row],[Customer Segment]],Table1[Quantity])</f>
        <v>574</v>
      </c>
    </row>
    <row r="1265" spans="6:21">
      <c r="F1265" s="9" t="s">
        <v>81</v>
      </c>
      <c r="G1265" s="7">
        <f>SUMIF(Table1[ProductID_Clean],Table14[[#This Row],[ProductID]],Table1[GrossRevenue_Analytical])</f>
        <v>122400</v>
      </c>
      <c r="H1265" s="7">
        <f>SUMIF(Table1[ProductID_Clean],Table14[[#This Row],[ProductID]],Table1[DiscountAmount_Analytical])</f>
        <v>17486.960000000003</v>
      </c>
      <c r="I1265" s="10">
        <f>Table14[[#This Row],[Discount]]/Table14[[#This Row],[Gross Revenue]]</f>
        <v>0.14286732026143792</v>
      </c>
      <c r="J1265" s="7">
        <f>SUMIF(Table1[ProductID_Clean],Table14[[#This Row],[ProductID]],Table1[NetRevenue_Analytical])</f>
        <v>104913.04000000001</v>
      </c>
      <c r="K1265" s="10">
        <f>Table14[[#This Row],[Net Revenue]]/Table14[[#Totals],[Net Revenue]]</f>
        <v>2.6806198695186356E-2</v>
      </c>
      <c r="L1265" s="7">
        <f>SUMIF(Table1[ProductID_Clean],Table14[[#This Row],[ProductID]],Table1[Quantity])</f>
        <v>51</v>
      </c>
      <c r="O1265" s="9" t="s">
        <v>48</v>
      </c>
      <c r="P1265" s="7">
        <f>SUMIF(Table1[CustomerSegment],Table10[[#This Row],[Customer Segment]],Table1[GrossRevenue_Analytical])</f>
        <v>771920</v>
      </c>
      <c r="Q1265" s="7">
        <f>SUMIF(Table1[CustomerSegment],Table10[[#This Row],[Customer Segment]],Table1[DiscountAmount_Analytical])</f>
        <v>104583.74999999994</v>
      </c>
      <c r="R1265" s="10">
        <f>Table10[[#This Row],[Discount]]/Table10[[#This Row],[Gross Revenue]]</f>
        <v>0.13548521867551033</v>
      </c>
      <c r="S1265" s="7">
        <f>SUMIF(Table1[CustomerSegment],Table10[[#This Row],[Customer Segment]],Table1[NetRevenue_Analytical])</f>
        <v>667336.24999999988</v>
      </c>
      <c r="T1265" s="10">
        <f>Table10[[#This Row],[Net Revenue]]/Table10[[#Totals],[Net Revenue]]</f>
        <v>0.16988929682479892</v>
      </c>
      <c r="U1265" s="7">
        <f>SUMIF(Table1[CustomerSegment],Table10[[#This Row],[Customer Segment]],Table1[Quantity])</f>
        <v>570</v>
      </c>
    </row>
    <row r="1266" spans="6:21">
      <c r="F1266" s="9" t="s">
        <v>216</v>
      </c>
      <c r="G1266" s="7">
        <f>SUMIF(Table1[ProductID_Clean],Table14[[#This Row],[ProductID]],Table1[GrossRevenue_Analytical])</f>
        <v>102500</v>
      </c>
      <c r="H1266" s="7">
        <f>SUMIF(Table1[ProductID_Clean],Table14[[#This Row],[ProductID]],Table1[DiscountAmount_Analytical])</f>
        <v>13917.66</v>
      </c>
      <c r="I1266" s="10">
        <f>Table14[[#This Row],[Discount]]/Table14[[#This Row],[Gross Revenue]]</f>
        <v>0.1357820487804878</v>
      </c>
      <c r="J1266" s="7">
        <f>SUMIF(Table1[ProductID_Clean],Table14[[#This Row],[ProductID]],Table1[NetRevenue_Analytical])</f>
        <v>88582.340000000026</v>
      </c>
      <c r="K1266" s="10">
        <f>Table14[[#This Row],[Net Revenue]]/Table14[[#Totals],[Net Revenue]]</f>
        <v>2.2633562109386544E-2</v>
      </c>
      <c r="L1266" s="7">
        <f>SUMIF(Table1[ProductID_Clean],Table14[[#This Row],[ProductID]],Table1[Quantity])</f>
        <v>25</v>
      </c>
      <c r="O1266" s="9" t="s">
        <v>2597</v>
      </c>
      <c r="P1266" s="7">
        <f>SUBTOTAL(109,Table10[Gross Revenue])</f>
        <v>4602695</v>
      </c>
      <c r="Q1266" s="7">
        <f>SUBTOTAL(109,Table10[Discount])</f>
        <v>674629.71</v>
      </c>
      <c r="R1266" s="7"/>
      <c r="S1266" s="7">
        <f>SUBTOTAL(109,Table10[Net Revenue])</f>
        <v>3928065.2900000005</v>
      </c>
      <c r="T1266" s="10">
        <f>SUBTOTAL(109,Table10[Revenue Contribution (%)])</f>
        <v>0.99999999999999989</v>
      </c>
      <c r="U1266" s="7">
        <f>SUBTOTAL(109,Table10[Quantity])</f>
        <v>3483</v>
      </c>
    </row>
    <row r="1267" spans="6:21">
      <c r="F1267" s="9" t="s">
        <v>432</v>
      </c>
      <c r="G1267" s="7">
        <f>SUMIF(Table1[ProductID_Clean],Table14[[#This Row],[ProductID]],Table1[GrossRevenue_Analytical])</f>
        <v>51200</v>
      </c>
      <c r="H1267" s="7">
        <f>SUMIF(Table1[ProductID_Clean],Table14[[#This Row],[ProductID]],Table1[DiscountAmount_Analytical])</f>
        <v>5532.36</v>
      </c>
      <c r="I1267" s="10">
        <f>Table14[[#This Row],[Discount]]/Table14[[#This Row],[Gross Revenue]]</f>
        <v>0.10805390625</v>
      </c>
      <c r="J1267" s="7">
        <f>SUMIF(Table1[ProductID_Clean],Table14[[#This Row],[ProductID]],Table1[NetRevenue_Analytical])</f>
        <v>45667.639999999992</v>
      </c>
      <c r="K1267" s="10">
        <f>Table14[[#This Row],[Net Revenue]]/Table14[[#Totals],[Net Revenue]]</f>
        <v>1.1668481170503113E-2</v>
      </c>
      <c r="L1267" s="7">
        <f>SUMIF(Table1[ProductID_Clean],Table14[[#This Row],[ProductID]],Table1[Quantity])</f>
        <v>16</v>
      </c>
    </row>
    <row r="1268" spans="6:21">
      <c r="F1268" s="9" t="s">
        <v>101</v>
      </c>
      <c r="G1268" s="7">
        <f>SUMIF(Table1[ProductID_Clean],Table14[[#This Row],[ProductID]],Table1[GrossRevenue_Analytical])</f>
        <v>27550</v>
      </c>
      <c r="H1268" s="7">
        <f>SUMIF(Table1[ProductID_Clean],Table14[[#This Row],[ProductID]],Table1[DiscountAmount_Analytical])</f>
        <v>6112.89</v>
      </c>
      <c r="I1268" s="10">
        <f>Table14[[#This Row],[Discount]]/Table14[[#This Row],[Gross Revenue]]</f>
        <v>0.22188348457350274</v>
      </c>
      <c r="J1268" s="7">
        <f>SUMIF(Table1[ProductID_Clean],Table14[[#This Row],[ProductID]],Table1[NetRevenue_Analytical])</f>
        <v>21437.110000000004</v>
      </c>
      <c r="K1268" s="10">
        <f>Table14[[#This Row],[Net Revenue]]/Table14[[#Totals],[Net Revenue]]</f>
        <v>5.4773689725373179E-3</v>
      </c>
      <c r="L1268" s="7">
        <f>SUMIF(Table1[ProductID_Clean],Table14[[#This Row],[ProductID]],Table1[Quantity])</f>
        <v>29</v>
      </c>
      <c r="O1268" s="6" t="s">
        <v>2608</v>
      </c>
      <c r="P1268" s="8" t="s">
        <v>2600</v>
      </c>
      <c r="Q1268" s="8" t="s">
        <v>2601</v>
      </c>
      <c r="R1268" s="8" t="s">
        <v>2602</v>
      </c>
      <c r="S1268" s="8" t="s">
        <v>2603</v>
      </c>
      <c r="T1268" s="8" t="s">
        <v>2604</v>
      </c>
      <c r="U1268" s="8" t="s">
        <v>11</v>
      </c>
    </row>
    <row r="1269" spans="6:21">
      <c r="F1269" s="9" t="s">
        <v>92</v>
      </c>
      <c r="G1269" s="7">
        <f>SUMIF(Table1[ProductID_Clean],Table14[[#This Row],[ProductID]],Table1[GrossRevenue_Analytical])</f>
        <v>46400</v>
      </c>
      <c r="H1269" s="7">
        <f>SUMIF(Table1[ProductID_Clean],Table14[[#This Row],[ProductID]],Table1[DiscountAmount_Analytical])</f>
        <v>6562.3600000000015</v>
      </c>
      <c r="I1269" s="10">
        <f>Table14[[#This Row],[Discount]]/Table14[[#This Row],[Gross Revenue]]</f>
        <v>0.14143017241379313</v>
      </c>
      <c r="J1269" s="7">
        <f>SUMIF(Table1[ProductID_Clean],Table14[[#This Row],[ProductID]],Table1[NetRevenue_Analytical])</f>
        <v>39837.639999999992</v>
      </c>
      <c r="K1269" s="10">
        <f>Table14[[#This Row],[Net Revenue]]/Table14[[#Totals],[Net Revenue]]</f>
        <v>1.0178865214346125E-2</v>
      </c>
      <c r="L1269" s="7">
        <f>SUMIF(Table1[ProductID_Clean],Table14[[#This Row],[ProductID]],Table1[Quantity])</f>
        <v>32</v>
      </c>
      <c r="O1269" s="9" t="s">
        <v>2049</v>
      </c>
      <c r="P1269" s="7">
        <f>SUMIF(Table1[ProductCategory],Table11[[#This Row],[Product Category]],Table1[GrossRevenue_Analytical])</f>
        <v>442550</v>
      </c>
      <c r="Q1269" s="7">
        <f>SUMIF(Table1[ProductCategory],Table11[[#This Row],[Product Category]],Table1[DiscountAmount_Analytical])</f>
        <v>70491.390000000014</v>
      </c>
      <c r="R1269" s="10">
        <f>Table11[[#This Row],[Discount]]/Table11[[#This Row],[Gross Revenue]]</f>
        <v>0.15928457801378379</v>
      </c>
      <c r="S1269" s="7">
        <f>SUMIF(Table1[ProductCategory],Table11[[#This Row],[Product Category]],Table1[NetRevenue_Analytical])</f>
        <v>372058.61000000004</v>
      </c>
      <c r="T1269" s="10">
        <f>Table11[[#This Row],[Net Revenue]]/Table11[[#Totals],[Net Revenue]]</f>
        <v>9.5064226772142449E-2</v>
      </c>
      <c r="U1269" s="7">
        <f>SUMIF(Table1[ProductCategory],Table11[[#This Row],[Product Category]],Table1[Quantity])</f>
        <v>203</v>
      </c>
    </row>
    <row r="1270" spans="6:21">
      <c r="F1270" s="9" t="s">
        <v>68</v>
      </c>
      <c r="G1270" s="7">
        <f>SUMIF(Table1[ProductID_Clean],Table14[[#This Row],[ProductID]],Table1[GrossRevenue_Analytical])</f>
        <v>516600</v>
      </c>
      <c r="H1270" s="7">
        <f>SUMIF(Table1[ProductID_Clean],Table14[[#This Row],[ProductID]],Table1[DiscountAmount_Analytical])</f>
        <v>76660.720000000045</v>
      </c>
      <c r="I1270" s="10">
        <f>Table14[[#This Row],[Discount]]/Table14[[#This Row],[Gross Revenue]]</f>
        <v>0.148394734804491</v>
      </c>
      <c r="J1270" s="7">
        <f>SUMIF(Table1[ProductID_Clean],Table14[[#This Row],[ProductID]],Table1[NetRevenue_Analytical])</f>
        <v>439939.28</v>
      </c>
      <c r="K1270" s="10">
        <f>Table14[[#This Row],[Net Revenue]]/Table14[[#Totals],[Net Revenue]]</f>
        <v>0.11240833125698413</v>
      </c>
      <c r="L1270" s="7">
        <f>SUMIF(Table1[ProductID_Clean],Table14[[#This Row],[ProductID]],Table1[Quantity])</f>
        <v>123</v>
      </c>
      <c r="O1270" s="9" t="s">
        <v>2064</v>
      </c>
      <c r="P1270" s="7">
        <f>SUMIF(Table1[ProductCategory],Table11[[#This Row],[Product Category]],Table1[GrossRevenue_Analytical])</f>
        <v>1341950</v>
      </c>
      <c r="Q1270" s="7">
        <f>SUMIF(Table1[ProductCategory],Table11[[#This Row],[Product Category]],Table1[DiscountAmount_Analytical])</f>
        <v>192895.8</v>
      </c>
      <c r="R1270" s="10">
        <f>Table11[[#This Row],[Discount]]/Table11[[#This Row],[Gross Revenue]]</f>
        <v>0.14374291143485227</v>
      </c>
      <c r="S1270" s="7">
        <f>SUMIF(Table1[ProductCategory],Table11[[#This Row],[Product Category]],Table1[NetRevenue_Analytical])</f>
        <v>1149054.2000000002</v>
      </c>
      <c r="T1270" s="10">
        <f>Table11[[#This Row],[Net Revenue]]/Table11[[#Totals],[Net Revenue]]</f>
        <v>0.29359339121941763</v>
      </c>
      <c r="U1270" s="7">
        <f>SUMIF(Table1[ProductCategory],Table11[[#This Row],[Product Category]],Table1[Quantity])</f>
        <v>303</v>
      </c>
    </row>
    <row r="1271" spans="6:21">
      <c r="F1271" s="9" t="s">
        <v>147</v>
      </c>
      <c r="G1271" s="7">
        <f>SUMIF(Table1[ProductID_Clean],Table14[[#This Row],[ProductID]],Table1[GrossRevenue_Analytical])</f>
        <v>558600</v>
      </c>
      <c r="H1271" s="7">
        <f>SUMIF(Table1[ProductID_Clean],Table14[[#This Row],[ProductID]],Table1[DiscountAmount_Analytical])</f>
        <v>79033.279999999999</v>
      </c>
      <c r="I1271" s="10">
        <f>Table14[[#This Row],[Discount]]/Table14[[#This Row],[Gross Revenue]]</f>
        <v>0.1414845685642678</v>
      </c>
      <c r="J1271" s="7">
        <f>SUMIF(Table1[ProductID_Clean],Table14[[#This Row],[ProductID]],Table1[NetRevenue_Analytical])</f>
        <v>479566.72000000009</v>
      </c>
      <c r="K1271" s="10">
        <f>Table14[[#This Row],[Net Revenue]]/Table14[[#Totals],[Net Revenue]]</f>
        <v>0.12253348853411171</v>
      </c>
      <c r="L1271" s="7">
        <f>SUMIF(Table1[ProductID_Clean],Table14[[#This Row],[ProductID]],Table1[Quantity])</f>
        <v>57</v>
      </c>
      <c r="O1271" s="9" t="s">
        <v>2076</v>
      </c>
      <c r="P1271" s="7">
        <f>SUMIF(Table1[ProductCategory],Table11[[#This Row],[Product Category]],Table1[GrossRevenue_Analytical])</f>
        <v>163200</v>
      </c>
      <c r="Q1271" s="7">
        <f>SUMIF(Table1[ProductCategory],Table11[[#This Row],[Product Category]],Table1[DiscountAmount_Analytical])</f>
        <v>23301.919999999998</v>
      </c>
      <c r="R1271" s="10">
        <f>Table11[[#This Row],[Discount]]/Table11[[#This Row],[Gross Revenue]]</f>
        <v>0.1427813725490196</v>
      </c>
      <c r="S1271" s="7">
        <f>SUMIF(Table1[ProductCategory],Table11[[#This Row],[Product Category]],Table1[NetRevenue_Analytical])</f>
        <v>139898.08000000002</v>
      </c>
      <c r="T1271" s="10">
        <f>Table11[[#This Row],[Net Revenue]]/Table11[[#Totals],[Net Revenue]]</f>
        <v>3.5745182196179594E-2</v>
      </c>
      <c r="U1271" s="7">
        <f>SUMIF(Table1[ProductCategory],Table11[[#This Row],[Product Category]],Table1[Quantity])</f>
        <v>51</v>
      </c>
    </row>
    <row r="1272" spans="6:21">
      <c r="F1272" s="9" t="s">
        <v>51</v>
      </c>
      <c r="G1272" s="7">
        <f>SUMIF(Table1[ProductID_Clean],Table14[[#This Row],[ProductID]],Table1[GrossRevenue_Analytical])</f>
        <v>159500</v>
      </c>
      <c r="H1272" s="7">
        <f>SUMIF(Table1[ProductID_Clean],Table14[[#This Row],[ProductID]],Table1[DiscountAmount_Analytical])</f>
        <v>22693.86</v>
      </c>
      <c r="I1272" s="10">
        <f>Table14[[#This Row],[Discount]]/Table14[[#This Row],[Gross Revenue]]</f>
        <v>0.1422812539184953</v>
      </c>
      <c r="J1272" s="7">
        <f>SUMIF(Table1[ProductID_Clean],Table14[[#This Row],[ProductID]],Table1[NetRevenue_Analytical])</f>
        <v>136806.13999999998</v>
      </c>
      <c r="K1272" s="10">
        <f>Table14[[#This Row],[Net Revenue]]/Table14[[#Totals],[Net Revenue]]</f>
        <v>3.4955164501586089E-2</v>
      </c>
      <c r="L1272" s="7">
        <f>SUMIF(Table1[ProductID_Clean],Table14[[#This Row],[ProductID]],Table1[Quantity])</f>
        <v>58</v>
      </c>
      <c r="O1272" s="9" t="s">
        <v>2081</v>
      </c>
      <c r="P1272" s="7">
        <f>SUMIF(Table1[ProductCategory],Table11[[#This Row],[Product Category]],Table1[GrossRevenue_Analytical])</f>
        <v>1339150</v>
      </c>
      <c r="Q1272" s="7">
        <f>SUMIF(Table1[ProductCategory],Table11[[#This Row],[Product Category]],Table1[DiscountAmount_Analytical])</f>
        <v>203632.17</v>
      </c>
      <c r="R1272" s="10">
        <f>Table11[[#This Row],[Discount]]/Table11[[#This Row],[Gross Revenue]]</f>
        <v>0.15206076242392563</v>
      </c>
      <c r="S1272" s="7">
        <f>SUMIF(Table1[ProductCategory],Table11[[#This Row],[Product Category]],Table1[NetRevenue_Analytical])</f>
        <v>1135517.8299999998</v>
      </c>
      <c r="T1272" s="10">
        <f>Table11[[#This Row],[Net Revenue]]/Table11[[#Totals],[Net Revenue]]</f>
        <v>0.29013473037199988</v>
      </c>
      <c r="U1272" s="7">
        <f>SUMIF(Table1[ProductCategory],Table11[[#This Row],[Product Category]],Table1[Quantity])</f>
        <v>2146</v>
      </c>
    </row>
    <row r="1273" spans="6:21">
      <c r="F1273" s="9" t="s">
        <v>86</v>
      </c>
      <c r="G1273" s="7">
        <f>SUMIF(Table1[ProductID_Clean],Table14[[#This Row],[ProductID]],Table1[GrossRevenue_Analytical])</f>
        <v>107250</v>
      </c>
      <c r="H1273" s="7">
        <f>SUMIF(Table1[ProductID_Clean],Table14[[#This Row],[ProductID]],Table1[DiscountAmount_Analytical])</f>
        <v>14507.940000000006</v>
      </c>
      <c r="I1273" s="10">
        <f>Table14[[#This Row],[Discount]]/Table14[[#This Row],[Gross Revenue]]</f>
        <v>0.13527216783216789</v>
      </c>
      <c r="J1273" s="7">
        <f>SUMIF(Table1[ProductID_Clean],Table14[[#This Row],[ProductID]],Table1[NetRevenue_Analytical])</f>
        <v>92742.06</v>
      </c>
      <c r="K1273" s="10">
        <f>Table14[[#This Row],[Net Revenue]]/Table14[[#Totals],[Net Revenue]]</f>
        <v>2.3696406926735653E-2</v>
      </c>
      <c r="L1273" s="7">
        <f>SUMIF(Table1[ProductID_Clean],Table14[[#This Row],[ProductID]],Table1[Quantity])</f>
        <v>65</v>
      </c>
      <c r="O1273" s="9" t="s">
        <v>2088</v>
      </c>
      <c r="P1273" s="7">
        <f>SUMIF(Table1[ProductCategory],Table11[[#This Row],[Product Category]],Table1[GrossRevenue_Analytical])</f>
        <v>1299870</v>
      </c>
      <c r="Q1273" s="7">
        <f>SUMIF(Table1[ProductCategory],Table11[[#This Row],[Product Category]],Table1[DiscountAmount_Analytical])</f>
        <v>182638.28000000003</v>
      </c>
      <c r="R1273" s="10">
        <f>Table11[[#This Row],[Discount]]/Table11[[#This Row],[Gross Revenue]]</f>
        <v>0.14050503511889653</v>
      </c>
      <c r="S1273" s="7">
        <f>SUMIF(Table1[ProductCategory],Table11[[#This Row],[Product Category]],Table1[NetRevenue_Analytical])</f>
        <v>1117231.7200000002</v>
      </c>
      <c r="T1273" s="10">
        <f>Table11[[#This Row],[Net Revenue]]/Table11[[#Totals],[Net Revenue]]</f>
        <v>0.28546246944026038</v>
      </c>
      <c r="U1273" s="7">
        <f>SUMIF(Table1[ProductCategory],Table11[[#This Row],[Product Category]],Table1[Quantity])</f>
        <v>767</v>
      </c>
    </row>
    <row r="1274" spans="6:21">
      <c r="F1274" s="9" t="s">
        <v>62</v>
      </c>
      <c r="G1274" s="7">
        <f>SUMIF(Table1[ProductID_Clean],Table14[[#This Row],[ProductID]],Table1[GrossRevenue_Analytical])</f>
        <v>163200</v>
      </c>
      <c r="H1274" s="7">
        <f>SUMIF(Table1[ProductID_Clean],Table14[[#This Row],[ProductID]],Table1[DiscountAmount_Analytical])</f>
        <v>23301.919999999998</v>
      </c>
      <c r="I1274" s="10">
        <f>Table14[[#This Row],[Discount]]/Table14[[#This Row],[Gross Revenue]]</f>
        <v>0.1427813725490196</v>
      </c>
      <c r="J1274" s="7">
        <f>SUMIF(Table1[ProductID_Clean],Table14[[#This Row],[ProductID]],Table1[NetRevenue_Analytical])</f>
        <v>139898.08000000002</v>
      </c>
      <c r="K1274" s="10">
        <f>Table14[[#This Row],[Net Revenue]]/Table14[[#Totals],[Net Revenue]]</f>
        <v>3.5745182196179587E-2</v>
      </c>
      <c r="L1274" s="7">
        <f>SUMIF(Table1[ProductID_Clean],Table14[[#This Row],[ProductID]],Table1[Quantity])</f>
        <v>51</v>
      </c>
      <c r="O1274" s="9" t="s">
        <v>2597</v>
      </c>
      <c r="P1274" s="7">
        <f>SUBTOTAL(109,Table11[Gross Revenue])</f>
        <v>4586720</v>
      </c>
      <c r="Q1274" s="7">
        <f>SUBTOTAL(109,Table11[Discount])</f>
        <v>672959.56</v>
      </c>
      <c r="R1274" s="7"/>
      <c r="S1274" s="7">
        <f>SUBTOTAL(109,Table11[Net Revenue])</f>
        <v>3913760.4400000004</v>
      </c>
      <c r="T1274" s="10">
        <f>SUBTOTAL(109,Table11[Revenue Contribution (%)])</f>
        <v>1</v>
      </c>
      <c r="U1274" s="7">
        <f>SUBTOTAL(109,Table11[Quantity])</f>
        <v>3470</v>
      </c>
    </row>
    <row r="1275" spans="6:21">
      <c r="F1275" s="9" t="s">
        <v>72</v>
      </c>
      <c r="G1275" s="7">
        <f>SUMIF(Table1[ProductID_Clean],Table14[[#This Row],[ProductID]],Table1[GrossRevenue_Analytical])</f>
        <v>296820</v>
      </c>
      <c r="H1275" s="7">
        <f>SUMIF(Table1[ProductID_Clean],Table14[[#This Row],[ProductID]],Table1[DiscountAmount_Analytical])</f>
        <v>38077.410000000003</v>
      </c>
      <c r="I1275" s="10">
        <f>Table14[[#This Row],[Discount]]/Table14[[#This Row],[Gross Revenue]]</f>
        <v>0.12828451586820297</v>
      </c>
      <c r="J1275" s="7">
        <f>SUMIF(Table1[ProductID_Clean],Table14[[#This Row],[ProductID]],Table1[NetRevenue_Analytical])</f>
        <v>258742.59</v>
      </c>
      <c r="K1275" s="10">
        <f>Table14[[#This Row],[Net Revenue]]/Table14[[#Totals],[Net Revenue]]</f>
        <v>6.6110993242090188E-2</v>
      </c>
      <c r="L1275" s="7">
        <f>SUMIF(Table1[ProductID_Clean],Table14[[#This Row],[ProductID]],Table1[Quantity])</f>
        <v>612</v>
      </c>
      <c r="O1275" s="12" t="s">
        <v>40</v>
      </c>
      <c r="P1275" s="7"/>
      <c r="Q1275" s="7"/>
      <c r="R1275" s="7"/>
      <c r="S1275" s="7"/>
      <c r="T1275" s="7" t="s">
        <v>2607</v>
      </c>
      <c r="U1275" s="7"/>
    </row>
    <row r="1276" spans="6:21">
      <c r="F1276" s="9" t="s">
        <v>31</v>
      </c>
      <c r="G1276" s="7">
        <f>SUMIF(Table1[ProductID_Clean],Table14[[#This Row],[ProductID]],Table1[GrossRevenue_Analytical])</f>
        <v>287100</v>
      </c>
      <c r="H1276" s="7">
        <f>SUMIF(Table1[ProductID_Clean],Table14[[#This Row],[ProductID]],Table1[DiscountAmount_Analytical])</f>
        <v>44204.91</v>
      </c>
      <c r="I1276" s="10">
        <f>Table14[[#This Row],[Discount]]/Table14[[#This Row],[Gross Revenue]]</f>
        <v>0.15397042842215258</v>
      </c>
      <c r="J1276" s="7">
        <f>SUMIF(Table1[ProductID_Clean],Table14[[#This Row],[ProductID]],Table1[NetRevenue_Analytical])</f>
        <v>242895.09000000003</v>
      </c>
      <c r="K1276" s="10">
        <f>Table14[[#This Row],[Net Revenue]]/Table14[[#Totals],[Net Revenue]]</f>
        <v>6.2061818479620577E-2</v>
      </c>
      <c r="L1276" s="7">
        <f>SUMIF(Table1[ProductID_Clean],Table14[[#This Row],[ProductID]],Table1[Quantity])</f>
        <v>396</v>
      </c>
    </row>
    <row r="1277" spans="6:21">
      <c r="F1277" s="9" t="s">
        <v>39</v>
      </c>
      <c r="G1277" s="7">
        <f>SUMIF(Table1[ProductID_Clean],Table14[[#This Row],[ProductID]],Table1[GrossRevenue_Analytical])</f>
        <v>497070</v>
      </c>
      <c r="H1277" s="7">
        <f>SUMIF(Table1[ProductID_Clean],Table14[[#This Row],[ProductID]],Table1[DiscountAmount_Analytical])</f>
        <v>75434.01999999999</v>
      </c>
      <c r="I1277" s="10">
        <f>Table14[[#This Row],[Discount]]/Table14[[#This Row],[Gross Revenue]]</f>
        <v>0.151757338000684</v>
      </c>
      <c r="J1277" s="7">
        <f>SUMIF(Table1[ProductID_Clean],Table14[[#This Row],[ProductID]],Table1[NetRevenue_Analytical])</f>
        <v>421635.9800000001</v>
      </c>
      <c r="K1277" s="10">
        <f>Table14[[#This Row],[Net Revenue]]/Table14[[#Totals],[Net Revenue]]</f>
        <v>0.10773167812999816</v>
      </c>
      <c r="L1277" s="7">
        <f>SUMIF(Table1[ProductID_Clean],Table14[[#This Row],[ProductID]],Table1[Quantity])</f>
        <v>263</v>
      </c>
      <c r="O1277" s="6" t="s">
        <v>2611</v>
      </c>
      <c r="P1277" s="8" t="s">
        <v>2600</v>
      </c>
      <c r="Q1277" s="8" t="s">
        <v>2601</v>
      </c>
      <c r="R1277" s="8" t="s">
        <v>2602</v>
      </c>
      <c r="S1277" s="8" t="s">
        <v>2603</v>
      </c>
      <c r="T1277" s="8" t="s">
        <v>2604</v>
      </c>
      <c r="U1277" s="8" t="s">
        <v>11</v>
      </c>
    </row>
    <row r="1278" spans="6:21">
      <c r="F1278" s="9" t="s">
        <v>22</v>
      </c>
      <c r="G1278" s="7">
        <f>SUMIF(Table1[ProductID_Clean],Table14[[#This Row],[ProductID]],Table1[GrossRevenue_Analytical])</f>
        <v>529200</v>
      </c>
      <c r="H1278" s="7">
        <f>SUMIF(Table1[ProductID_Clean],Table14[[#This Row],[ProductID]],Table1[DiscountAmount_Analytical])</f>
        <v>75841.299999999988</v>
      </c>
      <c r="I1278" s="10">
        <f>Table14[[#This Row],[Discount]]/Table14[[#This Row],[Gross Revenue]]</f>
        <v>0.14331311413454267</v>
      </c>
      <c r="J1278" s="7">
        <f>SUMIF(Table1[ProductID_Clean],Table14[[#This Row],[ProductID]],Table1[NetRevenue_Analytical])</f>
        <v>453358.70000000007</v>
      </c>
      <c r="K1278" s="10">
        <f>Table14[[#This Row],[Net Revenue]]/Table14[[#Totals],[Net Revenue]]</f>
        <v>0.11583711035721951</v>
      </c>
      <c r="L1278" s="7">
        <f>SUMIF(Table1[ProductID_Clean],Table14[[#This Row],[ProductID]],Table1[Quantity])</f>
        <v>216</v>
      </c>
      <c r="O1278" s="9" t="s">
        <v>1518</v>
      </c>
      <c r="P1278" s="7">
        <f>SUMIF(Table1[CustumerType],Table16[[#This Row],[Customer Type]],Table1[GrossRevenue_Analytical])</f>
        <v>1144990</v>
      </c>
      <c r="Q1278" s="7">
        <f>SUMIF(Table1[CustumerType],Table16[[#This Row],[Customer Type]],Table1[DiscountAmount_Analytical])</f>
        <v>230612.01999999979</v>
      </c>
      <c r="R1278" s="10">
        <f>Table16[[#This Row],[Discount]]/Table16[[#This Row],[Gross Revenue]]</f>
        <v>0.20140963676538642</v>
      </c>
      <c r="S1278" s="7">
        <f>SUMIF(Table1[CustumerType],Table16[[#This Row],[Customer Type]],Table1[NetRevenue_Analytical])</f>
        <v>914377.9800000001</v>
      </c>
      <c r="T1278" s="10">
        <f>Table16[[#This Row],[Net Revenue]]/Table16[[#Totals],[Net Revenue]]</f>
        <v>0.23454011927283272</v>
      </c>
      <c r="U1278" s="7">
        <f>SUMIF(Table1[CustumerType],Table16[[#This Row],[Customer Type]],Table1[Quantity])</f>
        <v>890</v>
      </c>
    </row>
    <row r="1279" spans="6:21">
      <c r="F1279" s="9" t="s">
        <v>57</v>
      </c>
      <c r="G1279" s="7">
        <f>SUMIF(Table1[ProductID_Clean],Table14[[#This Row],[ProductID]],Table1[GrossRevenue_Analytical])</f>
        <v>290080</v>
      </c>
      <c r="H1279" s="7">
        <f>SUMIF(Table1[ProductID_Clean],Table14[[#This Row],[ProductID]],Table1[DiscountAmount_Analytical])</f>
        <v>42382.349999999991</v>
      </c>
      <c r="I1279" s="10">
        <f>Table14[[#This Row],[Discount]]/Table14[[#This Row],[Gross Revenue]]</f>
        <v>0.14610572945394371</v>
      </c>
      <c r="J1279" s="7">
        <f>SUMIF(Table1[ProductID_Clean],Table14[[#This Row],[ProductID]],Table1[NetRevenue_Analytical])</f>
        <v>247697.65</v>
      </c>
      <c r="K1279" s="10">
        <f>Table14[[#This Row],[Net Revenue]]/Table14[[#Totals],[Net Revenue]]</f>
        <v>6.3288914535607074E-2</v>
      </c>
      <c r="L1279" s="7">
        <f>SUMIF(Table1[ProductID_Clean],Table14[[#This Row],[ProductID]],Table1[Quantity])</f>
        <v>259</v>
      </c>
      <c r="O1279" s="9" t="s">
        <v>1508</v>
      </c>
      <c r="P1279" s="7">
        <f>SUMIF(Table1[CustumerType],Table16[[#This Row],[Customer Type]],Table1[GrossRevenue_Analytical])</f>
        <v>1549620</v>
      </c>
      <c r="Q1279" s="7">
        <f>SUMIF(Table1[CustumerType],Table16[[#This Row],[Customer Type]],Table1[DiscountAmount_Analytical])</f>
        <v>230526.17000000007</v>
      </c>
      <c r="R1279" s="10">
        <f>Table16[[#This Row],[Discount]]/Table16[[#This Row],[Gross Revenue]]</f>
        <v>0.14876303222725576</v>
      </c>
      <c r="S1279" s="7">
        <f>SUMIF(Table1[CustumerType],Table16[[#This Row],[Customer Type]],Table1[NetRevenue_Analytical])</f>
        <v>1319093.83</v>
      </c>
      <c r="T1279" s="10">
        <f>Table16[[#This Row],[Net Revenue]]/Table16[[#Totals],[Net Revenue]]</f>
        <v>0.33835069411914065</v>
      </c>
      <c r="U1279" s="7">
        <f>SUMIF(Table1[CustumerType],Table16[[#This Row],[Customer Type]],Table1[Quantity])</f>
        <v>1135</v>
      </c>
    </row>
    <row r="1280" spans="6:21">
      <c r="F1280" s="9" t="s">
        <v>43</v>
      </c>
      <c r="G1280" s="7">
        <f>SUMIF(Table1[ProductID_Clean],Table14[[#This Row],[ProductID]],Table1[GrossRevenue_Analytical])</f>
        <v>111370</v>
      </c>
      <c r="H1280" s="7">
        <f>SUMIF(Table1[ProductID_Clean],Table14[[#This Row],[ProductID]],Table1[DiscountAmount_Analytical])</f>
        <v>24209.740000000005</v>
      </c>
      <c r="I1280" s="10">
        <f>Table14[[#This Row],[Discount]]/Table14[[#This Row],[Gross Revenue]]</f>
        <v>0.21738116189278986</v>
      </c>
      <c r="J1280" s="7">
        <f>SUMIF(Table1[ProductID_Clean],Table14[[#This Row],[ProductID]],Table1[NetRevenue_Analytical])</f>
        <v>87160.260000000024</v>
      </c>
      <c r="K1280" s="10">
        <f>Table14[[#This Row],[Net Revenue]]/Table14[[#Totals],[Net Revenue]]</f>
        <v>2.2270208239929985E-2</v>
      </c>
      <c r="L1280" s="7">
        <f>SUMIF(Table1[ProductID_Clean],Table14[[#This Row],[ProductID]],Table1[Quantity])</f>
        <v>518</v>
      </c>
      <c r="O1280" s="9" t="s">
        <v>1488</v>
      </c>
      <c r="P1280" s="7">
        <f>SUMIF(Table1[CustumerType],Table16[[#This Row],[Customer Type]],Table1[GrossRevenue_Analytical])</f>
        <v>1524220</v>
      </c>
      <c r="Q1280" s="7">
        <f>SUMIF(Table1[CustumerType],Table16[[#This Row],[Customer Type]],Table1[DiscountAmount_Analytical])</f>
        <v>163965.19000000012</v>
      </c>
      <c r="R1280" s="10">
        <f>Table16[[#This Row],[Discount]]/Table16[[#This Row],[Gross Revenue]]</f>
        <v>0.1075731784125652</v>
      </c>
      <c r="S1280" s="7">
        <f>SUMIF(Table1[CustumerType],Table16[[#This Row],[Customer Type]],Table1[NetRevenue_Analytical])</f>
        <v>1360254.8100000003</v>
      </c>
      <c r="T1280" s="10">
        <f>Table16[[#This Row],[Net Revenue]]/Table16[[#Totals],[Net Revenue]]</f>
        <v>0.34890858305538419</v>
      </c>
      <c r="U1280" s="7">
        <f>SUMIF(Table1[CustumerType],Table16[[#This Row],[Customer Type]],Table1[Quantity])</f>
        <v>1188</v>
      </c>
    </row>
    <row r="1281" spans="6:23">
      <c r="F1281" s="9" t="s">
        <v>97</v>
      </c>
      <c r="G1281" s="7">
        <f>SUMIF(Table1[ProductID_Clean],Table14[[#This Row],[ProductID]],Table1[GrossRevenue_Analytical])</f>
        <v>353780</v>
      </c>
      <c r="H1281" s="7">
        <f>SUMIF(Table1[ProductID_Clean],Table14[[#This Row],[ProductID]],Table1[DiscountAmount_Analytical])</f>
        <v>54757.760000000009</v>
      </c>
      <c r="I1281" s="10">
        <f>Table14[[#This Row],[Discount]]/Table14[[#This Row],[Gross Revenue]]</f>
        <v>0.15477912827180737</v>
      </c>
      <c r="J1281" s="7">
        <f>SUMIF(Table1[ProductID_Clean],Table14[[#This Row],[ProductID]],Table1[NetRevenue_Analytical])</f>
        <v>299022.24000000017</v>
      </c>
      <c r="K1281" s="10">
        <f>Table14[[#This Row],[Net Revenue]]/Table14[[#Totals],[Net Revenue]]</f>
        <v>7.6402795874752141E-2</v>
      </c>
      <c r="L1281" s="7">
        <f>SUMIF(Table1[ProductID_Clean],Table14[[#This Row],[ProductID]],Table1[Quantity])</f>
        <v>361</v>
      </c>
      <c r="O1281" s="9" t="s">
        <v>1495</v>
      </c>
      <c r="P1281" s="7">
        <f>SUMIF(Table1[CustumerType],Table16[[#This Row],[Customer Type]],Table1[GrossRevenue_Analytical])</f>
        <v>349275</v>
      </c>
      <c r="Q1281" s="7">
        <f>SUMIF(Table1[CustumerType],Table16[[#This Row],[Customer Type]],Table1[DiscountAmount_Analytical])</f>
        <v>44402.169999999991</v>
      </c>
      <c r="R1281" s="10">
        <f>Table16[[#This Row],[Discount]]/Table16[[#This Row],[Gross Revenue]]</f>
        <v>0.12712667668742392</v>
      </c>
      <c r="S1281" s="7">
        <f>SUMIF(Table1[CustumerType],Table16[[#This Row],[Customer Type]],Table1[NetRevenue_Analytical])</f>
        <v>304872.83</v>
      </c>
      <c r="T1281" s="10">
        <f>Table16[[#This Row],[Net Revenue]]/Table16[[#Totals],[Net Revenue]]</f>
        <v>7.8200603552642481E-2</v>
      </c>
      <c r="U1281" s="7">
        <f>SUMIF(Table1[CustumerType],Table16[[#This Row],[Customer Type]],Table1[Quantity])</f>
        <v>236</v>
      </c>
    </row>
    <row r="1282" spans="6:23">
      <c r="F1282" s="9" t="s">
        <v>152</v>
      </c>
      <c r="G1282" s="7">
        <f>SUMIF(Table1[ProductID_Clean],Table14[[#This Row],[ProductID]],Table1[GrossRevenue_Analytical])</f>
        <v>273600</v>
      </c>
      <c r="H1282" s="7">
        <f>SUMIF(Table1[ProductID_Clean],Table14[[#This Row],[ProductID]],Table1[DiscountAmount_Analytical])</f>
        <v>31362.96000000001</v>
      </c>
      <c r="I1282" s="10">
        <f>Table14[[#This Row],[Discount]]/Table14[[#This Row],[Gross Revenue]]</f>
        <v>0.114630701754386</v>
      </c>
      <c r="J1282" s="7">
        <f>SUMIF(Table1[ProductID_Clean],Table14[[#This Row],[ProductID]],Table1[NetRevenue_Analytical])</f>
        <v>242237.04000000004</v>
      </c>
      <c r="K1282" s="10">
        <f>Table14[[#This Row],[Net Revenue]]/Table14[[#Totals],[Net Revenue]]</f>
        <v>6.1893680953042693E-2</v>
      </c>
      <c r="L1282" s="7">
        <f>SUMIF(Table1[ProductID_Clean],Table14[[#This Row],[ProductID]],Table1[Quantity])</f>
        <v>288</v>
      </c>
      <c r="O1282" s="9" t="s">
        <v>2597</v>
      </c>
      <c r="P1282" s="7">
        <f>SUBTOTAL(109,Table16[Gross Revenue])</f>
        <v>4568105</v>
      </c>
      <c r="Q1282" s="7">
        <f>SUBTOTAL(109,Table16[Discount])</f>
        <v>669505.54999999993</v>
      </c>
      <c r="R1282" s="7"/>
      <c r="S1282" s="7">
        <f>SUBTOTAL(109,Table16[Net Revenue])</f>
        <v>3898599.45</v>
      </c>
      <c r="T1282" s="10">
        <f>SUBTOTAL(109,Table16[Revenue Contribution (%)])</f>
        <v>1</v>
      </c>
      <c r="U1282" s="7">
        <f>SUBTOTAL(109,Table16[Quantity])</f>
        <v>3449</v>
      </c>
    </row>
    <row r="1283" spans="6:23">
      <c r="F1283" s="9" t="s">
        <v>2597</v>
      </c>
      <c r="G1283" s="7">
        <f>SUBTOTAL(109,Table14[Gross Revenue])</f>
        <v>4586720</v>
      </c>
      <c r="H1283" s="7">
        <f>SUBTOTAL(109,Table14[Discount])</f>
        <v>672959.56</v>
      </c>
      <c r="I1283" s="7"/>
      <c r="J1283" s="7">
        <f>SUBTOTAL(109,Table14[Net Revenue])</f>
        <v>3913760.4400000009</v>
      </c>
      <c r="K1283" s="10">
        <f>SUBTOTAL(109,Table14[Revenue Contribution (%)])</f>
        <v>1</v>
      </c>
      <c r="L1283" s="7">
        <f>SUBTOTAL(109,Table14[Quantity])</f>
        <v>3470</v>
      </c>
      <c r="O1283" s="12" t="s">
        <v>40</v>
      </c>
      <c r="P1283" s="13"/>
      <c r="Q1283" s="13"/>
      <c r="R1283" s="14"/>
      <c r="S1283" s="13"/>
      <c r="T1283" s="16"/>
      <c r="U1283" s="17"/>
    </row>
    <row r="1284" spans="6:23">
      <c r="H1284" s="12"/>
      <c r="I1284" s="7"/>
      <c r="J1284" s="7"/>
      <c r="K1284" s="7"/>
      <c r="L1284" s="7"/>
      <c r="M1284" s="16"/>
      <c r="O1284" s="12"/>
      <c r="P1284" s="7"/>
      <c r="Q1284" s="7"/>
      <c r="R1284" s="7"/>
      <c r="S1284" s="7"/>
      <c r="T1284" s="7"/>
      <c r="U1284" s="7"/>
    </row>
    <row r="1285" spans="6:23">
      <c r="O1285" s="6" t="s">
        <v>2613</v>
      </c>
      <c r="P1285" s="8" t="s">
        <v>2600</v>
      </c>
      <c r="Q1285" s="8" t="s">
        <v>2601</v>
      </c>
      <c r="R1285" s="8" t="s">
        <v>2602</v>
      </c>
      <c r="S1285" s="8" t="s">
        <v>2603</v>
      </c>
      <c r="T1285" s="8" t="s">
        <v>2604</v>
      </c>
      <c r="U1285" s="8" t="s">
        <v>11</v>
      </c>
    </row>
    <row r="1286" spans="6:23">
      <c r="F1286" s="6" t="s">
        <v>2606</v>
      </c>
      <c r="G1286" s="8" t="s">
        <v>2600</v>
      </c>
      <c r="H1286" s="8" t="s">
        <v>2601</v>
      </c>
      <c r="I1286" s="8" t="s">
        <v>2598</v>
      </c>
      <c r="J1286" s="8" t="s">
        <v>2603</v>
      </c>
      <c r="K1286" s="8" t="s">
        <v>2668</v>
      </c>
      <c r="L1286" s="8" t="s">
        <v>11</v>
      </c>
      <c r="O1286" s="9" t="s">
        <v>25</v>
      </c>
      <c r="P1286" s="7">
        <f>SUMIF(Table1[SalesChannelClean],Table17[[#This Row],[Sales Channel]],Table1[GrossRevenue_Analytical])</f>
        <v>2446190</v>
      </c>
      <c r="Q1286" s="7">
        <f>SUMIF(Table1[SalesChannelClean],Table17[[#This Row],[Sales Channel]],Table1[DiscountAmount_Analytical])</f>
        <v>277997.0499999997</v>
      </c>
      <c r="R1286" s="10">
        <f>Table17[[#This Row],[Discount]]/Table17[[#This Row],[Gross Revenue]]</f>
        <v>0.11364491310977468</v>
      </c>
      <c r="S1286" s="7">
        <f>SUMIF(Table1[SalesChannelClean],Table17[[#This Row],[Sales Channel]],Table1[NetRevenue_Analytical])</f>
        <v>2168192.9500000002</v>
      </c>
      <c r="T1286" s="10">
        <f>Table17[[#This Row],[Net Revenue]]/Table17[[#Totals],[Net Revenue]]</f>
        <v>0.57080276648955763</v>
      </c>
      <c r="U1286" s="7">
        <f>SUMIF(Table1[SalesChannelClean],Table17[[#This Row],[Sales Channel]],Table1[Quantity])</f>
        <v>1875</v>
      </c>
    </row>
    <row r="1287" spans="6:23" ht="15" customHeight="1">
      <c r="F1287" s="9" t="s">
        <v>28</v>
      </c>
      <c r="G1287" s="7">
        <v>725270</v>
      </c>
      <c r="H1287" s="7">
        <v>117086.82</v>
      </c>
      <c r="I1287" s="10">
        <f>Table57[[#This Row],[Discount]]/Table57[[#This Row],[Gross Revenue]]</f>
        <v>0.16143893998097261</v>
      </c>
      <c r="J1287" s="7">
        <f>Table57[[#This Row],[Gross Revenue]]-Table57[[#This Row],[Discount]]</f>
        <v>608183.17999999993</v>
      </c>
      <c r="K1287" s="10">
        <f>Table57[[#This Row],[Net Revenue]]/Table57[[#Totals],[Net Revenue]]</f>
        <v>0.15539611821514551</v>
      </c>
      <c r="L1287" s="7">
        <v>574</v>
      </c>
      <c r="O1287" s="9" t="s">
        <v>87</v>
      </c>
      <c r="P1287" s="7">
        <f>SUMIF(Table1[SalesChannelClean],Table17[[#This Row],[Sales Channel]],Table1[GrossRevenue_Analytical])</f>
        <v>1404940</v>
      </c>
      <c r="Q1287" s="7">
        <f>SUMIF(Table1[SalesChannelClean],Table17[[#This Row],[Sales Channel]],Table1[DiscountAmount_Analytical])</f>
        <v>280142.02</v>
      </c>
      <c r="R1287" s="10">
        <f>Table17[[#This Row],[Discount]]/Table17[[#This Row],[Gross Revenue]]</f>
        <v>0.19939785328910845</v>
      </c>
      <c r="S1287" s="7">
        <f>SUMIF(Table1[SalesChannelClean],Table17[[#This Row],[Sales Channel]],Table1[NetRevenue_Analytical])</f>
        <v>1124797.9799999997</v>
      </c>
      <c r="T1287" s="10">
        <f>Table17[[#This Row],[Net Revenue]]/Table17[[#Totals],[Net Revenue]]</f>
        <v>0.2961165419921995</v>
      </c>
      <c r="U1287" s="7">
        <f>SUMIF(Table1[SalesChannelClean],Table17[[#This Row],[Sales Channel]],Table1[Quantity])</f>
        <v>1038</v>
      </c>
    </row>
    <row r="1288" spans="6:23">
      <c r="F1288" s="9" t="s">
        <v>36</v>
      </c>
      <c r="G1288" s="7">
        <v>1431240</v>
      </c>
      <c r="H1288" s="7">
        <v>206477.83</v>
      </c>
      <c r="I1288" s="10">
        <f>Table57[[#This Row],[Discount]]/Table57[[#This Row],[Gross Revenue]]</f>
        <v>0.14426499399122439</v>
      </c>
      <c r="J1288" s="7">
        <f>Table57[[#This Row],[Gross Revenue]]-Table57[[#This Row],[Discount]]</f>
        <v>1224762.17</v>
      </c>
      <c r="K1288" s="10">
        <f>Table57[[#This Row],[Net Revenue]]/Table57[[#Totals],[Net Revenue]]</f>
        <v>0.31293743926748874</v>
      </c>
      <c r="L1288" s="7">
        <v>1104</v>
      </c>
      <c r="O1288" s="9" t="s">
        <v>34</v>
      </c>
      <c r="P1288" s="7">
        <f>SUMIF(Table1[SalesChannelClean],Table17[[#This Row],[Sales Channel]],Table1[GrossRevenue_Analytical])</f>
        <v>601600</v>
      </c>
      <c r="Q1288" s="7">
        <f>SUMIF(Table1[SalesChannelClean],Table17[[#This Row],[Sales Channel]],Table1[DiscountAmount_Analytical])</f>
        <v>96093.31</v>
      </c>
      <c r="R1288" s="10">
        <f>Table17[[#This Row],[Discount]]/Table17[[#This Row],[Gross Revenue]]</f>
        <v>0.15972957114361702</v>
      </c>
      <c r="S1288" s="7">
        <f>SUMIF(Table1[SalesChannelClean],Table17[[#This Row],[Sales Channel]],Table1[NetRevenue_Analytical])</f>
        <v>505506.68999999994</v>
      </c>
      <c r="T1288" s="10">
        <f>Table17[[#This Row],[Net Revenue]]/Table17[[#Totals],[Net Revenue]]</f>
        <v>0.13308069151824295</v>
      </c>
      <c r="U1288" s="7">
        <f>SUMIF(Table1[SalesChannelClean],Table17[[#This Row],[Sales Channel]],Table1[Quantity])</f>
        <v>483</v>
      </c>
    </row>
    <row r="1289" spans="6:23" ht="15" customHeight="1">
      <c r="F1289" s="9" t="s">
        <v>44</v>
      </c>
      <c r="G1289" s="7">
        <v>962340</v>
      </c>
      <c r="H1289" s="7">
        <v>160951.1</v>
      </c>
      <c r="I1289" s="10">
        <f>Table57[[#This Row],[Discount]]/Table57[[#This Row],[Gross Revenue]]</f>
        <v>0.16724972462954882</v>
      </c>
      <c r="J1289" s="7">
        <f>Table57[[#This Row],[Gross Revenue]]-Table57[[#This Row],[Discount]]</f>
        <v>801388.9</v>
      </c>
      <c r="K1289" s="10">
        <f>Table57[[#This Row],[Net Revenue]]/Table57[[#Totals],[Net Revenue]]</f>
        <v>0.20476186835799282</v>
      </c>
      <c r="L1289" s="7">
        <v>706</v>
      </c>
      <c r="O1289" s="9" t="s">
        <v>2597</v>
      </c>
      <c r="P1289" s="7">
        <f>SUBTOTAL(109,Table17[Gross Revenue])</f>
        <v>4452730</v>
      </c>
      <c r="Q1289" s="7">
        <f>SUBTOTAL(109,Table17[Discount])</f>
        <v>654232.37999999966</v>
      </c>
      <c r="R1289" s="7"/>
      <c r="S1289" s="7">
        <f>SUBTOTAL(109,Table17[Net Revenue])</f>
        <v>3798497.6199999996</v>
      </c>
      <c r="T1289" s="10">
        <f>SUBTOTAL(109,Table17[Revenue Contribution (%)])</f>
        <v>1</v>
      </c>
      <c r="U1289" s="7">
        <f>SUBTOTAL(109,Table17[Quantity])</f>
        <v>3396</v>
      </c>
    </row>
    <row r="1290" spans="6:23" ht="15" customHeight="1">
      <c r="F1290" s="9" t="s">
        <v>48</v>
      </c>
      <c r="G1290" s="7">
        <v>771920</v>
      </c>
      <c r="H1290" s="7">
        <v>104583.75</v>
      </c>
      <c r="I1290" s="10">
        <f>Table57[[#This Row],[Discount]]/Table57[[#This Row],[Gross Revenue]]</f>
        <v>0.13548521867551042</v>
      </c>
      <c r="J1290" s="7">
        <f>Table57[[#This Row],[Gross Revenue]]-Table57[[#This Row],[Discount]]</f>
        <v>667336.25</v>
      </c>
      <c r="K1290" s="10">
        <f>Table57[[#This Row],[Net Revenue]]/Table57[[#Totals],[Net Revenue]]</f>
        <v>0.1705102446178336</v>
      </c>
      <c r="L1290" s="7">
        <v>570</v>
      </c>
      <c r="O1290" s="12" t="s">
        <v>40</v>
      </c>
      <c r="P1290" s="7"/>
      <c r="Q1290" s="7"/>
      <c r="R1290" s="7"/>
      <c r="S1290" s="7"/>
      <c r="T1290" s="16"/>
      <c r="U1290" s="7"/>
    </row>
    <row r="1291" spans="6:23">
      <c r="F1291" s="9" t="s">
        <v>59</v>
      </c>
      <c r="G1291" s="7">
        <v>695950</v>
      </c>
      <c r="H1291" s="7">
        <v>83860.06</v>
      </c>
      <c r="I1291" s="10">
        <f>Table57[[#This Row],[Discount]]/Table57[[#This Row],[Gross Revenue]]</f>
        <v>0.1204972483655435</v>
      </c>
      <c r="J1291" s="7">
        <f>Table57[[#This Row],[Gross Revenue]]-Table57[[#This Row],[Discount]]</f>
        <v>612089.93999999994</v>
      </c>
      <c r="K1291" s="10">
        <f>Table57[[#This Row],[Net Revenue]]/Table57[[#Totals],[Net Revenue]]</f>
        <v>0.15639432954153934</v>
      </c>
      <c r="L1291" s="7">
        <v>516</v>
      </c>
      <c r="O1291" s="12"/>
      <c r="P1291" s="7"/>
      <c r="Q1291" s="7"/>
      <c r="R1291" s="7"/>
      <c r="S1291" s="7"/>
      <c r="T1291" s="7" t="s">
        <v>2607</v>
      </c>
      <c r="U1291" s="7"/>
    </row>
    <row r="1292" spans="6:23">
      <c r="F1292" s="9" t="s">
        <v>2597</v>
      </c>
      <c r="G1292" s="7">
        <f>SUBTOTAL(109,Table57[Gross Revenue])</f>
        <v>4586720</v>
      </c>
      <c r="H1292" s="7">
        <f>SUBTOTAL(109,Table57[Discount])</f>
        <v>672959.56</v>
      </c>
      <c r="I1292" s="7"/>
      <c r="J1292" s="7">
        <f>SUBTOTAL(109,Table57[Net Revenue])</f>
        <v>3913760.44</v>
      </c>
      <c r="K1292" s="15">
        <f>SUBTOTAL(109,Table57[Revenue Contribution])</f>
        <v>1</v>
      </c>
      <c r="L1292" s="7">
        <f>SUBTOTAL(109,Table57[Quantity])</f>
        <v>3470</v>
      </c>
    </row>
    <row r="1293" spans="6:23" ht="24" customHeight="1">
      <c r="F1293" s="12"/>
      <c r="G1293" s="7"/>
      <c r="H1293" s="7"/>
      <c r="I1293" s="7"/>
      <c r="J1293" s="7"/>
      <c r="K1293" s="7"/>
      <c r="L1293" s="7"/>
      <c r="O1293" s="6" t="s">
        <v>2615</v>
      </c>
      <c r="P1293" s="6" t="s">
        <v>2616</v>
      </c>
      <c r="Q1293" s="8" t="s">
        <v>2600</v>
      </c>
      <c r="R1293" s="8" t="s">
        <v>2601</v>
      </c>
      <c r="S1293" s="8" t="s">
        <v>2602</v>
      </c>
      <c r="T1293" s="8" t="s">
        <v>2603</v>
      </c>
      <c r="U1293" s="8" t="s">
        <v>2604</v>
      </c>
      <c r="V1293" s="8" t="s">
        <v>2617</v>
      </c>
      <c r="W1293" s="8" t="s">
        <v>11</v>
      </c>
    </row>
    <row r="1294" spans="6:23">
      <c r="F1294" s="12"/>
      <c r="G1294" s="7"/>
      <c r="H1294" s="7"/>
      <c r="I1294" s="7"/>
      <c r="J1294" s="7" t="s">
        <v>2607</v>
      </c>
      <c r="K1294" s="7"/>
      <c r="L1294" s="7"/>
      <c r="O1294" s="9" t="s">
        <v>2611</v>
      </c>
      <c r="P1294" s="12" t="s">
        <v>1518</v>
      </c>
      <c r="Q1294" s="19">
        <v>1144990</v>
      </c>
      <c r="R1294" s="20">
        <v>230612.02</v>
      </c>
      <c r="S1294" s="14">
        <v>0.2014</v>
      </c>
      <c r="T1294" s="20">
        <v>914377.98</v>
      </c>
      <c r="U1294" s="14">
        <v>0.23449999999999999</v>
      </c>
      <c r="V1294" s="8" t="s">
        <v>2618</v>
      </c>
      <c r="W1294" s="7">
        <v>890</v>
      </c>
    </row>
    <row r="1295" spans="6:23">
      <c r="O1295" s="9" t="s">
        <v>2606</v>
      </c>
      <c r="P1295" s="12" t="s">
        <v>44</v>
      </c>
      <c r="Q1295" s="19">
        <v>970620</v>
      </c>
      <c r="R1295" s="20">
        <v>161872.59</v>
      </c>
      <c r="S1295" s="14">
        <v>0.1668</v>
      </c>
      <c r="T1295" s="20">
        <v>808747.41</v>
      </c>
      <c r="U1295" s="14">
        <v>0.2056</v>
      </c>
      <c r="V1295" s="8" t="s">
        <v>2619</v>
      </c>
      <c r="W1295" s="7">
        <v>710</v>
      </c>
    </row>
    <row r="1296" spans="6:23">
      <c r="O1296" s="9" t="s">
        <v>7</v>
      </c>
      <c r="P1296" s="12" t="s">
        <v>58</v>
      </c>
      <c r="Q1296" s="19">
        <v>819195</v>
      </c>
      <c r="R1296" s="20">
        <v>149707.79999999999</v>
      </c>
      <c r="S1296" s="14">
        <v>0.1827</v>
      </c>
      <c r="T1296" s="20">
        <v>669487.19999999995</v>
      </c>
      <c r="U1296" s="14">
        <v>0.17019999999999999</v>
      </c>
      <c r="V1296" s="8" t="s">
        <v>2618</v>
      </c>
      <c r="W1296" s="7">
        <v>621</v>
      </c>
    </row>
    <row r="1297" spans="15:23">
      <c r="O1297" s="9" t="s">
        <v>2613</v>
      </c>
      <c r="P1297" s="12" t="s">
        <v>87</v>
      </c>
      <c r="Q1297" s="19">
        <v>1404940</v>
      </c>
      <c r="R1297" s="20">
        <v>280142.02</v>
      </c>
      <c r="S1297" s="14">
        <v>0.19939999999999999</v>
      </c>
      <c r="T1297" s="20">
        <v>1124797.98</v>
      </c>
      <c r="U1297" s="14">
        <v>0.29609999999999997</v>
      </c>
      <c r="V1297" s="8" t="s">
        <v>2620</v>
      </c>
      <c r="W1297" s="22">
        <v>1038</v>
      </c>
    </row>
  </sheetData>
  <phoneticPr fontId="2" type="noConversion"/>
  <pageMargins left="0.7" right="0.7" top="0.75" bottom="0.75" header="0.3" footer="0.3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9DE0-23CE-4EAC-9E5F-D223C0C8708C}">
  <dimension ref="A1:N186"/>
  <sheetViews>
    <sheetView workbookViewId="0">
      <selection activeCell="E11" sqref="E11"/>
    </sheetView>
  </sheetViews>
  <sheetFormatPr defaultColWidth="9.140625" defaultRowHeight="15"/>
  <cols>
    <col min="1" max="1" width="14.140625" customWidth="1"/>
    <col min="2" max="2" width="17.42578125" customWidth="1"/>
    <col min="3" max="3" width="23.5703125" customWidth="1"/>
    <col min="4" max="4" width="20.140625" customWidth="1"/>
    <col min="5" max="5" width="26.85546875" bestFit="1" customWidth="1"/>
    <col min="6" max="6" width="16.42578125" customWidth="1"/>
    <col min="7" max="7" width="9.42578125" customWidth="1"/>
    <col min="8" max="8" width="15.5703125" customWidth="1"/>
    <col min="9" max="9" width="21.85546875" bestFit="1" customWidth="1"/>
    <col min="10" max="10" width="16.140625" customWidth="1"/>
    <col min="11" max="11" width="22.28515625" customWidth="1"/>
    <col min="12" max="12" width="17.140625" customWidth="1"/>
    <col min="13" max="13" width="13.42578125" customWidth="1"/>
    <col min="14" max="14" width="19.5703125" customWidth="1"/>
  </cols>
  <sheetData>
    <row r="1" spans="1:14">
      <c r="A1" t="s">
        <v>2</v>
      </c>
      <c r="B1" t="s">
        <v>1475</v>
      </c>
      <c r="C1" t="s">
        <v>1476</v>
      </c>
      <c r="D1" t="s">
        <v>19</v>
      </c>
      <c r="E1" t="s">
        <v>1477</v>
      </c>
      <c r="F1" t="s">
        <v>1478</v>
      </c>
      <c r="G1" t="s">
        <v>7</v>
      </c>
      <c r="H1" t="s">
        <v>6</v>
      </c>
      <c r="I1" t="s">
        <v>1479</v>
      </c>
      <c r="J1" t="s">
        <v>1480</v>
      </c>
      <c r="K1" t="s">
        <v>1481</v>
      </c>
      <c r="L1" t="s">
        <v>1482</v>
      </c>
      <c r="M1" t="s">
        <v>1483</v>
      </c>
      <c r="N1" t="s">
        <v>1484</v>
      </c>
    </row>
    <row r="2" spans="1:14">
      <c r="A2" t="s">
        <v>989</v>
      </c>
      <c r="B2" t="s">
        <v>1485</v>
      </c>
      <c r="C2" t="s">
        <v>1486</v>
      </c>
      <c r="D2" t="s">
        <v>1487</v>
      </c>
      <c r="E2" t="s">
        <v>44</v>
      </c>
      <c r="F2" t="s">
        <v>1488</v>
      </c>
      <c r="G2" t="s">
        <v>33</v>
      </c>
      <c r="H2" t="s">
        <v>32</v>
      </c>
      <c r="I2" t="s">
        <v>1489</v>
      </c>
      <c r="J2" t="s">
        <v>1490</v>
      </c>
      <c r="K2" t="s">
        <v>1490</v>
      </c>
      <c r="L2" t="s">
        <v>1491</v>
      </c>
      <c r="M2">
        <v>100000</v>
      </c>
      <c r="N2">
        <v>100000</v>
      </c>
    </row>
    <row r="3" spans="1:14">
      <c r="A3" t="s">
        <v>1492</v>
      </c>
      <c r="B3" t="s">
        <v>1493</v>
      </c>
      <c r="C3" t="s">
        <v>1494</v>
      </c>
      <c r="D3" t="s">
        <v>36</v>
      </c>
      <c r="E3" t="s">
        <v>36</v>
      </c>
      <c r="F3" t="s">
        <v>1495</v>
      </c>
      <c r="G3" t="s">
        <v>69</v>
      </c>
      <c r="H3" t="s">
        <v>23</v>
      </c>
      <c r="I3" t="s">
        <v>1496</v>
      </c>
      <c r="J3" t="s">
        <v>1490</v>
      </c>
      <c r="K3" t="s">
        <v>1490</v>
      </c>
      <c r="L3" t="s">
        <v>1497</v>
      </c>
      <c r="M3">
        <v>500000</v>
      </c>
      <c r="N3">
        <v>500000</v>
      </c>
    </row>
    <row r="4" spans="1:14">
      <c r="A4" t="s">
        <v>764</v>
      </c>
      <c r="B4" t="s">
        <v>1498</v>
      </c>
      <c r="C4" t="s">
        <v>1498</v>
      </c>
      <c r="D4" t="s">
        <v>1499</v>
      </c>
      <c r="E4" t="s">
        <v>36</v>
      </c>
      <c r="F4" t="s">
        <v>1495</v>
      </c>
      <c r="G4" t="s">
        <v>33</v>
      </c>
      <c r="H4" t="s">
        <v>32</v>
      </c>
      <c r="I4" t="s">
        <v>1500</v>
      </c>
      <c r="J4" t="s">
        <v>1490</v>
      </c>
      <c r="K4" t="s">
        <v>1490</v>
      </c>
      <c r="L4" t="s">
        <v>1501</v>
      </c>
      <c r="M4">
        <v>100000</v>
      </c>
      <c r="N4">
        <v>100000</v>
      </c>
    </row>
    <row r="5" spans="1:14">
      <c r="A5" t="s">
        <v>442</v>
      </c>
      <c r="B5" t="s">
        <v>1502</v>
      </c>
      <c r="C5" t="s">
        <v>1503</v>
      </c>
      <c r="D5" t="s">
        <v>36</v>
      </c>
      <c r="E5" t="s">
        <v>36</v>
      </c>
      <c r="F5" t="s">
        <v>1488</v>
      </c>
      <c r="G5" t="s">
        <v>69</v>
      </c>
      <c r="H5" t="s">
        <v>23</v>
      </c>
      <c r="I5" t="s">
        <v>1500</v>
      </c>
      <c r="J5" t="s">
        <v>1490</v>
      </c>
      <c r="K5" t="s">
        <v>1490</v>
      </c>
      <c r="L5" t="s">
        <v>1504</v>
      </c>
      <c r="M5">
        <v>100000</v>
      </c>
      <c r="N5">
        <v>100000</v>
      </c>
    </row>
    <row r="6" spans="1:14">
      <c r="A6" t="s">
        <v>91</v>
      </c>
      <c r="B6" t="s">
        <v>1505</v>
      </c>
      <c r="C6" t="s">
        <v>1506</v>
      </c>
      <c r="D6" t="s">
        <v>1507</v>
      </c>
      <c r="E6" t="s">
        <v>48</v>
      </c>
      <c r="F6" t="s">
        <v>1508</v>
      </c>
      <c r="G6" t="s">
        <v>1509</v>
      </c>
      <c r="H6" t="s">
        <v>23</v>
      </c>
      <c r="I6" t="s">
        <v>1510</v>
      </c>
      <c r="J6" t="s">
        <v>1490</v>
      </c>
      <c r="K6" t="s">
        <v>1490</v>
      </c>
      <c r="L6" t="s">
        <v>1511</v>
      </c>
      <c r="M6">
        <v>250000</v>
      </c>
      <c r="N6">
        <v>250000</v>
      </c>
    </row>
    <row r="7" spans="1:14">
      <c r="A7" t="s">
        <v>21</v>
      </c>
      <c r="B7" t="s">
        <v>1512</v>
      </c>
      <c r="C7" t="s">
        <v>1513</v>
      </c>
      <c r="D7" t="s">
        <v>1514</v>
      </c>
      <c r="E7" t="s">
        <v>28</v>
      </c>
      <c r="F7" t="s">
        <v>1488</v>
      </c>
      <c r="G7" t="s">
        <v>69</v>
      </c>
      <c r="H7" t="s">
        <v>23</v>
      </c>
      <c r="I7" t="s">
        <v>1515</v>
      </c>
      <c r="J7" t="s">
        <v>1490</v>
      </c>
      <c r="K7" t="s">
        <v>1490</v>
      </c>
      <c r="L7" t="s">
        <v>1516</v>
      </c>
      <c r="M7">
        <v>50000</v>
      </c>
      <c r="N7">
        <v>50000</v>
      </c>
    </row>
    <row r="8" spans="1:14">
      <c r="A8" t="s">
        <v>80</v>
      </c>
      <c r="B8" t="s">
        <v>1517</v>
      </c>
      <c r="C8" t="s">
        <v>1517</v>
      </c>
      <c r="D8" t="s">
        <v>48</v>
      </c>
      <c r="E8" t="s">
        <v>48</v>
      </c>
      <c r="F8" t="s">
        <v>1518</v>
      </c>
      <c r="G8" t="s">
        <v>69</v>
      </c>
      <c r="H8" t="s">
        <v>23</v>
      </c>
      <c r="I8" t="s">
        <v>1519</v>
      </c>
      <c r="J8" t="s">
        <v>1490</v>
      </c>
      <c r="K8" t="s">
        <v>1490</v>
      </c>
      <c r="L8" t="s">
        <v>1520</v>
      </c>
      <c r="M8">
        <v>2500000</v>
      </c>
      <c r="N8">
        <v>2500000</v>
      </c>
    </row>
    <row r="9" spans="1:14">
      <c r="A9" t="s">
        <v>163</v>
      </c>
      <c r="B9" t="s">
        <v>1521</v>
      </c>
      <c r="C9" t="s">
        <v>1522</v>
      </c>
      <c r="D9" t="s">
        <v>28</v>
      </c>
      <c r="E9" t="s">
        <v>28</v>
      </c>
      <c r="F9" t="s">
        <v>1518</v>
      </c>
      <c r="G9" t="s">
        <v>69</v>
      </c>
      <c r="H9" t="s">
        <v>23</v>
      </c>
      <c r="I9" t="s">
        <v>1523</v>
      </c>
      <c r="J9" t="s">
        <v>1490</v>
      </c>
      <c r="K9" t="s">
        <v>1490</v>
      </c>
      <c r="L9" t="s">
        <v>1524</v>
      </c>
      <c r="M9">
        <v>250000</v>
      </c>
      <c r="N9">
        <v>250000</v>
      </c>
    </row>
    <row r="10" spans="1:14">
      <c r="A10" t="s">
        <v>100</v>
      </c>
      <c r="B10" t="s">
        <v>1525</v>
      </c>
      <c r="C10" t="s">
        <v>1525</v>
      </c>
      <c r="D10" t="s">
        <v>1499</v>
      </c>
      <c r="E10" t="s">
        <v>36</v>
      </c>
      <c r="F10" t="s">
        <v>1518</v>
      </c>
      <c r="G10" t="s">
        <v>47</v>
      </c>
      <c r="H10" t="s">
        <v>47</v>
      </c>
      <c r="I10" t="s">
        <v>1496</v>
      </c>
      <c r="J10" t="s">
        <v>1490</v>
      </c>
      <c r="K10" t="s">
        <v>1490</v>
      </c>
      <c r="L10" t="s">
        <v>1526</v>
      </c>
      <c r="M10" t="s">
        <v>1527</v>
      </c>
      <c r="N10">
        <v>100000</v>
      </c>
    </row>
    <row r="11" spans="1:14">
      <c r="A11" t="s">
        <v>229</v>
      </c>
      <c r="B11" t="s">
        <v>1528</v>
      </c>
      <c r="C11" t="s">
        <v>1529</v>
      </c>
      <c r="D11" t="s">
        <v>48</v>
      </c>
      <c r="E11" t="s">
        <v>48</v>
      </c>
      <c r="F11" t="s">
        <v>1488</v>
      </c>
      <c r="G11" t="s">
        <v>69</v>
      </c>
      <c r="H11" t="s">
        <v>23</v>
      </c>
      <c r="I11" t="s">
        <v>1519</v>
      </c>
      <c r="J11" t="s">
        <v>1490</v>
      </c>
      <c r="K11" t="s">
        <v>1490</v>
      </c>
      <c r="L11" t="s">
        <v>1530</v>
      </c>
      <c r="M11">
        <v>100000</v>
      </c>
      <c r="N11">
        <v>100000</v>
      </c>
    </row>
    <row r="12" spans="1:14">
      <c r="A12" t="s">
        <v>78</v>
      </c>
      <c r="B12" t="s">
        <v>1531</v>
      </c>
      <c r="C12" t="s">
        <v>1532</v>
      </c>
      <c r="D12" t="s">
        <v>59</v>
      </c>
      <c r="E12" t="s">
        <v>59</v>
      </c>
      <c r="F12" t="s">
        <v>1495</v>
      </c>
      <c r="G12" t="s">
        <v>58</v>
      </c>
      <c r="H12" t="s">
        <v>58</v>
      </c>
      <c r="I12" t="s">
        <v>1533</v>
      </c>
      <c r="J12" t="s">
        <v>1490</v>
      </c>
      <c r="K12" t="s">
        <v>1490</v>
      </c>
      <c r="L12" t="s">
        <v>1534</v>
      </c>
      <c r="M12">
        <v>250000</v>
      </c>
      <c r="N12">
        <v>250000</v>
      </c>
    </row>
    <row r="13" spans="1:14">
      <c r="A13" t="s">
        <v>323</v>
      </c>
      <c r="B13" t="s">
        <v>1535</v>
      </c>
      <c r="C13" t="s">
        <v>1535</v>
      </c>
      <c r="D13" t="s">
        <v>59</v>
      </c>
      <c r="E13" t="s">
        <v>59</v>
      </c>
      <c r="F13" t="s">
        <v>1508</v>
      </c>
      <c r="G13" t="s">
        <v>1509</v>
      </c>
      <c r="H13" t="s">
        <v>23</v>
      </c>
      <c r="I13" t="s">
        <v>1536</v>
      </c>
      <c r="J13" t="s">
        <v>1490</v>
      </c>
      <c r="K13" t="s">
        <v>1490</v>
      </c>
      <c r="L13" t="s">
        <v>1537</v>
      </c>
      <c r="M13">
        <v>100000</v>
      </c>
      <c r="N13">
        <v>100000</v>
      </c>
    </row>
    <row r="14" spans="1:14">
      <c r="A14" t="s">
        <v>839</v>
      </c>
      <c r="B14" t="s">
        <v>1538</v>
      </c>
      <c r="C14" t="s">
        <v>1539</v>
      </c>
      <c r="D14" t="s">
        <v>44</v>
      </c>
      <c r="E14" t="s">
        <v>44</v>
      </c>
      <c r="F14" t="s">
        <v>1495</v>
      </c>
      <c r="G14" t="s">
        <v>69</v>
      </c>
      <c r="H14" t="s">
        <v>23</v>
      </c>
      <c r="I14" t="s">
        <v>1540</v>
      </c>
      <c r="J14" t="s">
        <v>1490</v>
      </c>
      <c r="K14" t="s">
        <v>1490</v>
      </c>
      <c r="L14" t="s">
        <v>1541</v>
      </c>
      <c r="M14">
        <v>100000</v>
      </c>
      <c r="N14">
        <v>100000</v>
      </c>
    </row>
    <row r="15" spans="1:14">
      <c r="A15" t="s">
        <v>264</v>
      </c>
      <c r="B15" t="s">
        <v>1542</v>
      </c>
      <c r="C15" t="s">
        <v>1543</v>
      </c>
      <c r="D15" t="s">
        <v>48</v>
      </c>
      <c r="E15" t="s">
        <v>48</v>
      </c>
      <c r="F15" t="s">
        <v>1488</v>
      </c>
      <c r="G15" t="s">
        <v>69</v>
      </c>
      <c r="H15" t="s">
        <v>23</v>
      </c>
      <c r="I15" t="s">
        <v>1544</v>
      </c>
      <c r="J15" t="s">
        <v>1490</v>
      </c>
      <c r="K15" t="s">
        <v>1490</v>
      </c>
      <c r="L15" t="s">
        <v>1545</v>
      </c>
      <c r="M15">
        <v>2500000</v>
      </c>
      <c r="N15">
        <v>2500000</v>
      </c>
    </row>
    <row r="16" spans="1:14">
      <c r="A16" t="s">
        <v>143</v>
      </c>
      <c r="B16" t="s">
        <v>1546</v>
      </c>
      <c r="C16" t="s">
        <v>1547</v>
      </c>
      <c r="D16" t="s">
        <v>1514</v>
      </c>
      <c r="E16" t="s">
        <v>28</v>
      </c>
      <c r="F16" t="s">
        <v>1518</v>
      </c>
      <c r="G16" t="s">
        <v>69</v>
      </c>
      <c r="H16" t="s">
        <v>23</v>
      </c>
      <c r="I16" t="s">
        <v>1523</v>
      </c>
      <c r="J16" t="s">
        <v>1490</v>
      </c>
      <c r="K16" t="s">
        <v>1490</v>
      </c>
      <c r="L16" t="s">
        <v>1548</v>
      </c>
      <c r="M16">
        <v>500000</v>
      </c>
      <c r="N16">
        <v>500000</v>
      </c>
    </row>
    <row r="17" spans="1:14">
      <c r="A17" t="s">
        <v>197</v>
      </c>
      <c r="B17" t="s">
        <v>1549</v>
      </c>
      <c r="C17" t="s">
        <v>1550</v>
      </c>
      <c r="D17" t="s">
        <v>1514</v>
      </c>
      <c r="E17" t="s">
        <v>28</v>
      </c>
      <c r="F17" t="s">
        <v>1518</v>
      </c>
      <c r="G17" t="s">
        <v>58</v>
      </c>
      <c r="H17" t="s">
        <v>58</v>
      </c>
      <c r="I17" t="s">
        <v>1551</v>
      </c>
      <c r="J17" t="s">
        <v>1490</v>
      </c>
      <c r="K17" t="s">
        <v>1490</v>
      </c>
      <c r="L17" t="s">
        <v>1552</v>
      </c>
      <c r="M17" t="s">
        <v>1553</v>
      </c>
      <c r="N17">
        <v>50000</v>
      </c>
    </row>
    <row r="18" spans="1:14">
      <c r="A18" t="s">
        <v>165</v>
      </c>
      <c r="B18" t="s">
        <v>1554</v>
      </c>
      <c r="C18" t="s">
        <v>1554</v>
      </c>
      <c r="D18" t="s">
        <v>28</v>
      </c>
      <c r="E18" t="s">
        <v>28</v>
      </c>
      <c r="F18" t="s">
        <v>1508</v>
      </c>
      <c r="G18" t="s">
        <v>47</v>
      </c>
      <c r="H18" t="s">
        <v>47</v>
      </c>
      <c r="I18" t="s">
        <v>1523</v>
      </c>
      <c r="J18" t="s">
        <v>1490</v>
      </c>
      <c r="K18" t="s">
        <v>1490</v>
      </c>
      <c r="L18" t="s">
        <v>1555</v>
      </c>
      <c r="M18">
        <v>100000</v>
      </c>
      <c r="N18">
        <v>100000</v>
      </c>
    </row>
    <row r="19" spans="1:14">
      <c r="A19" t="s">
        <v>1126</v>
      </c>
      <c r="B19" t="s">
        <v>1556</v>
      </c>
      <c r="C19" t="s">
        <v>1557</v>
      </c>
      <c r="D19" t="s">
        <v>44</v>
      </c>
      <c r="E19" t="s">
        <v>44</v>
      </c>
      <c r="F19" t="s">
        <v>1488</v>
      </c>
      <c r="G19" t="s">
        <v>58</v>
      </c>
      <c r="H19" t="s">
        <v>58</v>
      </c>
      <c r="I19" t="s">
        <v>1540</v>
      </c>
      <c r="J19" t="s">
        <v>1490</v>
      </c>
      <c r="K19" t="s">
        <v>1490</v>
      </c>
      <c r="L19" t="s">
        <v>1558</v>
      </c>
      <c r="M19">
        <v>250000</v>
      </c>
      <c r="N19">
        <v>250000</v>
      </c>
    </row>
    <row r="20" spans="1:14">
      <c r="A20" t="s">
        <v>559</v>
      </c>
      <c r="B20" t="s">
        <v>1559</v>
      </c>
      <c r="C20" t="s">
        <v>1559</v>
      </c>
      <c r="D20" t="s">
        <v>36</v>
      </c>
      <c r="E20" t="s">
        <v>36</v>
      </c>
      <c r="F20" t="s">
        <v>1488</v>
      </c>
      <c r="G20" t="s">
        <v>58</v>
      </c>
      <c r="H20" t="s">
        <v>58</v>
      </c>
      <c r="I20" t="s">
        <v>1496</v>
      </c>
      <c r="J20" t="s">
        <v>1490</v>
      </c>
      <c r="K20" t="s">
        <v>1490</v>
      </c>
      <c r="L20" t="s">
        <v>1560</v>
      </c>
      <c r="M20">
        <v>500000</v>
      </c>
      <c r="N20">
        <v>500000</v>
      </c>
    </row>
    <row r="21" spans="1:14">
      <c r="A21" t="s">
        <v>320</v>
      </c>
      <c r="B21" t="s">
        <v>1561</v>
      </c>
      <c r="C21" t="s">
        <v>1562</v>
      </c>
      <c r="D21" t="s">
        <v>44</v>
      </c>
      <c r="E21" t="s">
        <v>44</v>
      </c>
      <c r="F21" t="s">
        <v>1488</v>
      </c>
      <c r="G21" t="s">
        <v>47</v>
      </c>
      <c r="H21" t="s">
        <v>47</v>
      </c>
      <c r="I21" t="s">
        <v>1563</v>
      </c>
      <c r="J21" t="s">
        <v>1490</v>
      </c>
      <c r="K21" t="s">
        <v>1490</v>
      </c>
      <c r="L21" t="s">
        <v>1564</v>
      </c>
      <c r="M21">
        <v>50000</v>
      </c>
      <c r="N21">
        <v>50000</v>
      </c>
    </row>
    <row r="22" spans="1:14">
      <c r="A22" t="s">
        <v>200</v>
      </c>
      <c r="B22" t="s">
        <v>1565</v>
      </c>
      <c r="C22" t="s">
        <v>1566</v>
      </c>
      <c r="D22" t="s">
        <v>36</v>
      </c>
      <c r="E22" t="s">
        <v>36</v>
      </c>
      <c r="F22" t="s">
        <v>1508</v>
      </c>
      <c r="G22" t="s">
        <v>47</v>
      </c>
      <c r="H22" t="s">
        <v>47</v>
      </c>
      <c r="I22" t="s">
        <v>1496</v>
      </c>
      <c r="J22" t="s">
        <v>1490</v>
      </c>
      <c r="K22" t="s">
        <v>1490</v>
      </c>
      <c r="L22" t="s">
        <v>1567</v>
      </c>
      <c r="M22">
        <v>1000000</v>
      </c>
      <c r="N22">
        <v>1000000</v>
      </c>
    </row>
    <row r="23" spans="1:14">
      <c r="A23" t="s">
        <v>557</v>
      </c>
      <c r="B23" t="s">
        <v>1568</v>
      </c>
      <c r="C23" t="s">
        <v>1569</v>
      </c>
      <c r="D23" t="s">
        <v>36</v>
      </c>
      <c r="E23" t="s">
        <v>36</v>
      </c>
      <c r="F23" t="s">
        <v>1488</v>
      </c>
      <c r="G23" t="s">
        <v>69</v>
      </c>
      <c r="H23" t="s">
        <v>23</v>
      </c>
      <c r="I23" t="s">
        <v>1570</v>
      </c>
      <c r="J23" t="s">
        <v>1490</v>
      </c>
      <c r="K23" t="s">
        <v>1490</v>
      </c>
      <c r="L23" t="s">
        <v>1571</v>
      </c>
      <c r="M23">
        <v>50000</v>
      </c>
      <c r="N23">
        <v>50000</v>
      </c>
    </row>
    <row r="24" spans="1:14">
      <c r="A24" t="s">
        <v>535</v>
      </c>
      <c r="B24" t="s">
        <v>1572</v>
      </c>
      <c r="C24" t="s">
        <v>1573</v>
      </c>
      <c r="D24" t="s">
        <v>36</v>
      </c>
      <c r="E24" t="s">
        <v>36</v>
      </c>
      <c r="F24" t="s">
        <v>1495</v>
      </c>
      <c r="G24" t="s">
        <v>69</v>
      </c>
      <c r="H24" t="s">
        <v>23</v>
      </c>
      <c r="I24" t="s">
        <v>1500</v>
      </c>
      <c r="J24" t="s">
        <v>1490</v>
      </c>
      <c r="K24" t="s">
        <v>1490</v>
      </c>
      <c r="L24" t="s">
        <v>1574</v>
      </c>
      <c r="M24">
        <v>250000</v>
      </c>
      <c r="N24">
        <v>250000</v>
      </c>
    </row>
    <row r="25" spans="1:14">
      <c r="A25" t="s">
        <v>276</v>
      </c>
      <c r="B25" t="s">
        <v>1575</v>
      </c>
      <c r="C25" t="s">
        <v>1576</v>
      </c>
      <c r="D25" t="s">
        <v>59</v>
      </c>
      <c r="E25" t="s">
        <v>59</v>
      </c>
      <c r="F25" t="s">
        <v>1508</v>
      </c>
      <c r="G25" t="s">
        <v>58</v>
      </c>
      <c r="H25" t="s">
        <v>58</v>
      </c>
      <c r="I25" t="s">
        <v>1577</v>
      </c>
      <c r="J25" t="s">
        <v>1490</v>
      </c>
      <c r="K25" t="s">
        <v>1490</v>
      </c>
      <c r="L25" t="s">
        <v>1578</v>
      </c>
      <c r="M25">
        <v>250000</v>
      </c>
      <c r="N25">
        <v>250000</v>
      </c>
    </row>
    <row r="26" spans="1:14">
      <c r="A26" t="s">
        <v>128</v>
      </c>
      <c r="B26" t="s">
        <v>1579</v>
      </c>
      <c r="C26" t="s">
        <v>1580</v>
      </c>
      <c r="D26" t="s">
        <v>28</v>
      </c>
      <c r="E26" t="s">
        <v>28</v>
      </c>
      <c r="F26" t="s">
        <v>1508</v>
      </c>
      <c r="G26" t="s">
        <v>33</v>
      </c>
      <c r="H26" t="s">
        <v>32</v>
      </c>
      <c r="I26" t="s">
        <v>1581</v>
      </c>
      <c r="J26" t="s">
        <v>1490</v>
      </c>
      <c r="K26" t="s">
        <v>1490</v>
      </c>
      <c r="L26" t="s">
        <v>1582</v>
      </c>
      <c r="M26">
        <v>100000</v>
      </c>
      <c r="N26">
        <v>100000</v>
      </c>
    </row>
    <row r="27" spans="1:14">
      <c r="A27" t="s">
        <v>700</v>
      </c>
      <c r="B27" t="s">
        <v>1583</v>
      </c>
      <c r="C27" t="s">
        <v>1584</v>
      </c>
      <c r="D27" t="s">
        <v>44</v>
      </c>
      <c r="E27" t="s">
        <v>44</v>
      </c>
      <c r="F27" t="s">
        <v>1495</v>
      </c>
      <c r="G27" t="s">
        <v>58</v>
      </c>
      <c r="H27" t="s">
        <v>58</v>
      </c>
      <c r="I27" t="s">
        <v>1585</v>
      </c>
      <c r="J27" t="s">
        <v>1490</v>
      </c>
      <c r="K27" t="s">
        <v>1490</v>
      </c>
      <c r="L27" t="s">
        <v>1586</v>
      </c>
      <c r="M27">
        <v>250000</v>
      </c>
      <c r="N27">
        <v>250000</v>
      </c>
    </row>
    <row r="28" spans="1:14">
      <c r="A28" t="s">
        <v>252</v>
      </c>
      <c r="B28" t="s">
        <v>1587</v>
      </c>
      <c r="C28" t="s">
        <v>1587</v>
      </c>
      <c r="D28" t="s">
        <v>44</v>
      </c>
      <c r="E28" t="s">
        <v>44</v>
      </c>
      <c r="F28" t="s">
        <v>1518</v>
      </c>
      <c r="G28" t="s">
        <v>69</v>
      </c>
      <c r="H28" t="s">
        <v>23</v>
      </c>
      <c r="I28" t="s">
        <v>1489</v>
      </c>
      <c r="J28" t="s">
        <v>1490</v>
      </c>
      <c r="K28" t="s">
        <v>1490</v>
      </c>
      <c r="L28" t="s">
        <v>1588</v>
      </c>
      <c r="M28">
        <v>1000000</v>
      </c>
      <c r="N28">
        <v>1000000</v>
      </c>
    </row>
    <row r="29" spans="1:14">
      <c r="A29" t="s">
        <v>591</v>
      </c>
      <c r="B29" t="s">
        <v>1589</v>
      </c>
      <c r="C29" t="s">
        <v>1590</v>
      </c>
      <c r="D29" t="s">
        <v>44</v>
      </c>
      <c r="E29" t="s">
        <v>44</v>
      </c>
      <c r="F29" t="s">
        <v>1488</v>
      </c>
      <c r="G29" t="s">
        <v>47</v>
      </c>
      <c r="H29" t="s">
        <v>47</v>
      </c>
      <c r="I29" t="s">
        <v>1540</v>
      </c>
      <c r="J29" t="s">
        <v>1490</v>
      </c>
      <c r="K29" t="s">
        <v>1490</v>
      </c>
      <c r="L29" t="s">
        <v>1591</v>
      </c>
      <c r="M29">
        <v>2500000</v>
      </c>
      <c r="N29">
        <v>2500000</v>
      </c>
    </row>
    <row r="30" spans="1:14">
      <c r="A30" t="s">
        <v>185</v>
      </c>
      <c r="B30" t="s">
        <v>1592</v>
      </c>
      <c r="C30" t="s">
        <v>1592</v>
      </c>
      <c r="D30" t="s">
        <v>59</v>
      </c>
      <c r="E30" t="s">
        <v>59</v>
      </c>
      <c r="F30" t="s">
        <v>1488</v>
      </c>
      <c r="G30" t="s">
        <v>69</v>
      </c>
      <c r="H30" t="s">
        <v>23</v>
      </c>
      <c r="I30" t="s">
        <v>1577</v>
      </c>
      <c r="J30" t="s">
        <v>1490</v>
      </c>
      <c r="K30" t="s">
        <v>1490</v>
      </c>
      <c r="L30" t="s">
        <v>1593</v>
      </c>
      <c r="M30">
        <v>100000</v>
      </c>
      <c r="N30">
        <v>100000</v>
      </c>
    </row>
    <row r="31" spans="1:14">
      <c r="A31" t="s">
        <v>208</v>
      </c>
      <c r="B31" t="s">
        <v>1594</v>
      </c>
      <c r="C31" t="s">
        <v>1595</v>
      </c>
      <c r="D31" t="s">
        <v>36</v>
      </c>
      <c r="E31" t="s">
        <v>36</v>
      </c>
      <c r="F31" t="s">
        <v>1488</v>
      </c>
      <c r="G31" t="s">
        <v>47</v>
      </c>
      <c r="H31" t="s">
        <v>47</v>
      </c>
      <c r="I31" t="s">
        <v>1570</v>
      </c>
      <c r="J31" t="s">
        <v>1490</v>
      </c>
      <c r="K31" t="s">
        <v>1490</v>
      </c>
      <c r="L31" t="s">
        <v>1596</v>
      </c>
      <c r="M31">
        <v>100000</v>
      </c>
      <c r="N31">
        <v>100000</v>
      </c>
    </row>
    <row r="32" spans="1:14">
      <c r="A32" t="s">
        <v>288</v>
      </c>
      <c r="B32" t="s">
        <v>1597</v>
      </c>
      <c r="C32" t="s">
        <v>1598</v>
      </c>
      <c r="D32" t="s">
        <v>59</v>
      </c>
      <c r="E32" t="s">
        <v>59</v>
      </c>
      <c r="F32" t="s">
        <v>1508</v>
      </c>
      <c r="G32" t="s">
        <v>69</v>
      </c>
      <c r="H32" t="s">
        <v>23</v>
      </c>
      <c r="I32" t="s">
        <v>1599</v>
      </c>
      <c r="J32" t="s">
        <v>1490</v>
      </c>
      <c r="K32" t="s">
        <v>1490</v>
      </c>
      <c r="L32" t="s">
        <v>1600</v>
      </c>
      <c r="M32">
        <v>2500000</v>
      </c>
      <c r="N32">
        <v>2500000</v>
      </c>
    </row>
    <row r="33" spans="1:14">
      <c r="A33" t="s">
        <v>292</v>
      </c>
      <c r="B33" t="s">
        <v>1601</v>
      </c>
      <c r="C33" t="s">
        <v>1602</v>
      </c>
      <c r="D33" t="s">
        <v>36</v>
      </c>
      <c r="E33" t="s">
        <v>36</v>
      </c>
      <c r="F33" t="s">
        <v>1488</v>
      </c>
      <c r="G33" t="s">
        <v>47</v>
      </c>
      <c r="H33" t="s">
        <v>47</v>
      </c>
      <c r="I33" t="s">
        <v>1603</v>
      </c>
      <c r="J33" t="s">
        <v>1490</v>
      </c>
      <c r="K33" t="s">
        <v>1490</v>
      </c>
      <c r="L33" t="s">
        <v>1604</v>
      </c>
      <c r="M33">
        <v>500000</v>
      </c>
      <c r="N33">
        <v>500000</v>
      </c>
    </row>
    <row r="34" spans="1:14">
      <c r="A34" t="s">
        <v>202</v>
      </c>
      <c r="B34" t="s">
        <v>1605</v>
      </c>
      <c r="C34" t="s">
        <v>1606</v>
      </c>
      <c r="D34" t="s">
        <v>44</v>
      </c>
      <c r="E34" t="s">
        <v>44</v>
      </c>
      <c r="F34" t="s">
        <v>1488</v>
      </c>
      <c r="G34" t="s">
        <v>47</v>
      </c>
      <c r="H34" t="s">
        <v>47</v>
      </c>
      <c r="I34" t="s">
        <v>1585</v>
      </c>
      <c r="J34" t="s">
        <v>1490</v>
      </c>
      <c r="K34" t="s">
        <v>1490</v>
      </c>
      <c r="L34" t="s">
        <v>1607</v>
      </c>
      <c r="M34" t="s">
        <v>1553</v>
      </c>
      <c r="N34">
        <v>50000</v>
      </c>
    </row>
    <row r="35" spans="1:14">
      <c r="A35" t="s">
        <v>410</v>
      </c>
      <c r="B35" t="s">
        <v>1608</v>
      </c>
      <c r="C35" t="s">
        <v>1609</v>
      </c>
      <c r="D35" t="s">
        <v>28</v>
      </c>
      <c r="E35" t="s">
        <v>28</v>
      </c>
      <c r="F35" t="s">
        <v>1508</v>
      </c>
      <c r="G35" t="s">
        <v>69</v>
      </c>
      <c r="H35" t="s">
        <v>23</v>
      </c>
      <c r="I35" t="s">
        <v>1551</v>
      </c>
      <c r="J35" t="s">
        <v>1490</v>
      </c>
      <c r="K35" t="s">
        <v>1490</v>
      </c>
      <c r="L35" t="s">
        <v>1610</v>
      </c>
      <c r="M35">
        <v>250000</v>
      </c>
      <c r="N35">
        <v>250000</v>
      </c>
    </row>
    <row r="36" spans="1:14">
      <c r="A36" t="s">
        <v>416</v>
      </c>
      <c r="B36" t="s">
        <v>1611</v>
      </c>
      <c r="C36" t="s">
        <v>1612</v>
      </c>
      <c r="D36" t="s">
        <v>48</v>
      </c>
      <c r="E36" t="s">
        <v>48</v>
      </c>
      <c r="F36" t="s">
        <v>1488</v>
      </c>
      <c r="G36" t="s">
        <v>1509</v>
      </c>
      <c r="H36" t="s">
        <v>23</v>
      </c>
      <c r="I36" t="s">
        <v>1544</v>
      </c>
      <c r="J36" t="s">
        <v>1490</v>
      </c>
      <c r="K36" t="s">
        <v>1490</v>
      </c>
      <c r="L36" t="s">
        <v>1613</v>
      </c>
      <c r="M36">
        <v>250000</v>
      </c>
      <c r="N36">
        <v>250000</v>
      </c>
    </row>
    <row r="37" spans="1:14">
      <c r="A37" t="s">
        <v>215</v>
      </c>
      <c r="B37" t="s">
        <v>1614</v>
      </c>
      <c r="C37" t="s">
        <v>1615</v>
      </c>
      <c r="D37" t="s">
        <v>36</v>
      </c>
      <c r="E37" t="s">
        <v>36</v>
      </c>
      <c r="F37" t="s">
        <v>1488</v>
      </c>
      <c r="G37" t="s">
        <v>47</v>
      </c>
      <c r="H37" t="s">
        <v>47</v>
      </c>
      <c r="I37" t="s">
        <v>1603</v>
      </c>
      <c r="J37" t="s">
        <v>1490</v>
      </c>
      <c r="K37" t="s">
        <v>1490</v>
      </c>
      <c r="L37" t="s">
        <v>1616</v>
      </c>
      <c r="M37">
        <v>50000</v>
      </c>
      <c r="N37">
        <v>50000</v>
      </c>
    </row>
    <row r="38" spans="1:14">
      <c r="A38" t="s">
        <v>504</v>
      </c>
      <c r="B38" t="s">
        <v>1617</v>
      </c>
      <c r="C38" t="s">
        <v>1617</v>
      </c>
      <c r="D38" t="s">
        <v>44</v>
      </c>
      <c r="E38" t="s">
        <v>44</v>
      </c>
      <c r="F38" t="s">
        <v>1495</v>
      </c>
      <c r="G38" t="s">
        <v>69</v>
      </c>
      <c r="H38" t="s">
        <v>23</v>
      </c>
      <c r="I38" t="s">
        <v>1563</v>
      </c>
      <c r="J38" t="s">
        <v>1490</v>
      </c>
      <c r="K38" t="s">
        <v>1490</v>
      </c>
      <c r="L38" t="s">
        <v>1618</v>
      </c>
      <c r="M38">
        <v>100000</v>
      </c>
      <c r="N38">
        <v>100000</v>
      </c>
    </row>
    <row r="39" spans="1:14">
      <c r="A39" t="s">
        <v>130</v>
      </c>
      <c r="B39" t="s">
        <v>1619</v>
      </c>
      <c r="C39" t="s">
        <v>1620</v>
      </c>
      <c r="D39" t="s">
        <v>48</v>
      </c>
      <c r="E39" t="s">
        <v>48</v>
      </c>
      <c r="F39" t="s">
        <v>1488</v>
      </c>
      <c r="G39" t="s">
        <v>58</v>
      </c>
      <c r="H39" t="s">
        <v>58</v>
      </c>
      <c r="I39" t="s">
        <v>1510</v>
      </c>
      <c r="J39" t="s">
        <v>1490</v>
      </c>
      <c r="K39" t="s">
        <v>1490</v>
      </c>
      <c r="L39" t="s">
        <v>1621</v>
      </c>
      <c r="M39" t="s">
        <v>1527</v>
      </c>
      <c r="N39">
        <v>100000</v>
      </c>
    </row>
    <row r="40" spans="1:14">
      <c r="A40" t="s">
        <v>1161</v>
      </c>
      <c r="B40" t="s">
        <v>1622</v>
      </c>
      <c r="C40" t="s">
        <v>1623</v>
      </c>
      <c r="D40" t="s">
        <v>36</v>
      </c>
      <c r="E40" t="s">
        <v>36</v>
      </c>
      <c r="F40" t="s">
        <v>1495</v>
      </c>
      <c r="G40" t="s">
        <v>33</v>
      </c>
      <c r="H40" t="s">
        <v>32</v>
      </c>
      <c r="I40" t="s">
        <v>1603</v>
      </c>
      <c r="J40" t="s">
        <v>1490</v>
      </c>
      <c r="K40" t="s">
        <v>1490</v>
      </c>
      <c r="L40" t="s">
        <v>1624</v>
      </c>
      <c r="M40">
        <v>100000</v>
      </c>
      <c r="N40">
        <v>100000</v>
      </c>
    </row>
    <row r="41" spans="1:14">
      <c r="A41" t="s">
        <v>1625</v>
      </c>
      <c r="B41" t="s">
        <v>1626</v>
      </c>
      <c r="C41" t="s">
        <v>1627</v>
      </c>
      <c r="D41" t="s">
        <v>44</v>
      </c>
      <c r="E41" t="s">
        <v>44</v>
      </c>
      <c r="F41" t="s">
        <v>1495</v>
      </c>
      <c r="G41" t="s">
        <v>58</v>
      </c>
      <c r="H41" t="s">
        <v>58</v>
      </c>
      <c r="I41" t="s">
        <v>1563</v>
      </c>
      <c r="J41" t="s">
        <v>1490</v>
      </c>
      <c r="K41" t="s">
        <v>1490</v>
      </c>
      <c r="L41" t="s">
        <v>1628</v>
      </c>
      <c r="M41">
        <v>500000</v>
      </c>
      <c r="N41">
        <v>500000</v>
      </c>
    </row>
    <row r="42" spans="1:14">
      <c r="A42" t="s">
        <v>246</v>
      </c>
      <c r="B42" t="s">
        <v>1629</v>
      </c>
      <c r="C42" t="s">
        <v>1630</v>
      </c>
      <c r="D42" t="s">
        <v>48</v>
      </c>
      <c r="E42" t="s">
        <v>48</v>
      </c>
      <c r="F42" t="s">
        <v>1508</v>
      </c>
      <c r="G42" t="s">
        <v>1509</v>
      </c>
      <c r="H42" t="s">
        <v>23</v>
      </c>
      <c r="I42" t="s">
        <v>1519</v>
      </c>
      <c r="J42" t="s">
        <v>1490</v>
      </c>
      <c r="K42" t="s">
        <v>1490</v>
      </c>
      <c r="L42" t="s">
        <v>1631</v>
      </c>
      <c r="M42">
        <v>250000</v>
      </c>
      <c r="N42">
        <v>250000</v>
      </c>
    </row>
    <row r="43" spans="1:14">
      <c r="A43" t="s">
        <v>880</v>
      </c>
      <c r="B43" t="s">
        <v>1632</v>
      </c>
      <c r="C43" t="s">
        <v>1633</v>
      </c>
      <c r="D43" t="s">
        <v>1499</v>
      </c>
      <c r="E43" t="s">
        <v>36</v>
      </c>
      <c r="F43" t="s">
        <v>1488</v>
      </c>
      <c r="G43" t="s">
        <v>69</v>
      </c>
      <c r="H43" t="s">
        <v>23</v>
      </c>
      <c r="I43" t="s">
        <v>1500</v>
      </c>
      <c r="J43" t="s">
        <v>1490</v>
      </c>
      <c r="K43" t="s">
        <v>1490</v>
      </c>
      <c r="L43" t="s">
        <v>1634</v>
      </c>
      <c r="M43">
        <v>100000</v>
      </c>
      <c r="N43">
        <v>100000</v>
      </c>
    </row>
    <row r="44" spans="1:14">
      <c r="A44" t="s">
        <v>204</v>
      </c>
      <c r="B44" t="s">
        <v>1635</v>
      </c>
      <c r="C44" t="s">
        <v>1635</v>
      </c>
      <c r="D44" t="s">
        <v>48</v>
      </c>
      <c r="E44" t="s">
        <v>48</v>
      </c>
      <c r="F44" t="s">
        <v>1488</v>
      </c>
      <c r="G44" t="s">
        <v>47</v>
      </c>
      <c r="H44" t="s">
        <v>47</v>
      </c>
      <c r="I44" t="s">
        <v>1510</v>
      </c>
      <c r="J44" t="s">
        <v>1490</v>
      </c>
      <c r="K44" t="s">
        <v>1490</v>
      </c>
      <c r="L44" t="s">
        <v>1636</v>
      </c>
      <c r="M44">
        <v>500000</v>
      </c>
      <c r="N44">
        <v>500000</v>
      </c>
    </row>
    <row r="45" spans="1:14">
      <c r="A45" t="s">
        <v>773</v>
      </c>
      <c r="B45" t="s">
        <v>1637</v>
      </c>
      <c r="C45" t="s">
        <v>1638</v>
      </c>
      <c r="D45" t="s">
        <v>36</v>
      </c>
      <c r="E45" t="s">
        <v>36</v>
      </c>
      <c r="F45" t="s">
        <v>1488</v>
      </c>
      <c r="G45" t="s">
        <v>69</v>
      </c>
      <c r="H45" t="s">
        <v>23</v>
      </c>
      <c r="I45" t="s">
        <v>1570</v>
      </c>
      <c r="J45" t="s">
        <v>1490</v>
      </c>
      <c r="K45" t="s">
        <v>1490</v>
      </c>
      <c r="L45" t="s">
        <v>1639</v>
      </c>
      <c r="M45">
        <v>500000</v>
      </c>
      <c r="N45">
        <v>500000</v>
      </c>
    </row>
    <row r="46" spans="1:14">
      <c r="A46" t="s">
        <v>61</v>
      </c>
      <c r="B46" t="s">
        <v>1640</v>
      </c>
      <c r="C46" t="s">
        <v>1641</v>
      </c>
      <c r="D46" t="s">
        <v>48</v>
      </c>
      <c r="E46" t="s">
        <v>48</v>
      </c>
      <c r="F46" t="s">
        <v>1518</v>
      </c>
      <c r="G46" t="s">
        <v>47</v>
      </c>
      <c r="H46" t="s">
        <v>47</v>
      </c>
      <c r="I46" t="s">
        <v>1519</v>
      </c>
      <c r="J46" t="s">
        <v>1490</v>
      </c>
      <c r="K46" t="s">
        <v>1490</v>
      </c>
      <c r="L46" t="s">
        <v>1642</v>
      </c>
      <c r="M46">
        <v>100000</v>
      </c>
      <c r="N46">
        <v>100000</v>
      </c>
    </row>
    <row r="47" spans="1:14">
      <c r="A47" t="s">
        <v>1079</v>
      </c>
      <c r="B47" t="s">
        <v>1643</v>
      </c>
      <c r="C47" t="s">
        <v>1644</v>
      </c>
      <c r="D47" t="s">
        <v>36</v>
      </c>
      <c r="E47" t="s">
        <v>36</v>
      </c>
      <c r="F47" t="s">
        <v>1488</v>
      </c>
      <c r="G47" t="s">
        <v>33</v>
      </c>
      <c r="H47" t="s">
        <v>32</v>
      </c>
      <c r="I47" t="s">
        <v>1496</v>
      </c>
      <c r="J47" t="s">
        <v>1490</v>
      </c>
      <c r="K47" t="s">
        <v>1490</v>
      </c>
      <c r="L47" t="s">
        <v>1645</v>
      </c>
      <c r="M47">
        <v>250000</v>
      </c>
      <c r="N47">
        <v>250000</v>
      </c>
    </row>
    <row r="48" spans="1:14">
      <c r="A48" t="s">
        <v>237</v>
      </c>
      <c r="B48" t="s">
        <v>1646</v>
      </c>
      <c r="C48" t="s">
        <v>1647</v>
      </c>
      <c r="D48" t="s">
        <v>28</v>
      </c>
      <c r="E48" t="s">
        <v>28</v>
      </c>
      <c r="F48" t="s">
        <v>1488</v>
      </c>
      <c r="G48" t="s">
        <v>47</v>
      </c>
      <c r="H48" t="s">
        <v>47</v>
      </c>
      <c r="I48" t="s">
        <v>1581</v>
      </c>
      <c r="J48" t="s">
        <v>1490</v>
      </c>
      <c r="K48" t="s">
        <v>1490</v>
      </c>
      <c r="L48" t="s">
        <v>1648</v>
      </c>
      <c r="M48">
        <v>100000</v>
      </c>
      <c r="N48">
        <v>100000</v>
      </c>
    </row>
    <row r="49" spans="1:14">
      <c r="A49" t="s">
        <v>137</v>
      </c>
      <c r="B49" t="s">
        <v>1649</v>
      </c>
      <c r="C49" t="s">
        <v>1650</v>
      </c>
      <c r="D49" t="s">
        <v>28</v>
      </c>
      <c r="E49" t="s">
        <v>28</v>
      </c>
      <c r="F49" t="s">
        <v>1518</v>
      </c>
      <c r="G49" t="s">
        <v>69</v>
      </c>
      <c r="H49" t="s">
        <v>23</v>
      </c>
      <c r="I49" t="s">
        <v>1551</v>
      </c>
      <c r="J49" t="s">
        <v>1490</v>
      </c>
      <c r="K49" t="s">
        <v>1490</v>
      </c>
      <c r="L49" t="s">
        <v>1651</v>
      </c>
      <c r="M49">
        <v>100000</v>
      </c>
      <c r="N49">
        <v>100000</v>
      </c>
    </row>
    <row r="50" spans="1:14">
      <c r="A50" t="s">
        <v>274</v>
      </c>
      <c r="B50" t="s">
        <v>1652</v>
      </c>
      <c r="C50" t="s">
        <v>1652</v>
      </c>
      <c r="D50" t="s">
        <v>1653</v>
      </c>
      <c r="E50" t="s">
        <v>59</v>
      </c>
      <c r="F50" t="s">
        <v>1495</v>
      </c>
      <c r="G50" t="s">
        <v>1654</v>
      </c>
      <c r="H50" t="s">
        <v>32</v>
      </c>
      <c r="I50" t="s">
        <v>1577</v>
      </c>
      <c r="J50" t="s">
        <v>1490</v>
      </c>
      <c r="K50" t="s">
        <v>1490</v>
      </c>
      <c r="L50" t="s">
        <v>1655</v>
      </c>
      <c r="M50">
        <v>50000</v>
      </c>
      <c r="N50">
        <v>50000</v>
      </c>
    </row>
    <row r="51" spans="1:14">
      <c r="A51" t="s">
        <v>399</v>
      </c>
      <c r="B51" t="s">
        <v>1656</v>
      </c>
      <c r="C51" t="s">
        <v>1657</v>
      </c>
      <c r="D51" t="s">
        <v>59</v>
      </c>
      <c r="E51" t="s">
        <v>59</v>
      </c>
      <c r="F51" t="s">
        <v>1495</v>
      </c>
      <c r="G51" t="s">
        <v>47</v>
      </c>
      <c r="H51" t="s">
        <v>47</v>
      </c>
      <c r="I51" t="s">
        <v>1536</v>
      </c>
      <c r="J51" t="s">
        <v>1658</v>
      </c>
      <c r="K51" t="s">
        <v>1658</v>
      </c>
      <c r="L51" t="s">
        <v>1659</v>
      </c>
      <c r="M51">
        <v>500000</v>
      </c>
      <c r="N51">
        <v>500000</v>
      </c>
    </row>
    <row r="52" spans="1:14">
      <c r="A52" t="s">
        <v>730</v>
      </c>
      <c r="B52" t="s">
        <v>1660</v>
      </c>
      <c r="C52" t="s">
        <v>1661</v>
      </c>
      <c r="D52" t="s">
        <v>36</v>
      </c>
      <c r="E52" t="s">
        <v>36</v>
      </c>
      <c r="F52" t="s">
        <v>1495</v>
      </c>
      <c r="G52" t="s">
        <v>69</v>
      </c>
      <c r="H52" t="s">
        <v>23</v>
      </c>
      <c r="I52" t="s">
        <v>1500</v>
      </c>
      <c r="J52" t="s">
        <v>1490</v>
      </c>
      <c r="K52" t="s">
        <v>1490</v>
      </c>
      <c r="L52" t="s">
        <v>1662</v>
      </c>
      <c r="M52">
        <v>100000</v>
      </c>
      <c r="N52">
        <v>100000</v>
      </c>
    </row>
    <row r="53" spans="1:14">
      <c r="A53" t="s">
        <v>677</v>
      </c>
      <c r="B53" t="s">
        <v>1663</v>
      </c>
      <c r="C53" t="s">
        <v>1664</v>
      </c>
      <c r="D53" t="s">
        <v>48</v>
      </c>
      <c r="E53" t="s">
        <v>48</v>
      </c>
      <c r="F53" t="s">
        <v>1488</v>
      </c>
      <c r="G53" t="s">
        <v>33</v>
      </c>
      <c r="H53" t="s">
        <v>32</v>
      </c>
      <c r="I53" t="s">
        <v>1519</v>
      </c>
      <c r="J53" t="s">
        <v>1490</v>
      </c>
      <c r="K53" t="s">
        <v>1490</v>
      </c>
      <c r="L53" t="s">
        <v>1665</v>
      </c>
      <c r="M53">
        <v>50000</v>
      </c>
      <c r="N53">
        <v>50000</v>
      </c>
    </row>
    <row r="54" spans="1:14">
      <c r="A54" t="s">
        <v>316</v>
      </c>
      <c r="B54" t="s">
        <v>1666</v>
      </c>
      <c r="C54" t="s">
        <v>1667</v>
      </c>
      <c r="D54" t="s">
        <v>48</v>
      </c>
      <c r="E54" t="s">
        <v>48</v>
      </c>
      <c r="F54" t="s">
        <v>1508</v>
      </c>
      <c r="G54" t="s">
        <v>33</v>
      </c>
      <c r="H54" t="s">
        <v>32</v>
      </c>
      <c r="I54" t="s">
        <v>1510</v>
      </c>
      <c r="J54" t="s">
        <v>1490</v>
      </c>
      <c r="K54" t="s">
        <v>1490</v>
      </c>
      <c r="L54" t="s">
        <v>1668</v>
      </c>
      <c r="M54">
        <v>500000</v>
      </c>
      <c r="N54">
        <v>500000</v>
      </c>
    </row>
    <row r="55" spans="1:14">
      <c r="A55" t="s">
        <v>642</v>
      </c>
      <c r="B55" t="s">
        <v>1669</v>
      </c>
      <c r="C55" t="s">
        <v>1670</v>
      </c>
      <c r="D55" t="s">
        <v>28</v>
      </c>
      <c r="E55" t="s">
        <v>28</v>
      </c>
      <c r="F55" t="s">
        <v>1488</v>
      </c>
      <c r="G55" t="s">
        <v>47</v>
      </c>
      <c r="H55" t="s">
        <v>47</v>
      </c>
      <c r="I55" t="s">
        <v>1523</v>
      </c>
      <c r="J55" t="s">
        <v>1490</v>
      </c>
      <c r="K55" t="s">
        <v>1490</v>
      </c>
      <c r="L55" t="s">
        <v>1671</v>
      </c>
      <c r="M55">
        <v>100000</v>
      </c>
      <c r="N55">
        <v>100000</v>
      </c>
    </row>
    <row r="56" spans="1:14">
      <c r="A56" t="s">
        <v>745</v>
      </c>
      <c r="B56" t="s">
        <v>1672</v>
      </c>
      <c r="C56" t="s">
        <v>1672</v>
      </c>
      <c r="D56" t="s">
        <v>28</v>
      </c>
      <c r="E56" t="s">
        <v>28</v>
      </c>
      <c r="F56" t="s">
        <v>1495</v>
      </c>
      <c r="G56" t="s">
        <v>58</v>
      </c>
      <c r="H56" t="s">
        <v>58</v>
      </c>
      <c r="I56" t="s">
        <v>1581</v>
      </c>
      <c r="J56" t="s">
        <v>1490</v>
      </c>
      <c r="K56" t="s">
        <v>1490</v>
      </c>
      <c r="L56" t="s">
        <v>1673</v>
      </c>
      <c r="M56">
        <v>250000</v>
      </c>
      <c r="N56">
        <v>250000</v>
      </c>
    </row>
    <row r="57" spans="1:14">
      <c r="A57" t="s">
        <v>361</v>
      </c>
      <c r="B57" t="s">
        <v>1674</v>
      </c>
      <c r="C57" t="s">
        <v>1675</v>
      </c>
      <c r="D57" t="s">
        <v>44</v>
      </c>
      <c r="E57" t="s">
        <v>44</v>
      </c>
      <c r="F57" t="s">
        <v>1488</v>
      </c>
      <c r="G57" t="s">
        <v>58</v>
      </c>
      <c r="H57" t="s">
        <v>58</v>
      </c>
      <c r="I57" t="s">
        <v>1585</v>
      </c>
      <c r="J57" t="s">
        <v>1490</v>
      </c>
      <c r="K57" t="s">
        <v>1490</v>
      </c>
      <c r="L57" t="s">
        <v>1676</v>
      </c>
      <c r="M57">
        <v>500000</v>
      </c>
      <c r="N57">
        <v>500000</v>
      </c>
    </row>
    <row r="58" spans="1:14">
      <c r="A58" t="s">
        <v>344</v>
      </c>
      <c r="B58" t="s">
        <v>1677</v>
      </c>
      <c r="C58" t="s">
        <v>1677</v>
      </c>
      <c r="D58" t="s">
        <v>59</v>
      </c>
      <c r="E58" t="s">
        <v>59</v>
      </c>
      <c r="F58" t="s">
        <v>1488</v>
      </c>
      <c r="G58" t="s">
        <v>69</v>
      </c>
      <c r="H58" t="s">
        <v>23</v>
      </c>
      <c r="I58" t="s">
        <v>1599</v>
      </c>
      <c r="J58" t="s">
        <v>1490</v>
      </c>
      <c r="K58" t="s">
        <v>1490</v>
      </c>
      <c r="L58" t="s">
        <v>1678</v>
      </c>
      <c r="M58">
        <v>250000</v>
      </c>
      <c r="N58">
        <v>250000</v>
      </c>
    </row>
    <row r="59" spans="1:14">
      <c r="A59" t="s">
        <v>299</v>
      </c>
      <c r="B59" t="s">
        <v>1679</v>
      </c>
      <c r="C59" t="s">
        <v>1679</v>
      </c>
      <c r="D59" t="s">
        <v>36</v>
      </c>
      <c r="E59" t="s">
        <v>36</v>
      </c>
      <c r="F59" t="s">
        <v>1488</v>
      </c>
      <c r="G59" t="s">
        <v>47</v>
      </c>
      <c r="H59" t="s">
        <v>47</v>
      </c>
      <c r="I59" t="s">
        <v>1496</v>
      </c>
      <c r="J59" t="s">
        <v>1490</v>
      </c>
      <c r="K59" t="s">
        <v>1490</v>
      </c>
      <c r="L59" t="s">
        <v>1680</v>
      </c>
      <c r="M59">
        <v>250000</v>
      </c>
      <c r="N59">
        <v>250000</v>
      </c>
    </row>
    <row r="60" spans="1:14">
      <c r="A60" t="s">
        <v>213</v>
      </c>
      <c r="B60" t="s">
        <v>1681</v>
      </c>
      <c r="C60" t="s">
        <v>1681</v>
      </c>
      <c r="D60" t="s">
        <v>36</v>
      </c>
      <c r="E60" t="s">
        <v>36</v>
      </c>
      <c r="F60" t="s">
        <v>1495</v>
      </c>
      <c r="G60" t="s">
        <v>69</v>
      </c>
      <c r="H60" t="s">
        <v>23</v>
      </c>
      <c r="I60" t="s">
        <v>1603</v>
      </c>
      <c r="J60" t="s">
        <v>1490</v>
      </c>
      <c r="K60" t="s">
        <v>1490</v>
      </c>
      <c r="L60" t="s">
        <v>1682</v>
      </c>
      <c r="M60">
        <v>50000</v>
      </c>
      <c r="N60">
        <v>50000</v>
      </c>
    </row>
    <row r="61" spans="1:14">
      <c r="A61" t="s">
        <v>188</v>
      </c>
      <c r="B61" t="s">
        <v>1683</v>
      </c>
      <c r="C61" t="s">
        <v>1684</v>
      </c>
      <c r="D61" t="s">
        <v>44</v>
      </c>
      <c r="E61" t="s">
        <v>44</v>
      </c>
      <c r="F61" t="s">
        <v>1508</v>
      </c>
      <c r="G61" t="s">
        <v>58</v>
      </c>
      <c r="H61" t="s">
        <v>58</v>
      </c>
      <c r="I61" t="s">
        <v>1540</v>
      </c>
      <c r="K61" t="s">
        <v>40</v>
      </c>
      <c r="L61" t="s">
        <v>1685</v>
      </c>
      <c r="M61">
        <v>50000</v>
      </c>
      <c r="N61">
        <v>50000</v>
      </c>
    </row>
    <row r="62" spans="1:14">
      <c r="A62" t="s">
        <v>168</v>
      </c>
      <c r="B62" t="s">
        <v>1686</v>
      </c>
      <c r="C62" t="s">
        <v>1687</v>
      </c>
      <c r="D62" t="s">
        <v>36</v>
      </c>
      <c r="E62" t="s">
        <v>36</v>
      </c>
      <c r="F62" t="s">
        <v>1488</v>
      </c>
      <c r="G62" t="s">
        <v>47</v>
      </c>
      <c r="H62" t="s">
        <v>47</v>
      </c>
      <c r="I62" t="s">
        <v>1603</v>
      </c>
      <c r="J62" t="s">
        <v>1490</v>
      </c>
      <c r="K62" t="s">
        <v>1490</v>
      </c>
      <c r="L62" t="s">
        <v>1688</v>
      </c>
      <c r="M62">
        <v>500000</v>
      </c>
      <c r="N62">
        <v>500000</v>
      </c>
    </row>
    <row r="63" spans="1:14">
      <c r="A63" t="s">
        <v>160</v>
      </c>
      <c r="B63" t="s">
        <v>1689</v>
      </c>
      <c r="C63" t="s">
        <v>1690</v>
      </c>
      <c r="D63" t="s">
        <v>59</v>
      </c>
      <c r="E63" t="s">
        <v>59</v>
      </c>
      <c r="F63" t="s">
        <v>1508</v>
      </c>
      <c r="G63" t="s">
        <v>47</v>
      </c>
      <c r="H63" t="s">
        <v>47</v>
      </c>
      <c r="I63" t="s">
        <v>1536</v>
      </c>
      <c r="J63" t="s">
        <v>1490</v>
      </c>
      <c r="K63" t="s">
        <v>1490</v>
      </c>
      <c r="L63" t="s">
        <v>1691</v>
      </c>
      <c r="M63">
        <v>100000</v>
      </c>
      <c r="N63">
        <v>100000</v>
      </c>
    </row>
    <row r="64" spans="1:14">
      <c r="A64" t="s">
        <v>266</v>
      </c>
      <c r="B64" t="s">
        <v>1692</v>
      </c>
      <c r="C64" t="s">
        <v>1693</v>
      </c>
      <c r="D64" t="s">
        <v>44</v>
      </c>
      <c r="E64" t="s">
        <v>44</v>
      </c>
      <c r="F64" t="s">
        <v>1518</v>
      </c>
      <c r="G64" t="s">
        <v>69</v>
      </c>
      <c r="H64" t="s">
        <v>23</v>
      </c>
      <c r="I64" t="s">
        <v>1585</v>
      </c>
      <c r="K64" t="s">
        <v>40</v>
      </c>
      <c r="L64" t="s">
        <v>1694</v>
      </c>
      <c r="M64">
        <v>500000</v>
      </c>
      <c r="N64">
        <v>500000</v>
      </c>
    </row>
    <row r="65" spans="1:14">
      <c r="A65" t="s">
        <v>262</v>
      </c>
      <c r="B65" t="s">
        <v>1695</v>
      </c>
      <c r="C65" t="s">
        <v>1696</v>
      </c>
      <c r="D65" t="s">
        <v>48</v>
      </c>
      <c r="E65" t="s">
        <v>48</v>
      </c>
      <c r="F65" t="s">
        <v>1508</v>
      </c>
      <c r="G65" t="s">
        <v>69</v>
      </c>
      <c r="H65" t="s">
        <v>23</v>
      </c>
      <c r="I65" t="s">
        <v>1510</v>
      </c>
      <c r="J65" t="s">
        <v>1490</v>
      </c>
      <c r="K65" t="s">
        <v>1490</v>
      </c>
      <c r="L65" t="s">
        <v>1697</v>
      </c>
      <c r="M65">
        <v>100000</v>
      </c>
      <c r="N65">
        <v>100000</v>
      </c>
    </row>
    <row r="66" spans="1:14">
      <c r="A66" t="s">
        <v>516</v>
      </c>
      <c r="B66" t="s">
        <v>1698</v>
      </c>
      <c r="C66" t="s">
        <v>1699</v>
      </c>
      <c r="D66" t="s">
        <v>48</v>
      </c>
      <c r="E66" t="s">
        <v>48</v>
      </c>
      <c r="F66" t="s">
        <v>1488</v>
      </c>
      <c r="G66" t="s">
        <v>58</v>
      </c>
      <c r="H66" t="s">
        <v>58</v>
      </c>
      <c r="I66" t="s">
        <v>1510</v>
      </c>
      <c r="J66" t="s">
        <v>1490</v>
      </c>
      <c r="K66" t="s">
        <v>1490</v>
      </c>
      <c r="L66" t="s">
        <v>1700</v>
      </c>
      <c r="M66">
        <v>1000000</v>
      </c>
      <c r="N66">
        <v>1000000</v>
      </c>
    </row>
    <row r="67" spans="1:14">
      <c r="A67" t="s">
        <v>85</v>
      </c>
      <c r="B67" t="s">
        <v>1701</v>
      </c>
      <c r="C67" t="s">
        <v>1701</v>
      </c>
      <c r="D67" t="s">
        <v>28</v>
      </c>
      <c r="E67" t="s">
        <v>28</v>
      </c>
      <c r="F67" t="s">
        <v>1488</v>
      </c>
      <c r="G67" t="s">
        <v>47</v>
      </c>
      <c r="H67" t="s">
        <v>47</v>
      </c>
      <c r="I67" t="s">
        <v>1551</v>
      </c>
      <c r="J67" t="s">
        <v>1490</v>
      </c>
      <c r="K67" t="s">
        <v>1490</v>
      </c>
      <c r="L67" t="s">
        <v>1702</v>
      </c>
      <c r="M67">
        <v>100000</v>
      </c>
      <c r="N67">
        <v>100000</v>
      </c>
    </row>
    <row r="68" spans="1:14">
      <c r="A68" t="s">
        <v>89</v>
      </c>
      <c r="B68" t="s">
        <v>1703</v>
      </c>
      <c r="C68" t="s">
        <v>1704</v>
      </c>
      <c r="D68" t="s">
        <v>44</v>
      </c>
      <c r="E68" t="s">
        <v>44</v>
      </c>
      <c r="F68" t="s">
        <v>1518</v>
      </c>
      <c r="G68" t="s">
        <v>58</v>
      </c>
      <c r="H68" t="s">
        <v>58</v>
      </c>
      <c r="I68" t="s">
        <v>1540</v>
      </c>
      <c r="J68" t="s">
        <v>1490</v>
      </c>
      <c r="K68" t="s">
        <v>1490</v>
      </c>
      <c r="L68" t="s">
        <v>1705</v>
      </c>
      <c r="M68">
        <v>50000</v>
      </c>
      <c r="N68">
        <v>50000</v>
      </c>
    </row>
    <row r="69" spans="1:14">
      <c r="A69" t="s">
        <v>180</v>
      </c>
      <c r="B69" t="s">
        <v>1706</v>
      </c>
      <c r="C69" t="s">
        <v>1707</v>
      </c>
      <c r="D69" t="s">
        <v>36</v>
      </c>
      <c r="E69" t="s">
        <v>36</v>
      </c>
      <c r="F69" t="s">
        <v>1488</v>
      </c>
      <c r="G69" t="s">
        <v>58</v>
      </c>
      <c r="H69" t="s">
        <v>58</v>
      </c>
      <c r="I69" t="s">
        <v>1496</v>
      </c>
      <c r="J69" t="s">
        <v>1490</v>
      </c>
      <c r="K69" t="s">
        <v>1490</v>
      </c>
      <c r="L69" t="s">
        <v>1708</v>
      </c>
      <c r="M69">
        <v>50000</v>
      </c>
      <c r="N69">
        <v>50000</v>
      </c>
    </row>
    <row r="70" spans="1:14">
      <c r="A70" t="s">
        <v>235</v>
      </c>
      <c r="B70" t="s">
        <v>1709</v>
      </c>
      <c r="C70" t="s">
        <v>1710</v>
      </c>
      <c r="D70" t="s">
        <v>44</v>
      </c>
      <c r="E70" t="s">
        <v>44</v>
      </c>
      <c r="F70" t="s">
        <v>1508</v>
      </c>
      <c r="G70" t="s">
        <v>47</v>
      </c>
      <c r="H70" t="s">
        <v>47</v>
      </c>
      <c r="I70" t="s">
        <v>1563</v>
      </c>
      <c r="J70" t="s">
        <v>1490</v>
      </c>
      <c r="K70" t="s">
        <v>1490</v>
      </c>
      <c r="L70" t="s">
        <v>1711</v>
      </c>
      <c r="M70">
        <v>100000</v>
      </c>
      <c r="N70">
        <v>100000</v>
      </c>
    </row>
    <row r="71" spans="1:14">
      <c r="A71" t="s">
        <v>46</v>
      </c>
      <c r="B71" t="s">
        <v>1712</v>
      </c>
      <c r="C71" t="s">
        <v>1713</v>
      </c>
      <c r="D71" t="s">
        <v>48</v>
      </c>
      <c r="E71" t="s">
        <v>48</v>
      </c>
      <c r="F71" t="s">
        <v>1518</v>
      </c>
      <c r="G71" t="s">
        <v>47</v>
      </c>
      <c r="H71" t="s">
        <v>47</v>
      </c>
      <c r="I71" t="s">
        <v>1544</v>
      </c>
      <c r="J71" t="s">
        <v>1490</v>
      </c>
      <c r="K71" t="s">
        <v>1490</v>
      </c>
      <c r="L71" t="s">
        <v>1714</v>
      </c>
      <c r="M71">
        <v>250000</v>
      </c>
      <c r="N71">
        <v>250000</v>
      </c>
    </row>
    <row r="72" spans="1:14">
      <c r="A72" t="s">
        <v>533</v>
      </c>
      <c r="B72" t="s">
        <v>1715</v>
      </c>
      <c r="C72" t="s">
        <v>1715</v>
      </c>
      <c r="D72" t="s">
        <v>44</v>
      </c>
      <c r="E72" t="s">
        <v>44</v>
      </c>
      <c r="F72" t="s">
        <v>1488</v>
      </c>
      <c r="G72" t="s">
        <v>58</v>
      </c>
      <c r="H72" t="s">
        <v>58</v>
      </c>
      <c r="I72" t="s">
        <v>1563</v>
      </c>
      <c r="J72" t="s">
        <v>1490</v>
      </c>
      <c r="K72" t="s">
        <v>1490</v>
      </c>
      <c r="L72" t="s">
        <v>1716</v>
      </c>
      <c r="M72">
        <v>50000</v>
      </c>
      <c r="N72">
        <v>50000</v>
      </c>
    </row>
    <row r="73" spans="1:14">
      <c r="A73" t="s">
        <v>541</v>
      </c>
      <c r="B73" t="s">
        <v>1717</v>
      </c>
      <c r="C73" t="s">
        <v>1717</v>
      </c>
      <c r="D73" t="s">
        <v>48</v>
      </c>
      <c r="E73" t="s">
        <v>48</v>
      </c>
      <c r="F73" t="s">
        <v>1488</v>
      </c>
      <c r="G73" t="s">
        <v>69</v>
      </c>
      <c r="H73" t="s">
        <v>23</v>
      </c>
      <c r="I73" t="s">
        <v>1544</v>
      </c>
      <c r="J73" t="s">
        <v>1490</v>
      </c>
      <c r="K73" t="s">
        <v>1490</v>
      </c>
      <c r="L73" t="s">
        <v>1718</v>
      </c>
      <c r="M73">
        <v>250000</v>
      </c>
      <c r="N73">
        <v>250000</v>
      </c>
    </row>
    <row r="74" spans="1:14">
      <c r="A74" t="s">
        <v>385</v>
      </c>
      <c r="B74" t="s">
        <v>1719</v>
      </c>
      <c r="C74" t="s">
        <v>1719</v>
      </c>
      <c r="D74" t="s">
        <v>44</v>
      </c>
      <c r="E74" t="s">
        <v>44</v>
      </c>
      <c r="F74" t="s">
        <v>1488</v>
      </c>
      <c r="G74" t="s">
        <v>47</v>
      </c>
      <c r="H74" t="s">
        <v>47</v>
      </c>
      <c r="I74" t="s">
        <v>1489</v>
      </c>
      <c r="J74" t="s">
        <v>1490</v>
      </c>
      <c r="K74" t="s">
        <v>1490</v>
      </c>
      <c r="L74" t="s">
        <v>1720</v>
      </c>
      <c r="M74">
        <v>1000000</v>
      </c>
      <c r="N74">
        <v>1000000</v>
      </c>
    </row>
    <row r="75" spans="1:14">
      <c r="A75" t="s">
        <v>473</v>
      </c>
      <c r="B75" t="s">
        <v>1721</v>
      </c>
      <c r="C75" t="s">
        <v>1722</v>
      </c>
      <c r="D75" t="s">
        <v>44</v>
      </c>
      <c r="E75" t="s">
        <v>44</v>
      </c>
      <c r="F75" t="s">
        <v>1495</v>
      </c>
      <c r="G75" t="s">
        <v>33</v>
      </c>
      <c r="H75" t="s">
        <v>32</v>
      </c>
      <c r="I75" t="s">
        <v>1489</v>
      </c>
      <c r="K75" t="s">
        <v>40</v>
      </c>
      <c r="L75" t="s">
        <v>1723</v>
      </c>
      <c r="M75">
        <v>50000</v>
      </c>
      <c r="N75">
        <v>50000</v>
      </c>
    </row>
    <row r="76" spans="1:14">
      <c r="A76" t="s">
        <v>194</v>
      </c>
      <c r="B76" t="s">
        <v>1724</v>
      </c>
      <c r="C76" t="s">
        <v>1725</v>
      </c>
      <c r="D76" t="s">
        <v>36</v>
      </c>
      <c r="E76" t="s">
        <v>36</v>
      </c>
      <c r="F76" t="s">
        <v>1518</v>
      </c>
      <c r="G76" t="s">
        <v>69</v>
      </c>
      <c r="H76" t="s">
        <v>23</v>
      </c>
      <c r="I76" t="s">
        <v>1500</v>
      </c>
      <c r="J76" t="s">
        <v>1490</v>
      </c>
      <c r="K76" t="s">
        <v>1490</v>
      </c>
      <c r="L76" t="s">
        <v>1726</v>
      </c>
      <c r="M76">
        <v>50000</v>
      </c>
      <c r="N76">
        <v>50000</v>
      </c>
    </row>
    <row r="77" spans="1:14">
      <c r="A77" t="s">
        <v>125</v>
      </c>
      <c r="B77" t="s">
        <v>1727</v>
      </c>
      <c r="C77" t="s">
        <v>1728</v>
      </c>
      <c r="D77" t="s">
        <v>36</v>
      </c>
      <c r="E77" t="s">
        <v>36</v>
      </c>
      <c r="F77" t="s">
        <v>1518</v>
      </c>
      <c r="G77" t="s">
        <v>58</v>
      </c>
      <c r="H77" t="s">
        <v>58</v>
      </c>
      <c r="I77" t="s">
        <v>1603</v>
      </c>
      <c r="J77" t="s">
        <v>1490</v>
      </c>
      <c r="K77" t="s">
        <v>1490</v>
      </c>
      <c r="L77" t="s">
        <v>1729</v>
      </c>
      <c r="M77">
        <v>100000</v>
      </c>
      <c r="N77">
        <v>100000</v>
      </c>
    </row>
    <row r="78" spans="1:14">
      <c r="A78" t="s">
        <v>191</v>
      </c>
      <c r="B78" t="s">
        <v>1730</v>
      </c>
      <c r="C78" t="s">
        <v>1731</v>
      </c>
      <c r="D78" t="s">
        <v>36</v>
      </c>
      <c r="E78" t="s">
        <v>36</v>
      </c>
      <c r="F78" t="s">
        <v>1488</v>
      </c>
      <c r="G78" t="s">
        <v>47</v>
      </c>
      <c r="H78" t="s">
        <v>47</v>
      </c>
      <c r="I78" t="s">
        <v>1570</v>
      </c>
      <c r="J78" t="s">
        <v>1490</v>
      </c>
      <c r="K78" t="s">
        <v>1490</v>
      </c>
      <c r="L78" t="s">
        <v>1732</v>
      </c>
      <c r="M78">
        <v>500000</v>
      </c>
      <c r="N78">
        <v>500000</v>
      </c>
    </row>
    <row r="79" spans="1:14">
      <c r="A79" t="s">
        <v>457</v>
      </c>
      <c r="B79" t="s">
        <v>1733</v>
      </c>
      <c r="C79" t="s">
        <v>1733</v>
      </c>
      <c r="D79" t="s">
        <v>28</v>
      </c>
      <c r="E79" t="s">
        <v>28</v>
      </c>
      <c r="F79" t="s">
        <v>1508</v>
      </c>
      <c r="G79" t="s">
        <v>69</v>
      </c>
      <c r="H79" t="s">
        <v>23</v>
      </c>
      <c r="I79" t="s">
        <v>1515</v>
      </c>
      <c r="J79" t="s">
        <v>1490</v>
      </c>
      <c r="K79" t="s">
        <v>1490</v>
      </c>
      <c r="L79" t="s">
        <v>1734</v>
      </c>
      <c r="M79">
        <v>500000</v>
      </c>
      <c r="N79">
        <v>500000</v>
      </c>
    </row>
    <row r="80" spans="1:14">
      <c r="A80" t="s">
        <v>466</v>
      </c>
      <c r="B80" t="s">
        <v>1735</v>
      </c>
      <c r="C80" t="s">
        <v>1735</v>
      </c>
      <c r="D80" t="s">
        <v>59</v>
      </c>
      <c r="E80" t="s">
        <v>59</v>
      </c>
      <c r="F80" t="s">
        <v>1488</v>
      </c>
      <c r="G80" t="s">
        <v>69</v>
      </c>
      <c r="H80" t="s">
        <v>23</v>
      </c>
      <c r="I80" t="s">
        <v>1536</v>
      </c>
      <c r="J80" t="s">
        <v>1490</v>
      </c>
      <c r="K80" t="s">
        <v>1490</v>
      </c>
      <c r="L80" t="s">
        <v>1736</v>
      </c>
      <c r="M80">
        <v>100000</v>
      </c>
      <c r="N80">
        <v>100000</v>
      </c>
    </row>
    <row r="81" spans="1:14">
      <c r="A81" t="s">
        <v>427</v>
      </c>
      <c r="B81" t="s">
        <v>1737</v>
      </c>
      <c r="C81" t="s">
        <v>1738</v>
      </c>
      <c r="D81" t="s">
        <v>59</v>
      </c>
      <c r="E81" t="s">
        <v>59</v>
      </c>
      <c r="F81" t="s">
        <v>1488</v>
      </c>
      <c r="G81" t="s">
        <v>58</v>
      </c>
      <c r="H81" t="s">
        <v>58</v>
      </c>
      <c r="I81" t="s">
        <v>1536</v>
      </c>
      <c r="J81" t="s">
        <v>1490</v>
      </c>
      <c r="K81" t="s">
        <v>1490</v>
      </c>
      <c r="L81" t="s">
        <v>1739</v>
      </c>
      <c r="M81">
        <v>500000</v>
      </c>
      <c r="N81">
        <v>500000</v>
      </c>
    </row>
    <row r="82" spans="1:14">
      <c r="A82" t="s">
        <v>375</v>
      </c>
      <c r="B82" t="s">
        <v>1740</v>
      </c>
      <c r="C82" t="s">
        <v>1740</v>
      </c>
      <c r="D82" t="s">
        <v>36</v>
      </c>
      <c r="E82" t="s">
        <v>36</v>
      </c>
      <c r="F82" t="s">
        <v>1488</v>
      </c>
      <c r="G82" t="s">
        <v>33</v>
      </c>
      <c r="H82" t="s">
        <v>32</v>
      </c>
      <c r="I82" t="s">
        <v>1496</v>
      </c>
      <c r="J82" t="s">
        <v>1490</v>
      </c>
      <c r="K82" t="s">
        <v>1490</v>
      </c>
      <c r="L82" t="s">
        <v>1741</v>
      </c>
      <c r="M82">
        <v>100000</v>
      </c>
      <c r="N82">
        <v>100000</v>
      </c>
    </row>
    <row r="83" spans="1:14">
      <c r="A83" t="s">
        <v>282</v>
      </c>
      <c r="B83" t="s">
        <v>1742</v>
      </c>
      <c r="C83" t="s">
        <v>1743</v>
      </c>
      <c r="D83" t="s">
        <v>59</v>
      </c>
      <c r="E83" t="s">
        <v>59</v>
      </c>
      <c r="F83" t="s">
        <v>1518</v>
      </c>
      <c r="G83" t="s">
        <v>69</v>
      </c>
      <c r="H83" t="s">
        <v>23</v>
      </c>
      <c r="I83" t="s">
        <v>1599</v>
      </c>
      <c r="J83" t="s">
        <v>1490</v>
      </c>
      <c r="K83" t="s">
        <v>1490</v>
      </c>
      <c r="L83" t="s">
        <v>1744</v>
      </c>
      <c r="M83">
        <v>50000</v>
      </c>
      <c r="N83">
        <v>50000</v>
      </c>
    </row>
    <row r="84" spans="1:14">
      <c r="A84" t="s">
        <v>479</v>
      </c>
      <c r="B84" t="s">
        <v>1745</v>
      </c>
      <c r="C84" t="s">
        <v>1745</v>
      </c>
      <c r="D84" t="s">
        <v>36</v>
      </c>
      <c r="E84" t="s">
        <v>36</v>
      </c>
      <c r="F84" t="s">
        <v>1495</v>
      </c>
      <c r="G84" t="s">
        <v>33</v>
      </c>
      <c r="H84" t="s">
        <v>32</v>
      </c>
      <c r="I84" t="s">
        <v>1500</v>
      </c>
      <c r="J84" t="s">
        <v>1490</v>
      </c>
      <c r="K84" t="s">
        <v>1490</v>
      </c>
      <c r="L84" t="s">
        <v>1746</v>
      </c>
      <c r="M84" t="s">
        <v>1747</v>
      </c>
      <c r="N84">
        <v>250000</v>
      </c>
    </row>
    <row r="85" spans="1:14">
      <c r="A85" t="s">
        <v>314</v>
      </c>
      <c r="B85" t="s">
        <v>1748</v>
      </c>
      <c r="C85" t="s">
        <v>1749</v>
      </c>
      <c r="D85" t="s">
        <v>44</v>
      </c>
      <c r="E85" t="s">
        <v>44</v>
      </c>
      <c r="F85" t="s">
        <v>1508</v>
      </c>
      <c r="G85" t="s">
        <v>1509</v>
      </c>
      <c r="H85" t="s">
        <v>23</v>
      </c>
      <c r="I85" t="s">
        <v>1563</v>
      </c>
      <c r="J85" t="s">
        <v>1490</v>
      </c>
      <c r="K85" t="s">
        <v>1490</v>
      </c>
      <c r="L85" t="s">
        <v>1750</v>
      </c>
      <c r="M85">
        <v>500000</v>
      </c>
      <c r="N85">
        <v>500000</v>
      </c>
    </row>
    <row r="86" spans="1:14">
      <c r="A86" t="s">
        <v>135</v>
      </c>
      <c r="B86" t="s">
        <v>1751</v>
      </c>
      <c r="C86" t="s">
        <v>1752</v>
      </c>
      <c r="D86" t="s">
        <v>28</v>
      </c>
      <c r="E86" t="s">
        <v>28</v>
      </c>
      <c r="F86" t="s">
        <v>1518</v>
      </c>
      <c r="G86" t="s">
        <v>58</v>
      </c>
      <c r="H86" t="s">
        <v>58</v>
      </c>
      <c r="I86" t="s">
        <v>1551</v>
      </c>
      <c r="J86" t="s">
        <v>1490</v>
      </c>
      <c r="K86" t="s">
        <v>1490</v>
      </c>
      <c r="L86" t="s">
        <v>1753</v>
      </c>
      <c r="M86">
        <v>50000</v>
      </c>
      <c r="N86">
        <v>50000</v>
      </c>
    </row>
    <row r="87" spans="1:14">
      <c r="A87" t="s">
        <v>897</v>
      </c>
      <c r="B87" t="s">
        <v>1754</v>
      </c>
      <c r="C87" t="s">
        <v>1755</v>
      </c>
      <c r="D87" t="s">
        <v>48</v>
      </c>
      <c r="E87" t="s">
        <v>48</v>
      </c>
      <c r="F87" t="s">
        <v>1495</v>
      </c>
      <c r="G87" t="s">
        <v>47</v>
      </c>
      <c r="H87" t="s">
        <v>47</v>
      </c>
      <c r="I87" t="s">
        <v>1544</v>
      </c>
      <c r="J87" t="s">
        <v>1490</v>
      </c>
      <c r="K87" t="s">
        <v>1490</v>
      </c>
      <c r="L87" t="s">
        <v>1756</v>
      </c>
      <c r="M87">
        <v>50000</v>
      </c>
      <c r="N87">
        <v>50000</v>
      </c>
    </row>
    <row r="88" spans="1:14">
      <c r="A88" t="s">
        <v>312</v>
      </c>
      <c r="B88" t="s">
        <v>1757</v>
      </c>
      <c r="C88" t="s">
        <v>1758</v>
      </c>
      <c r="D88" t="s">
        <v>1499</v>
      </c>
      <c r="E88" t="s">
        <v>36</v>
      </c>
      <c r="F88" t="s">
        <v>1488</v>
      </c>
      <c r="G88" t="s">
        <v>58</v>
      </c>
      <c r="H88" t="s">
        <v>58</v>
      </c>
      <c r="I88" t="s">
        <v>1496</v>
      </c>
      <c r="J88" t="s">
        <v>1490</v>
      </c>
      <c r="K88" t="s">
        <v>1490</v>
      </c>
      <c r="L88" t="s">
        <v>1759</v>
      </c>
      <c r="M88">
        <v>50000</v>
      </c>
      <c r="N88">
        <v>50000</v>
      </c>
    </row>
    <row r="89" spans="1:14">
      <c r="A89" t="s">
        <v>122</v>
      </c>
      <c r="B89" t="s">
        <v>1760</v>
      </c>
      <c r="C89" t="s">
        <v>1760</v>
      </c>
      <c r="D89" t="s">
        <v>48</v>
      </c>
      <c r="E89" t="s">
        <v>48</v>
      </c>
      <c r="F89" t="s">
        <v>1495</v>
      </c>
      <c r="G89" t="s">
        <v>69</v>
      </c>
      <c r="H89" t="s">
        <v>23</v>
      </c>
      <c r="I89" t="s">
        <v>1510</v>
      </c>
      <c r="J89" t="s">
        <v>1490</v>
      </c>
      <c r="K89" t="s">
        <v>1490</v>
      </c>
      <c r="L89" t="s">
        <v>1761</v>
      </c>
      <c r="M89">
        <v>50000</v>
      </c>
      <c r="N89">
        <v>50000</v>
      </c>
    </row>
    <row r="90" spans="1:14">
      <c r="A90" t="s">
        <v>108</v>
      </c>
      <c r="B90" t="s">
        <v>1762</v>
      </c>
      <c r="C90" t="s">
        <v>1762</v>
      </c>
      <c r="D90" t="s">
        <v>36</v>
      </c>
      <c r="E90" t="s">
        <v>36</v>
      </c>
      <c r="F90" t="s">
        <v>1488</v>
      </c>
      <c r="G90" t="s">
        <v>33</v>
      </c>
      <c r="H90" t="s">
        <v>32</v>
      </c>
      <c r="I90" t="s">
        <v>1500</v>
      </c>
      <c r="J90" t="s">
        <v>1490</v>
      </c>
      <c r="K90" t="s">
        <v>1490</v>
      </c>
      <c r="L90" t="s">
        <v>1763</v>
      </c>
      <c r="M90">
        <v>500000</v>
      </c>
      <c r="N90">
        <v>500000</v>
      </c>
    </row>
    <row r="91" spans="1:14">
      <c r="A91" t="s">
        <v>151</v>
      </c>
      <c r="B91" t="s">
        <v>1764</v>
      </c>
      <c r="C91" t="s">
        <v>1765</v>
      </c>
      <c r="D91" t="s">
        <v>59</v>
      </c>
      <c r="E91" t="s">
        <v>59</v>
      </c>
      <c r="F91" t="s">
        <v>1488</v>
      </c>
      <c r="G91" t="s">
        <v>33</v>
      </c>
      <c r="H91" t="s">
        <v>32</v>
      </c>
      <c r="I91" t="s">
        <v>1577</v>
      </c>
      <c r="J91" t="s">
        <v>1490</v>
      </c>
      <c r="K91" t="s">
        <v>1490</v>
      </c>
      <c r="L91" t="s">
        <v>1766</v>
      </c>
      <c r="M91">
        <v>50000</v>
      </c>
      <c r="N91">
        <v>50000</v>
      </c>
    </row>
    <row r="92" spans="1:14">
      <c r="A92" t="s">
        <v>222</v>
      </c>
      <c r="B92" t="s">
        <v>1767</v>
      </c>
      <c r="C92" t="s">
        <v>1768</v>
      </c>
      <c r="D92" t="s">
        <v>28</v>
      </c>
      <c r="E92" t="s">
        <v>28</v>
      </c>
      <c r="F92" t="s">
        <v>1488</v>
      </c>
      <c r="G92" t="s">
        <v>47</v>
      </c>
      <c r="H92" t="s">
        <v>47</v>
      </c>
      <c r="I92" t="s">
        <v>1523</v>
      </c>
      <c r="J92" t="s">
        <v>1490</v>
      </c>
      <c r="K92" t="s">
        <v>1490</v>
      </c>
      <c r="L92" t="s">
        <v>1769</v>
      </c>
      <c r="M92">
        <v>50000</v>
      </c>
      <c r="N92">
        <v>50000</v>
      </c>
    </row>
    <row r="93" spans="1:14">
      <c r="A93" t="s">
        <v>431</v>
      </c>
      <c r="B93" t="s">
        <v>1770</v>
      </c>
      <c r="C93" t="s">
        <v>1771</v>
      </c>
      <c r="D93" t="s">
        <v>44</v>
      </c>
      <c r="E93" t="s">
        <v>44</v>
      </c>
      <c r="F93" t="s">
        <v>1488</v>
      </c>
      <c r="G93" t="s">
        <v>69</v>
      </c>
      <c r="H93" t="s">
        <v>23</v>
      </c>
      <c r="I93" t="s">
        <v>1489</v>
      </c>
      <c r="J93" t="s">
        <v>1490</v>
      </c>
      <c r="K93" t="s">
        <v>1490</v>
      </c>
      <c r="L93" t="s">
        <v>1772</v>
      </c>
      <c r="M93">
        <v>50000</v>
      </c>
      <c r="N93">
        <v>50000</v>
      </c>
    </row>
    <row r="94" spans="1:14">
      <c r="A94" t="s">
        <v>792</v>
      </c>
      <c r="B94" t="s">
        <v>1773</v>
      </c>
      <c r="C94" t="s">
        <v>1774</v>
      </c>
      <c r="D94" t="s">
        <v>36</v>
      </c>
      <c r="E94" t="s">
        <v>36</v>
      </c>
      <c r="F94" t="s">
        <v>1488</v>
      </c>
      <c r="G94" t="s">
        <v>47</v>
      </c>
      <c r="H94" t="s">
        <v>47</v>
      </c>
      <c r="I94" t="s">
        <v>1603</v>
      </c>
      <c r="J94" t="s">
        <v>1490</v>
      </c>
      <c r="K94" t="s">
        <v>1490</v>
      </c>
      <c r="L94" t="s">
        <v>1775</v>
      </c>
      <c r="M94">
        <v>2500000</v>
      </c>
      <c r="N94">
        <v>2500000</v>
      </c>
    </row>
    <row r="95" spans="1:14">
      <c r="A95" t="s">
        <v>631</v>
      </c>
      <c r="B95" t="s">
        <v>1776</v>
      </c>
      <c r="C95" t="s">
        <v>1777</v>
      </c>
      <c r="D95" t="s">
        <v>44</v>
      </c>
      <c r="E95" t="s">
        <v>44</v>
      </c>
      <c r="F95" t="s">
        <v>1495</v>
      </c>
      <c r="G95" t="s">
        <v>69</v>
      </c>
      <c r="H95" t="s">
        <v>23</v>
      </c>
      <c r="I95" t="s">
        <v>1585</v>
      </c>
      <c r="J95" t="s">
        <v>1490</v>
      </c>
      <c r="K95" t="s">
        <v>1490</v>
      </c>
      <c r="L95" t="s">
        <v>1778</v>
      </c>
      <c r="M95">
        <v>2500000</v>
      </c>
      <c r="N95">
        <v>2500000</v>
      </c>
    </row>
    <row r="96" spans="1:14">
      <c r="A96" t="s">
        <v>30</v>
      </c>
      <c r="B96" t="s">
        <v>1779</v>
      </c>
      <c r="C96" t="s">
        <v>1780</v>
      </c>
      <c r="D96" t="s">
        <v>36</v>
      </c>
      <c r="E96" t="s">
        <v>36</v>
      </c>
      <c r="F96" t="s">
        <v>1518</v>
      </c>
      <c r="G96" t="s">
        <v>33</v>
      </c>
      <c r="H96" t="s">
        <v>32</v>
      </c>
      <c r="I96" t="s">
        <v>1500</v>
      </c>
      <c r="J96" t="s">
        <v>1490</v>
      </c>
      <c r="K96" t="s">
        <v>1490</v>
      </c>
      <c r="L96" t="s">
        <v>1781</v>
      </c>
      <c r="M96">
        <v>250000</v>
      </c>
      <c r="N96">
        <v>250000</v>
      </c>
    </row>
    <row r="97" spans="1:14">
      <c r="A97" t="s">
        <v>710</v>
      </c>
      <c r="B97" t="s">
        <v>1782</v>
      </c>
      <c r="C97" t="s">
        <v>1782</v>
      </c>
      <c r="D97" t="s">
        <v>59</v>
      </c>
      <c r="E97" t="s">
        <v>59</v>
      </c>
      <c r="F97" t="s">
        <v>1488</v>
      </c>
      <c r="G97" t="s">
        <v>69</v>
      </c>
      <c r="H97" t="s">
        <v>23</v>
      </c>
      <c r="I97" t="s">
        <v>1533</v>
      </c>
      <c r="J97" t="s">
        <v>1658</v>
      </c>
      <c r="K97" t="s">
        <v>1658</v>
      </c>
      <c r="L97" t="s">
        <v>1783</v>
      </c>
      <c r="M97">
        <v>250000</v>
      </c>
      <c r="N97">
        <v>250000</v>
      </c>
    </row>
    <row r="98" spans="1:14">
      <c r="A98" t="s">
        <v>1207</v>
      </c>
      <c r="B98" t="s">
        <v>1784</v>
      </c>
      <c r="C98" t="s">
        <v>1784</v>
      </c>
      <c r="D98" t="s">
        <v>48</v>
      </c>
      <c r="E98" t="s">
        <v>48</v>
      </c>
      <c r="F98" t="s">
        <v>1488</v>
      </c>
      <c r="G98" t="s">
        <v>47</v>
      </c>
      <c r="H98" t="s">
        <v>47</v>
      </c>
      <c r="I98" t="s">
        <v>1785</v>
      </c>
      <c r="J98" t="s">
        <v>1490</v>
      </c>
      <c r="K98" t="s">
        <v>1490</v>
      </c>
      <c r="L98" t="s">
        <v>1786</v>
      </c>
      <c r="M98">
        <v>250000</v>
      </c>
      <c r="N98">
        <v>250000</v>
      </c>
    </row>
    <row r="99" spans="1:14">
      <c r="A99" t="s">
        <v>118</v>
      </c>
      <c r="B99" t="s">
        <v>1787</v>
      </c>
      <c r="C99" t="s">
        <v>1788</v>
      </c>
      <c r="D99" t="s">
        <v>59</v>
      </c>
      <c r="E99" t="s">
        <v>59</v>
      </c>
      <c r="F99" t="s">
        <v>1508</v>
      </c>
      <c r="G99" t="s">
        <v>69</v>
      </c>
      <c r="H99" t="s">
        <v>23</v>
      </c>
      <c r="I99" t="s">
        <v>1533</v>
      </c>
      <c r="K99" t="s">
        <v>40</v>
      </c>
      <c r="L99" t="s">
        <v>1789</v>
      </c>
      <c r="M99">
        <v>1000000</v>
      </c>
      <c r="N99">
        <v>1000000</v>
      </c>
    </row>
    <row r="100" spans="1:14">
      <c r="A100" t="s">
        <v>146</v>
      </c>
      <c r="B100" t="s">
        <v>1790</v>
      </c>
      <c r="C100" t="s">
        <v>1791</v>
      </c>
      <c r="D100" t="s">
        <v>44</v>
      </c>
      <c r="E100" t="s">
        <v>44</v>
      </c>
      <c r="F100" t="s">
        <v>1508</v>
      </c>
      <c r="G100" t="s">
        <v>47</v>
      </c>
      <c r="H100" t="s">
        <v>47</v>
      </c>
      <c r="I100" t="s">
        <v>1585</v>
      </c>
      <c r="J100" t="s">
        <v>1490</v>
      </c>
      <c r="K100" t="s">
        <v>1490</v>
      </c>
      <c r="L100" t="s">
        <v>1792</v>
      </c>
      <c r="M100" t="s">
        <v>1747</v>
      </c>
      <c r="N100">
        <v>250000</v>
      </c>
    </row>
    <row r="101" spans="1:14">
      <c r="A101" t="s">
        <v>256</v>
      </c>
      <c r="B101" t="s">
        <v>1793</v>
      </c>
      <c r="C101" t="s">
        <v>1793</v>
      </c>
      <c r="D101" t="s">
        <v>44</v>
      </c>
      <c r="E101" t="s">
        <v>44</v>
      </c>
      <c r="F101" t="s">
        <v>1518</v>
      </c>
      <c r="G101" t="s">
        <v>47</v>
      </c>
      <c r="H101" t="s">
        <v>47</v>
      </c>
      <c r="I101" t="s">
        <v>1540</v>
      </c>
      <c r="J101" t="s">
        <v>1658</v>
      </c>
      <c r="K101" t="s">
        <v>1658</v>
      </c>
      <c r="L101" t="s">
        <v>1794</v>
      </c>
      <c r="M101">
        <v>2500000</v>
      </c>
      <c r="N101">
        <v>2500000</v>
      </c>
    </row>
    <row r="102" spans="1:14">
      <c r="A102" t="s">
        <v>463</v>
      </c>
      <c r="B102" t="s">
        <v>1795</v>
      </c>
      <c r="C102" t="s">
        <v>1795</v>
      </c>
      <c r="D102" t="s">
        <v>1507</v>
      </c>
      <c r="E102" t="s">
        <v>48</v>
      </c>
      <c r="F102" t="s">
        <v>1508</v>
      </c>
      <c r="G102" t="s">
        <v>47</v>
      </c>
      <c r="H102" t="s">
        <v>47</v>
      </c>
      <c r="I102" t="s">
        <v>1510</v>
      </c>
      <c r="J102" t="s">
        <v>1490</v>
      </c>
      <c r="K102" t="s">
        <v>1490</v>
      </c>
      <c r="L102" t="s">
        <v>1796</v>
      </c>
      <c r="M102">
        <v>250000</v>
      </c>
      <c r="N102">
        <v>250000</v>
      </c>
    </row>
    <row r="103" spans="1:14">
      <c r="A103" t="s">
        <v>702</v>
      </c>
      <c r="B103" t="s">
        <v>1797</v>
      </c>
      <c r="C103" t="s">
        <v>1797</v>
      </c>
      <c r="D103" t="s">
        <v>36</v>
      </c>
      <c r="E103" t="s">
        <v>36</v>
      </c>
      <c r="F103" t="s">
        <v>1495</v>
      </c>
      <c r="G103" t="s">
        <v>33</v>
      </c>
      <c r="H103" t="s">
        <v>32</v>
      </c>
      <c r="I103" t="s">
        <v>1500</v>
      </c>
      <c r="J103" t="s">
        <v>1490</v>
      </c>
      <c r="K103" t="s">
        <v>1490</v>
      </c>
      <c r="L103" t="s">
        <v>1798</v>
      </c>
      <c r="M103">
        <v>500000</v>
      </c>
      <c r="N103">
        <v>500000</v>
      </c>
    </row>
    <row r="104" spans="1:14">
      <c r="A104" t="s">
        <v>1074</v>
      </c>
      <c r="B104" t="s">
        <v>1799</v>
      </c>
      <c r="C104" t="s">
        <v>1800</v>
      </c>
      <c r="D104" t="s">
        <v>48</v>
      </c>
      <c r="E104" t="s">
        <v>48</v>
      </c>
      <c r="F104" t="s">
        <v>1495</v>
      </c>
      <c r="G104" t="s">
        <v>69</v>
      </c>
      <c r="H104" t="s">
        <v>23</v>
      </c>
      <c r="I104" t="s">
        <v>1519</v>
      </c>
      <c r="J104" t="s">
        <v>1490</v>
      </c>
      <c r="K104" t="s">
        <v>1490</v>
      </c>
      <c r="L104" t="s">
        <v>1801</v>
      </c>
      <c r="M104">
        <v>50000</v>
      </c>
      <c r="N104">
        <v>50000</v>
      </c>
    </row>
    <row r="105" spans="1:14">
      <c r="A105" t="s">
        <v>460</v>
      </c>
      <c r="B105" t="s">
        <v>1802</v>
      </c>
      <c r="C105" t="s">
        <v>1803</v>
      </c>
      <c r="D105" t="s">
        <v>1499</v>
      </c>
      <c r="E105" t="s">
        <v>36</v>
      </c>
      <c r="F105" t="s">
        <v>1488</v>
      </c>
      <c r="G105" t="s">
        <v>69</v>
      </c>
      <c r="H105" t="s">
        <v>23</v>
      </c>
      <c r="I105" t="s">
        <v>1500</v>
      </c>
      <c r="J105" t="s">
        <v>1804</v>
      </c>
      <c r="K105" t="s">
        <v>1804</v>
      </c>
      <c r="L105" t="s">
        <v>1805</v>
      </c>
      <c r="M105" t="s">
        <v>1527</v>
      </c>
      <c r="N105">
        <v>100000</v>
      </c>
    </row>
    <row r="106" spans="1:14">
      <c r="A106" t="s">
        <v>1358</v>
      </c>
      <c r="B106" t="s">
        <v>1806</v>
      </c>
      <c r="C106" t="s">
        <v>1807</v>
      </c>
      <c r="D106" t="s">
        <v>48</v>
      </c>
      <c r="E106" t="s">
        <v>48</v>
      </c>
      <c r="F106" t="s">
        <v>1495</v>
      </c>
      <c r="G106" t="s">
        <v>69</v>
      </c>
      <c r="H106" t="s">
        <v>23</v>
      </c>
      <c r="I106" t="s">
        <v>1519</v>
      </c>
      <c r="J106" t="s">
        <v>1490</v>
      </c>
      <c r="K106" t="s">
        <v>1490</v>
      </c>
      <c r="L106" t="s">
        <v>1808</v>
      </c>
      <c r="M106">
        <v>500000</v>
      </c>
      <c r="N106">
        <v>500000</v>
      </c>
    </row>
    <row r="107" spans="1:14">
      <c r="A107" t="s">
        <v>424</v>
      </c>
      <c r="B107" t="s">
        <v>1809</v>
      </c>
      <c r="C107" t="s">
        <v>1810</v>
      </c>
      <c r="D107" t="s">
        <v>44</v>
      </c>
      <c r="E107" t="s">
        <v>44</v>
      </c>
      <c r="F107" t="s">
        <v>1508</v>
      </c>
      <c r="G107" t="s">
        <v>69</v>
      </c>
      <c r="H107" t="s">
        <v>23</v>
      </c>
      <c r="I107" t="s">
        <v>1540</v>
      </c>
      <c r="J107" t="s">
        <v>1490</v>
      </c>
      <c r="K107" t="s">
        <v>1490</v>
      </c>
      <c r="L107" t="s">
        <v>1811</v>
      </c>
      <c r="M107">
        <v>500000</v>
      </c>
      <c r="N107">
        <v>500000</v>
      </c>
    </row>
    <row r="108" spans="1:14">
      <c r="A108" t="s">
        <v>1212</v>
      </c>
      <c r="B108" t="s">
        <v>1812</v>
      </c>
      <c r="C108" t="s">
        <v>1813</v>
      </c>
      <c r="D108" t="s">
        <v>28</v>
      </c>
      <c r="E108" t="s">
        <v>28</v>
      </c>
      <c r="F108" t="s">
        <v>1495</v>
      </c>
      <c r="G108" t="s">
        <v>33</v>
      </c>
      <c r="H108" t="s">
        <v>32</v>
      </c>
      <c r="I108" t="s">
        <v>1523</v>
      </c>
      <c r="J108" t="s">
        <v>1490</v>
      </c>
      <c r="K108" t="s">
        <v>1490</v>
      </c>
      <c r="L108" t="s">
        <v>1814</v>
      </c>
      <c r="M108">
        <v>500000</v>
      </c>
      <c r="N108">
        <v>500000</v>
      </c>
    </row>
    <row r="109" spans="1:14">
      <c r="A109" t="s">
        <v>56</v>
      </c>
      <c r="B109" t="s">
        <v>1815</v>
      </c>
      <c r="C109" t="s">
        <v>1816</v>
      </c>
      <c r="D109" t="s">
        <v>59</v>
      </c>
      <c r="E109" t="s">
        <v>59</v>
      </c>
      <c r="F109" t="s">
        <v>1508</v>
      </c>
      <c r="G109" t="s">
        <v>58</v>
      </c>
      <c r="H109" t="s">
        <v>58</v>
      </c>
      <c r="I109" t="s">
        <v>1533</v>
      </c>
      <c r="J109" t="s">
        <v>1490</v>
      </c>
      <c r="K109" t="s">
        <v>1490</v>
      </c>
      <c r="L109" t="s">
        <v>1817</v>
      </c>
      <c r="M109" t="s">
        <v>1553</v>
      </c>
      <c r="N109">
        <v>50000</v>
      </c>
    </row>
    <row r="110" spans="1:14">
      <c r="A110" t="s">
        <v>139</v>
      </c>
      <c r="B110" t="s">
        <v>1818</v>
      </c>
      <c r="C110" t="s">
        <v>1819</v>
      </c>
      <c r="D110" t="s">
        <v>59</v>
      </c>
      <c r="E110" t="s">
        <v>59</v>
      </c>
      <c r="F110" t="s">
        <v>1508</v>
      </c>
      <c r="G110" t="s">
        <v>47</v>
      </c>
      <c r="H110" t="s">
        <v>47</v>
      </c>
      <c r="I110" t="s">
        <v>1536</v>
      </c>
      <c r="J110" t="s">
        <v>1490</v>
      </c>
      <c r="K110" t="s">
        <v>1490</v>
      </c>
      <c r="L110" t="s">
        <v>1820</v>
      </c>
      <c r="M110">
        <v>250000</v>
      </c>
      <c r="N110">
        <v>250000</v>
      </c>
    </row>
    <row r="111" spans="1:14">
      <c r="A111" t="s">
        <v>96</v>
      </c>
      <c r="B111" t="s">
        <v>1821</v>
      </c>
      <c r="C111" t="s">
        <v>1821</v>
      </c>
      <c r="D111" t="s">
        <v>44</v>
      </c>
      <c r="E111" t="s">
        <v>44</v>
      </c>
      <c r="F111" t="s">
        <v>1488</v>
      </c>
      <c r="G111" t="s">
        <v>69</v>
      </c>
      <c r="H111" t="s">
        <v>23</v>
      </c>
      <c r="I111" t="s">
        <v>1585</v>
      </c>
      <c r="J111" t="s">
        <v>1490</v>
      </c>
      <c r="K111" t="s">
        <v>1490</v>
      </c>
      <c r="L111" t="s">
        <v>1822</v>
      </c>
      <c r="M111">
        <v>500000</v>
      </c>
      <c r="N111">
        <v>500000</v>
      </c>
    </row>
    <row r="112" spans="1:14">
      <c r="A112" t="s">
        <v>720</v>
      </c>
      <c r="B112" t="s">
        <v>1823</v>
      </c>
      <c r="C112" t="s">
        <v>1823</v>
      </c>
      <c r="D112" t="s">
        <v>44</v>
      </c>
      <c r="E112" t="s">
        <v>44</v>
      </c>
      <c r="F112" t="s">
        <v>1488</v>
      </c>
      <c r="G112" t="s">
        <v>58</v>
      </c>
      <c r="H112" t="s">
        <v>58</v>
      </c>
      <c r="I112" t="s">
        <v>1585</v>
      </c>
      <c r="J112" t="s">
        <v>1490</v>
      </c>
      <c r="K112" t="s">
        <v>1490</v>
      </c>
      <c r="L112" t="s">
        <v>1824</v>
      </c>
      <c r="M112">
        <v>500000</v>
      </c>
      <c r="N112">
        <v>500000</v>
      </c>
    </row>
    <row r="113" spans="1:14">
      <c r="A113" t="s">
        <v>239</v>
      </c>
      <c r="B113" t="s">
        <v>1825</v>
      </c>
      <c r="C113" t="s">
        <v>1826</v>
      </c>
      <c r="D113" t="s">
        <v>44</v>
      </c>
      <c r="E113" t="s">
        <v>44</v>
      </c>
      <c r="F113" t="s">
        <v>1518</v>
      </c>
      <c r="G113" t="s">
        <v>69</v>
      </c>
      <c r="H113" t="s">
        <v>23</v>
      </c>
      <c r="I113" t="s">
        <v>1585</v>
      </c>
      <c r="J113" t="s">
        <v>1490</v>
      </c>
      <c r="K113" t="s">
        <v>1490</v>
      </c>
      <c r="L113" t="s">
        <v>1827</v>
      </c>
      <c r="M113">
        <v>250000</v>
      </c>
      <c r="N113">
        <v>250000</v>
      </c>
    </row>
    <row r="114" spans="1:14">
      <c r="A114" t="s">
        <v>353</v>
      </c>
      <c r="B114" t="s">
        <v>1828</v>
      </c>
      <c r="C114" t="s">
        <v>1829</v>
      </c>
      <c r="D114" t="s">
        <v>48</v>
      </c>
      <c r="E114" t="s">
        <v>48</v>
      </c>
      <c r="F114" t="s">
        <v>1508</v>
      </c>
      <c r="G114" t="s">
        <v>69</v>
      </c>
      <c r="H114" t="s">
        <v>23</v>
      </c>
      <c r="I114" t="s">
        <v>1785</v>
      </c>
      <c r="J114" t="s">
        <v>1490</v>
      </c>
      <c r="K114" t="s">
        <v>1490</v>
      </c>
      <c r="L114" t="s">
        <v>1830</v>
      </c>
      <c r="M114">
        <v>100000</v>
      </c>
      <c r="N114">
        <v>100000</v>
      </c>
    </row>
    <row r="115" spans="1:14">
      <c r="A115" t="s">
        <v>268</v>
      </c>
      <c r="B115" t="s">
        <v>1831</v>
      </c>
      <c r="C115" t="s">
        <v>1832</v>
      </c>
      <c r="D115" t="s">
        <v>48</v>
      </c>
      <c r="E115" t="s">
        <v>48</v>
      </c>
      <c r="F115" t="s">
        <v>1488</v>
      </c>
      <c r="G115" t="s">
        <v>69</v>
      </c>
      <c r="H115" t="s">
        <v>23</v>
      </c>
      <c r="I115" t="s">
        <v>1519</v>
      </c>
      <c r="J115" t="s">
        <v>1490</v>
      </c>
      <c r="K115" t="s">
        <v>1490</v>
      </c>
      <c r="L115" t="s">
        <v>1833</v>
      </c>
      <c r="M115">
        <v>100000</v>
      </c>
      <c r="N115">
        <v>100000</v>
      </c>
    </row>
    <row r="116" spans="1:14">
      <c r="A116" t="s">
        <v>1834</v>
      </c>
      <c r="B116" t="s">
        <v>1835</v>
      </c>
      <c r="C116" t="s">
        <v>1836</v>
      </c>
      <c r="D116" t="s">
        <v>44</v>
      </c>
      <c r="E116" t="s">
        <v>44</v>
      </c>
      <c r="F116" t="s">
        <v>1488</v>
      </c>
      <c r="G116" t="s">
        <v>58</v>
      </c>
      <c r="H116" t="s">
        <v>58</v>
      </c>
      <c r="I116" t="s">
        <v>1489</v>
      </c>
      <c r="J116" t="s">
        <v>1490</v>
      </c>
      <c r="K116" t="s">
        <v>1490</v>
      </c>
      <c r="L116" t="s">
        <v>1837</v>
      </c>
      <c r="M116">
        <v>500000</v>
      </c>
      <c r="N116">
        <v>500000</v>
      </c>
    </row>
    <row r="117" spans="1:14">
      <c r="A117" t="s">
        <v>220</v>
      </c>
      <c r="B117" t="s">
        <v>1838</v>
      </c>
      <c r="C117" t="s">
        <v>1839</v>
      </c>
      <c r="D117" t="s">
        <v>1653</v>
      </c>
      <c r="E117" t="s">
        <v>59</v>
      </c>
      <c r="F117" t="s">
        <v>1495</v>
      </c>
      <c r="G117" t="s">
        <v>69</v>
      </c>
      <c r="H117" t="s">
        <v>23</v>
      </c>
      <c r="I117" t="s">
        <v>1533</v>
      </c>
      <c r="J117" t="s">
        <v>1490</v>
      </c>
      <c r="K117" t="s">
        <v>1490</v>
      </c>
      <c r="L117" t="s">
        <v>1840</v>
      </c>
      <c r="M117">
        <v>100000</v>
      </c>
      <c r="N117">
        <v>100000</v>
      </c>
    </row>
    <row r="118" spans="1:14">
      <c r="A118" t="s">
        <v>248</v>
      </c>
      <c r="B118" t="s">
        <v>1841</v>
      </c>
      <c r="C118" t="s">
        <v>1842</v>
      </c>
      <c r="D118" t="s">
        <v>44</v>
      </c>
      <c r="E118" t="s">
        <v>44</v>
      </c>
      <c r="F118" t="s">
        <v>1488</v>
      </c>
      <c r="G118" t="s">
        <v>33</v>
      </c>
      <c r="H118" t="s">
        <v>32</v>
      </c>
      <c r="I118" t="s">
        <v>1585</v>
      </c>
      <c r="J118" t="s">
        <v>1490</v>
      </c>
      <c r="K118" t="s">
        <v>1490</v>
      </c>
      <c r="L118" t="s">
        <v>1843</v>
      </c>
      <c r="M118">
        <v>250000</v>
      </c>
      <c r="N118">
        <v>250000</v>
      </c>
    </row>
    <row r="119" spans="1:14">
      <c r="A119" t="s">
        <v>225</v>
      </c>
      <c r="B119" t="s">
        <v>1844</v>
      </c>
      <c r="C119" t="s">
        <v>1845</v>
      </c>
      <c r="D119" t="s">
        <v>36</v>
      </c>
      <c r="E119" t="s">
        <v>36</v>
      </c>
      <c r="F119" t="s">
        <v>1508</v>
      </c>
      <c r="G119" t="s">
        <v>69</v>
      </c>
      <c r="H119" t="s">
        <v>23</v>
      </c>
      <c r="I119" t="s">
        <v>1570</v>
      </c>
      <c r="J119" t="s">
        <v>1490</v>
      </c>
      <c r="K119" t="s">
        <v>1490</v>
      </c>
      <c r="L119" t="s">
        <v>1846</v>
      </c>
      <c r="M119">
        <v>100000</v>
      </c>
      <c r="N119">
        <v>100000</v>
      </c>
    </row>
    <row r="120" spans="1:14">
      <c r="A120" t="s">
        <v>272</v>
      </c>
      <c r="B120" t="s">
        <v>1847</v>
      </c>
      <c r="C120" t="s">
        <v>1848</v>
      </c>
      <c r="D120" t="s">
        <v>36</v>
      </c>
      <c r="E120" t="s">
        <v>36</v>
      </c>
      <c r="F120" t="s">
        <v>1508</v>
      </c>
      <c r="G120" t="s">
        <v>47</v>
      </c>
      <c r="H120" t="s">
        <v>47</v>
      </c>
      <c r="I120" t="s">
        <v>1603</v>
      </c>
      <c r="J120" t="s">
        <v>1490</v>
      </c>
      <c r="K120" t="s">
        <v>1490</v>
      </c>
      <c r="L120" t="s">
        <v>1849</v>
      </c>
      <c r="M120">
        <v>1000000</v>
      </c>
      <c r="N120">
        <v>1000000</v>
      </c>
    </row>
    <row r="121" spans="1:14">
      <c r="A121" t="s">
        <v>182</v>
      </c>
      <c r="B121" t="s">
        <v>1850</v>
      </c>
      <c r="C121" t="s">
        <v>1850</v>
      </c>
      <c r="D121" t="s">
        <v>44</v>
      </c>
      <c r="E121" t="s">
        <v>44</v>
      </c>
      <c r="F121" t="s">
        <v>1508</v>
      </c>
      <c r="G121" t="s">
        <v>47</v>
      </c>
      <c r="H121" t="s">
        <v>47</v>
      </c>
      <c r="I121" t="s">
        <v>1489</v>
      </c>
      <c r="J121" t="s">
        <v>1490</v>
      </c>
      <c r="K121" t="s">
        <v>1490</v>
      </c>
      <c r="L121" t="s">
        <v>1851</v>
      </c>
      <c r="M121">
        <v>50000</v>
      </c>
      <c r="N121">
        <v>50000</v>
      </c>
    </row>
    <row r="122" spans="1:14">
      <c r="A122" t="s">
        <v>172</v>
      </c>
      <c r="B122" t="s">
        <v>1852</v>
      </c>
      <c r="C122" t="s">
        <v>1853</v>
      </c>
      <c r="D122" t="s">
        <v>36</v>
      </c>
      <c r="E122" t="s">
        <v>36</v>
      </c>
      <c r="F122" t="s">
        <v>1508</v>
      </c>
      <c r="G122" t="s">
        <v>69</v>
      </c>
      <c r="H122" t="s">
        <v>23</v>
      </c>
      <c r="I122" t="s">
        <v>1496</v>
      </c>
      <c r="J122" t="s">
        <v>1490</v>
      </c>
      <c r="K122" t="s">
        <v>1490</v>
      </c>
      <c r="L122" t="s">
        <v>1854</v>
      </c>
      <c r="M122">
        <v>50000</v>
      </c>
      <c r="N122">
        <v>50000</v>
      </c>
    </row>
    <row r="123" spans="1:14">
      <c r="A123" t="s">
        <v>469</v>
      </c>
      <c r="B123" t="s">
        <v>1855</v>
      </c>
      <c r="C123" t="s">
        <v>1856</v>
      </c>
      <c r="D123" t="s">
        <v>44</v>
      </c>
      <c r="E123" t="s">
        <v>44</v>
      </c>
      <c r="F123" t="s">
        <v>1488</v>
      </c>
      <c r="G123" t="s">
        <v>69</v>
      </c>
      <c r="H123" t="s">
        <v>23</v>
      </c>
      <c r="I123" t="s">
        <v>1585</v>
      </c>
      <c r="J123" t="s">
        <v>1490</v>
      </c>
      <c r="K123" t="s">
        <v>1490</v>
      </c>
      <c r="L123" t="s">
        <v>1857</v>
      </c>
      <c r="M123">
        <v>250000</v>
      </c>
      <c r="N123">
        <v>250000</v>
      </c>
    </row>
    <row r="124" spans="1:14">
      <c r="A124" t="s">
        <v>1858</v>
      </c>
      <c r="B124" t="s">
        <v>1859</v>
      </c>
      <c r="C124" t="s">
        <v>1860</v>
      </c>
      <c r="D124" t="s">
        <v>36</v>
      </c>
      <c r="E124" t="s">
        <v>36</v>
      </c>
      <c r="F124" t="s">
        <v>1488</v>
      </c>
      <c r="G124" t="s">
        <v>58</v>
      </c>
      <c r="H124" t="s">
        <v>58</v>
      </c>
      <c r="I124" t="s">
        <v>1570</v>
      </c>
      <c r="J124" t="s">
        <v>1490</v>
      </c>
      <c r="K124" t="s">
        <v>1490</v>
      </c>
      <c r="L124" t="s">
        <v>1861</v>
      </c>
      <c r="M124" t="s">
        <v>1862</v>
      </c>
      <c r="N124">
        <v>500000</v>
      </c>
    </row>
    <row r="125" spans="1:14">
      <c r="A125" t="s">
        <v>726</v>
      </c>
      <c r="B125" t="s">
        <v>1863</v>
      </c>
      <c r="C125" t="s">
        <v>1863</v>
      </c>
      <c r="D125" t="s">
        <v>59</v>
      </c>
      <c r="E125" t="s">
        <v>59</v>
      </c>
      <c r="F125" t="s">
        <v>1508</v>
      </c>
      <c r="G125" t="s">
        <v>69</v>
      </c>
      <c r="H125" t="s">
        <v>23</v>
      </c>
      <c r="I125" t="s">
        <v>1533</v>
      </c>
      <c r="J125" t="s">
        <v>1490</v>
      </c>
      <c r="K125" t="s">
        <v>1490</v>
      </c>
      <c r="L125" t="s">
        <v>1864</v>
      </c>
      <c r="M125">
        <v>500000</v>
      </c>
      <c r="N125">
        <v>500000</v>
      </c>
    </row>
    <row r="126" spans="1:14">
      <c r="A126" t="s">
        <v>227</v>
      </c>
      <c r="B126" t="s">
        <v>1865</v>
      </c>
      <c r="C126" t="s">
        <v>1866</v>
      </c>
      <c r="D126" t="s">
        <v>1499</v>
      </c>
      <c r="E126" t="s">
        <v>36</v>
      </c>
      <c r="F126" t="s">
        <v>1488</v>
      </c>
      <c r="G126" t="s">
        <v>69</v>
      </c>
      <c r="H126" t="s">
        <v>23</v>
      </c>
      <c r="I126" t="s">
        <v>1500</v>
      </c>
      <c r="J126" t="s">
        <v>1490</v>
      </c>
      <c r="K126" t="s">
        <v>1490</v>
      </c>
      <c r="L126" t="s">
        <v>1867</v>
      </c>
      <c r="M126" t="s">
        <v>1747</v>
      </c>
      <c r="N126">
        <v>250000</v>
      </c>
    </row>
    <row r="127" spans="1:14">
      <c r="A127" t="s">
        <v>74</v>
      </c>
      <c r="B127" t="s">
        <v>1868</v>
      </c>
      <c r="C127" t="s">
        <v>1869</v>
      </c>
      <c r="D127" t="s">
        <v>44</v>
      </c>
      <c r="E127" t="s">
        <v>44</v>
      </c>
      <c r="F127" t="s">
        <v>1488</v>
      </c>
      <c r="G127" t="s">
        <v>47</v>
      </c>
      <c r="H127" t="s">
        <v>47</v>
      </c>
      <c r="I127" t="s">
        <v>1563</v>
      </c>
      <c r="J127" t="s">
        <v>1490</v>
      </c>
      <c r="K127" t="s">
        <v>1490</v>
      </c>
      <c r="L127" t="s">
        <v>1870</v>
      </c>
      <c r="M127">
        <v>100000</v>
      </c>
      <c r="N127">
        <v>100000</v>
      </c>
    </row>
    <row r="128" spans="1:14">
      <c r="A128" t="s">
        <v>570</v>
      </c>
      <c r="B128" t="s">
        <v>1871</v>
      </c>
      <c r="C128" t="s">
        <v>1872</v>
      </c>
      <c r="D128" t="s">
        <v>48</v>
      </c>
      <c r="E128" t="s">
        <v>48</v>
      </c>
      <c r="F128" t="s">
        <v>1488</v>
      </c>
      <c r="G128" t="s">
        <v>33</v>
      </c>
      <c r="H128" t="s">
        <v>32</v>
      </c>
      <c r="I128" t="s">
        <v>1785</v>
      </c>
      <c r="J128" t="s">
        <v>1490</v>
      </c>
      <c r="K128" t="s">
        <v>1490</v>
      </c>
      <c r="L128" t="s">
        <v>1873</v>
      </c>
      <c r="M128">
        <v>50000</v>
      </c>
      <c r="N128">
        <v>50000</v>
      </c>
    </row>
    <row r="129" spans="1:14">
      <c r="A129" t="s">
        <v>212</v>
      </c>
      <c r="B129" t="s">
        <v>1874</v>
      </c>
      <c r="C129" t="s">
        <v>1875</v>
      </c>
      <c r="D129" t="s">
        <v>44</v>
      </c>
      <c r="E129" t="s">
        <v>44</v>
      </c>
      <c r="F129" t="s">
        <v>1508</v>
      </c>
      <c r="G129" t="s">
        <v>47</v>
      </c>
      <c r="H129" t="s">
        <v>47</v>
      </c>
      <c r="I129" t="s">
        <v>1585</v>
      </c>
      <c r="J129" t="s">
        <v>1490</v>
      </c>
      <c r="K129" t="s">
        <v>1490</v>
      </c>
      <c r="L129" t="s">
        <v>1876</v>
      </c>
      <c r="M129">
        <v>100000</v>
      </c>
      <c r="N129">
        <v>100000</v>
      </c>
    </row>
    <row r="130" spans="1:14">
      <c r="A130" t="s">
        <v>157</v>
      </c>
      <c r="B130" t="s">
        <v>1877</v>
      </c>
      <c r="C130" t="s">
        <v>1878</v>
      </c>
      <c r="D130" t="s">
        <v>36</v>
      </c>
      <c r="E130" t="s">
        <v>36</v>
      </c>
      <c r="F130" t="s">
        <v>1508</v>
      </c>
      <c r="G130" t="s">
        <v>69</v>
      </c>
      <c r="H130" t="s">
        <v>23</v>
      </c>
      <c r="I130" t="s">
        <v>1496</v>
      </c>
      <c r="J130" t="s">
        <v>1490</v>
      </c>
      <c r="K130" t="s">
        <v>1490</v>
      </c>
      <c r="L130" t="s">
        <v>1879</v>
      </c>
      <c r="M130">
        <v>50000</v>
      </c>
      <c r="N130">
        <v>50000</v>
      </c>
    </row>
    <row r="131" spans="1:14">
      <c r="A131" t="s">
        <v>611</v>
      </c>
      <c r="B131" t="s">
        <v>1880</v>
      </c>
      <c r="C131" t="s">
        <v>1880</v>
      </c>
      <c r="D131" t="s">
        <v>59</v>
      </c>
      <c r="E131" t="s">
        <v>59</v>
      </c>
      <c r="F131" t="s">
        <v>1488</v>
      </c>
      <c r="G131" t="s">
        <v>47</v>
      </c>
      <c r="H131" t="s">
        <v>47</v>
      </c>
      <c r="I131" t="s">
        <v>1536</v>
      </c>
      <c r="J131" t="s">
        <v>1490</v>
      </c>
      <c r="K131" t="s">
        <v>1490</v>
      </c>
      <c r="L131" t="s">
        <v>1881</v>
      </c>
      <c r="M131">
        <v>250000</v>
      </c>
      <c r="N131">
        <v>250000</v>
      </c>
    </row>
    <row r="132" spans="1:14">
      <c r="A132" t="s">
        <v>666</v>
      </c>
      <c r="B132" t="s">
        <v>1882</v>
      </c>
      <c r="C132" t="s">
        <v>1883</v>
      </c>
      <c r="D132" t="s">
        <v>36</v>
      </c>
      <c r="E132" t="s">
        <v>36</v>
      </c>
      <c r="F132" t="s">
        <v>1488</v>
      </c>
      <c r="G132" t="s">
        <v>47</v>
      </c>
      <c r="H132" t="s">
        <v>47</v>
      </c>
      <c r="I132" t="s">
        <v>1603</v>
      </c>
      <c r="J132" t="s">
        <v>1490</v>
      </c>
      <c r="K132" t="s">
        <v>1490</v>
      </c>
      <c r="L132" t="s">
        <v>1884</v>
      </c>
      <c r="M132">
        <v>250000</v>
      </c>
      <c r="N132">
        <v>250000</v>
      </c>
    </row>
    <row r="133" spans="1:14">
      <c r="A133" t="s">
        <v>250</v>
      </c>
      <c r="B133" t="s">
        <v>1885</v>
      </c>
      <c r="C133" t="s">
        <v>1885</v>
      </c>
      <c r="D133" t="s">
        <v>36</v>
      </c>
      <c r="E133" t="s">
        <v>36</v>
      </c>
      <c r="F133" t="s">
        <v>1488</v>
      </c>
      <c r="G133" t="s">
        <v>69</v>
      </c>
      <c r="H133" t="s">
        <v>23</v>
      </c>
      <c r="I133" t="s">
        <v>1496</v>
      </c>
      <c r="J133" t="s">
        <v>1490</v>
      </c>
      <c r="K133" t="s">
        <v>1490</v>
      </c>
      <c r="L133" t="s">
        <v>1886</v>
      </c>
      <c r="M133">
        <v>250000</v>
      </c>
      <c r="N133">
        <v>250000</v>
      </c>
    </row>
    <row r="134" spans="1:14">
      <c r="A134" t="s">
        <v>759</v>
      </c>
      <c r="B134" t="s">
        <v>1887</v>
      </c>
      <c r="C134" t="s">
        <v>1888</v>
      </c>
      <c r="D134" t="s">
        <v>44</v>
      </c>
      <c r="E134" t="s">
        <v>44</v>
      </c>
      <c r="F134" t="s">
        <v>1488</v>
      </c>
      <c r="G134" t="s">
        <v>33</v>
      </c>
      <c r="H134" t="s">
        <v>32</v>
      </c>
      <c r="I134" t="s">
        <v>1563</v>
      </c>
      <c r="J134" t="s">
        <v>1490</v>
      </c>
      <c r="K134" t="s">
        <v>1490</v>
      </c>
      <c r="L134" t="s">
        <v>1889</v>
      </c>
      <c r="M134">
        <v>50000</v>
      </c>
      <c r="N134">
        <v>50000</v>
      </c>
    </row>
    <row r="135" spans="1:14">
      <c r="A135" t="s">
        <v>477</v>
      </c>
      <c r="B135" t="s">
        <v>1890</v>
      </c>
      <c r="C135" t="s">
        <v>1891</v>
      </c>
      <c r="D135" t="s">
        <v>36</v>
      </c>
      <c r="E135" t="s">
        <v>36</v>
      </c>
      <c r="F135" t="s">
        <v>1508</v>
      </c>
      <c r="G135" t="s">
        <v>69</v>
      </c>
      <c r="H135" t="s">
        <v>23</v>
      </c>
      <c r="I135" t="s">
        <v>1603</v>
      </c>
      <c r="J135" t="s">
        <v>1490</v>
      </c>
      <c r="K135" t="s">
        <v>1490</v>
      </c>
      <c r="L135" t="s">
        <v>1892</v>
      </c>
      <c r="M135">
        <v>100000</v>
      </c>
      <c r="N135">
        <v>100000</v>
      </c>
    </row>
    <row r="136" spans="1:14">
      <c r="A136" t="s">
        <v>488</v>
      </c>
      <c r="B136" t="s">
        <v>1893</v>
      </c>
      <c r="C136" t="s">
        <v>1894</v>
      </c>
      <c r="D136" t="s">
        <v>36</v>
      </c>
      <c r="E136" t="s">
        <v>36</v>
      </c>
      <c r="F136" t="s">
        <v>1518</v>
      </c>
      <c r="G136" t="s">
        <v>1654</v>
      </c>
      <c r="H136" t="s">
        <v>32</v>
      </c>
      <c r="I136" t="s">
        <v>1570</v>
      </c>
      <c r="J136" t="s">
        <v>1490</v>
      </c>
      <c r="K136" t="s">
        <v>1490</v>
      </c>
      <c r="L136" t="s">
        <v>1895</v>
      </c>
      <c r="M136">
        <v>250000</v>
      </c>
      <c r="N136">
        <v>250000</v>
      </c>
    </row>
    <row r="137" spans="1:14">
      <c r="A137" t="s">
        <v>303</v>
      </c>
      <c r="B137" t="s">
        <v>1896</v>
      </c>
      <c r="C137" t="s">
        <v>1897</v>
      </c>
      <c r="D137" t="s">
        <v>59</v>
      </c>
      <c r="E137" t="s">
        <v>59</v>
      </c>
      <c r="F137" t="s">
        <v>1488</v>
      </c>
      <c r="G137" t="s">
        <v>69</v>
      </c>
      <c r="H137" t="s">
        <v>23</v>
      </c>
      <c r="I137" t="s">
        <v>1577</v>
      </c>
      <c r="J137" t="s">
        <v>1658</v>
      </c>
      <c r="K137" t="s">
        <v>1658</v>
      </c>
      <c r="L137" t="s">
        <v>1898</v>
      </c>
      <c r="M137">
        <v>500000</v>
      </c>
      <c r="N137">
        <v>500000</v>
      </c>
    </row>
    <row r="138" spans="1:14">
      <c r="A138" t="s">
        <v>178</v>
      </c>
      <c r="B138" t="s">
        <v>1899</v>
      </c>
      <c r="C138" t="s">
        <v>1900</v>
      </c>
      <c r="D138" t="s">
        <v>28</v>
      </c>
      <c r="E138" t="s">
        <v>28</v>
      </c>
      <c r="F138" t="s">
        <v>1508</v>
      </c>
      <c r="G138" t="s">
        <v>69</v>
      </c>
      <c r="H138" t="s">
        <v>23</v>
      </c>
      <c r="I138" t="s">
        <v>1515</v>
      </c>
      <c r="J138" t="s">
        <v>1490</v>
      </c>
      <c r="K138" t="s">
        <v>1490</v>
      </c>
      <c r="L138" t="s">
        <v>1901</v>
      </c>
      <c r="M138">
        <v>1000000</v>
      </c>
      <c r="N138">
        <v>1000000</v>
      </c>
    </row>
    <row r="139" spans="1:14">
      <c r="A139" t="s">
        <v>132</v>
      </c>
      <c r="B139" t="s">
        <v>1902</v>
      </c>
      <c r="C139" t="s">
        <v>1903</v>
      </c>
      <c r="D139" t="s">
        <v>48</v>
      </c>
      <c r="E139" t="s">
        <v>48</v>
      </c>
      <c r="F139" t="s">
        <v>1508</v>
      </c>
      <c r="G139" t="s">
        <v>47</v>
      </c>
      <c r="H139" t="s">
        <v>47</v>
      </c>
      <c r="I139" t="s">
        <v>1519</v>
      </c>
      <c r="J139" t="s">
        <v>1490</v>
      </c>
      <c r="K139" t="s">
        <v>1490</v>
      </c>
      <c r="L139" t="s">
        <v>1904</v>
      </c>
      <c r="M139">
        <v>100000</v>
      </c>
      <c r="N139">
        <v>100000</v>
      </c>
    </row>
    <row r="140" spans="1:14">
      <c r="A140" t="s">
        <v>242</v>
      </c>
      <c r="B140" t="s">
        <v>1905</v>
      </c>
      <c r="C140" t="s">
        <v>1906</v>
      </c>
      <c r="D140" t="s">
        <v>44</v>
      </c>
      <c r="E140" t="s">
        <v>44</v>
      </c>
      <c r="F140" t="s">
        <v>1488</v>
      </c>
      <c r="G140" t="s">
        <v>47</v>
      </c>
      <c r="H140" t="s">
        <v>47</v>
      </c>
      <c r="I140" t="s">
        <v>1563</v>
      </c>
      <c r="J140" t="s">
        <v>1490</v>
      </c>
      <c r="K140" t="s">
        <v>1490</v>
      </c>
      <c r="L140" t="s">
        <v>1907</v>
      </c>
      <c r="M140">
        <v>50000</v>
      </c>
      <c r="N140">
        <v>50000</v>
      </c>
    </row>
    <row r="141" spans="1:14">
      <c r="A141" t="s">
        <v>602</v>
      </c>
      <c r="B141" t="s">
        <v>1908</v>
      </c>
      <c r="C141" t="s">
        <v>1908</v>
      </c>
      <c r="D141" t="s">
        <v>48</v>
      </c>
      <c r="E141" t="s">
        <v>48</v>
      </c>
      <c r="F141" t="s">
        <v>1488</v>
      </c>
      <c r="G141" t="s">
        <v>69</v>
      </c>
      <c r="H141" t="s">
        <v>23</v>
      </c>
      <c r="I141" t="s">
        <v>1519</v>
      </c>
      <c r="J141" t="s">
        <v>1490</v>
      </c>
      <c r="K141" t="s">
        <v>1490</v>
      </c>
      <c r="L141" t="s">
        <v>1909</v>
      </c>
      <c r="M141">
        <v>250000</v>
      </c>
      <c r="N141">
        <v>250000</v>
      </c>
    </row>
    <row r="142" spans="1:14">
      <c r="A142" t="s">
        <v>372</v>
      </c>
      <c r="B142" t="s">
        <v>1910</v>
      </c>
      <c r="C142" t="s">
        <v>1911</v>
      </c>
      <c r="D142" t="s">
        <v>44</v>
      </c>
      <c r="E142" t="s">
        <v>44</v>
      </c>
      <c r="F142" t="s">
        <v>1508</v>
      </c>
      <c r="G142" t="s">
        <v>69</v>
      </c>
      <c r="H142" t="s">
        <v>23</v>
      </c>
      <c r="I142" t="s">
        <v>1489</v>
      </c>
      <c r="J142" t="s">
        <v>1490</v>
      </c>
      <c r="K142" t="s">
        <v>1490</v>
      </c>
      <c r="L142" t="s">
        <v>1912</v>
      </c>
      <c r="M142">
        <v>50000</v>
      </c>
      <c r="N142">
        <v>50000</v>
      </c>
    </row>
    <row r="143" spans="1:14">
      <c r="A143" t="s">
        <v>218</v>
      </c>
      <c r="B143" t="s">
        <v>1913</v>
      </c>
      <c r="C143" t="s">
        <v>1914</v>
      </c>
      <c r="D143" t="s">
        <v>1653</v>
      </c>
      <c r="E143" t="s">
        <v>59</v>
      </c>
      <c r="F143" t="s">
        <v>1488</v>
      </c>
      <c r="G143" t="s">
        <v>69</v>
      </c>
      <c r="H143" t="s">
        <v>23</v>
      </c>
      <c r="I143" t="s">
        <v>1533</v>
      </c>
      <c r="J143" t="s">
        <v>1490</v>
      </c>
      <c r="K143" t="s">
        <v>1490</v>
      </c>
      <c r="L143" t="s">
        <v>1915</v>
      </c>
      <c r="M143">
        <v>250000</v>
      </c>
      <c r="N143">
        <v>250000</v>
      </c>
    </row>
    <row r="144" spans="1:14">
      <c r="A144" t="s">
        <v>554</v>
      </c>
      <c r="B144" t="s">
        <v>1916</v>
      </c>
      <c r="C144" t="s">
        <v>1917</v>
      </c>
      <c r="D144" t="s">
        <v>1514</v>
      </c>
      <c r="E144" t="s">
        <v>28</v>
      </c>
      <c r="F144" t="s">
        <v>1488</v>
      </c>
      <c r="G144" t="s">
        <v>47</v>
      </c>
      <c r="H144" t="s">
        <v>47</v>
      </c>
      <c r="I144" t="s">
        <v>1523</v>
      </c>
      <c r="J144" t="s">
        <v>1490</v>
      </c>
      <c r="K144" t="s">
        <v>1490</v>
      </c>
      <c r="L144" t="s">
        <v>1918</v>
      </c>
      <c r="M144">
        <v>100000</v>
      </c>
      <c r="N144">
        <v>100000</v>
      </c>
    </row>
    <row r="145" spans="1:14">
      <c r="A145" t="s">
        <v>405</v>
      </c>
      <c r="B145" t="s">
        <v>1919</v>
      </c>
      <c r="C145" t="s">
        <v>1920</v>
      </c>
      <c r="D145" t="s">
        <v>59</v>
      </c>
      <c r="E145" t="s">
        <v>59</v>
      </c>
      <c r="F145" t="s">
        <v>1495</v>
      </c>
      <c r="G145" t="s">
        <v>58</v>
      </c>
      <c r="H145" t="s">
        <v>58</v>
      </c>
      <c r="I145" t="s">
        <v>1533</v>
      </c>
      <c r="J145" t="s">
        <v>1490</v>
      </c>
      <c r="K145" t="s">
        <v>1490</v>
      </c>
      <c r="L145" t="s">
        <v>1921</v>
      </c>
      <c r="M145">
        <v>500000</v>
      </c>
      <c r="N145">
        <v>500000</v>
      </c>
    </row>
    <row r="146" spans="1:14">
      <c r="A146" t="s">
        <v>67</v>
      </c>
      <c r="B146" t="s">
        <v>1922</v>
      </c>
      <c r="C146" t="s">
        <v>1923</v>
      </c>
      <c r="D146" t="s">
        <v>59</v>
      </c>
      <c r="E146" t="s">
        <v>59</v>
      </c>
      <c r="F146" t="s">
        <v>1518</v>
      </c>
      <c r="G146" t="s">
        <v>69</v>
      </c>
      <c r="H146" t="s">
        <v>23</v>
      </c>
      <c r="I146" t="s">
        <v>1533</v>
      </c>
      <c r="J146" t="s">
        <v>1490</v>
      </c>
      <c r="K146" t="s">
        <v>1490</v>
      </c>
      <c r="L146" t="s">
        <v>1924</v>
      </c>
      <c r="M146">
        <v>250000</v>
      </c>
      <c r="N146">
        <v>250000</v>
      </c>
    </row>
    <row r="147" spans="1:14">
      <c r="A147" t="s">
        <v>563</v>
      </c>
      <c r="B147" t="s">
        <v>1925</v>
      </c>
      <c r="C147" t="s">
        <v>1926</v>
      </c>
      <c r="D147" t="s">
        <v>28</v>
      </c>
      <c r="E147" t="s">
        <v>28</v>
      </c>
      <c r="F147" t="s">
        <v>1488</v>
      </c>
      <c r="G147" t="s">
        <v>69</v>
      </c>
      <c r="H147" t="s">
        <v>23</v>
      </c>
      <c r="I147" t="s">
        <v>1523</v>
      </c>
      <c r="J147" t="s">
        <v>1490</v>
      </c>
      <c r="K147" t="s">
        <v>1490</v>
      </c>
      <c r="L147" t="s">
        <v>1927</v>
      </c>
      <c r="M147">
        <v>100000</v>
      </c>
      <c r="N147">
        <v>100000</v>
      </c>
    </row>
    <row r="148" spans="1:14">
      <c r="A148" t="s">
        <v>104</v>
      </c>
      <c r="B148" t="s">
        <v>1928</v>
      </c>
      <c r="C148" t="s">
        <v>1929</v>
      </c>
      <c r="D148" t="s">
        <v>36</v>
      </c>
      <c r="E148" t="s">
        <v>36</v>
      </c>
      <c r="F148" t="s">
        <v>1488</v>
      </c>
      <c r="G148" t="s">
        <v>58</v>
      </c>
      <c r="H148" t="s">
        <v>58</v>
      </c>
      <c r="I148" t="s">
        <v>1496</v>
      </c>
      <c r="J148" t="s">
        <v>1490</v>
      </c>
      <c r="K148" t="s">
        <v>1490</v>
      </c>
      <c r="L148" t="s">
        <v>1930</v>
      </c>
      <c r="M148">
        <v>100000</v>
      </c>
      <c r="N148">
        <v>100000</v>
      </c>
    </row>
    <row r="149" spans="1:14">
      <c r="A149" t="s">
        <v>754</v>
      </c>
      <c r="B149" t="s">
        <v>1931</v>
      </c>
      <c r="C149" t="s">
        <v>1932</v>
      </c>
      <c r="D149" t="s">
        <v>59</v>
      </c>
      <c r="E149" t="s">
        <v>59</v>
      </c>
      <c r="F149" t="s">
        <v>1488</v>
      </c>
      <c r="G149" t="s">
        <v>1509</v>
      </c>
      <c r="H149" t="s">
        <v>23</v>
      </c>
      <c r="I149" t="s">
        <v>1536</v>
      </c>
      <c r="J149" t="s">
        <v>1490</v>
      </c>
      <c r="K149" t="s">
        <v>1490</v>
      </c>
      <c r="L149" t="s">
        <v>1933</v>
      </c>
      <c r="M149">
        <v>100000</v>
      </c>
      <c r="N149">
        <v>100000</v>
      </c>
    </row>
    <row r="150" spans="1:14">
      <c r="A150" t="s">
        <v>527</v>
      </c>
      <c r="B150" t="s">
        <v>1934</v>
      </c>
      <c r="C150" t="s">
        <v>1935</v>
      </c>
      <c r="D150" t="s">
        <v>44</v>
      </c>
      <c r="E150" t="s">
        <v>44</v>
      </c>
      <c r="F150" t="s">
        <v>1488</v>
      </c>
      <c r="G150" t="s">
        <v>69</v>
      </c>
      <c r="H150" t="s">
        <v>23</v>
      </c>
      <c r="I150" t="s">
        <v>1585</v>
      </c>
      <c r="J150" t="s">
        <v>1490</v>
      </c>
      <c r="K150" t="s">
        <v>1490</v>
      </c>
      <c r="L150" t="s">
        <v>1936</v>
      </c>
      <c r="M150">
        <v>100000</v>
      </c>
      <c r="N150">
        <v>100000</v>
      </c>
    </row>
    <row r="151" spans="1:14">
      <c r="A151" t="s">
        <v>110</v>
      </c>
      <c r="B151" t="s">
        <v>1937</v>
      </c>
      <c r="C151" t="s">
        <v>1938</v>
      </c>
      <c r="D151" t="s">
        <v>59</v>
      </c>
      <c r="E151" t="s">
        <v>59</v>
      </c>
      <c r="F151" t="s">
        <v>1488</v>
      </c>
      <c r="G151" t="s">
        <v>1509</v>
      </c>
      <c r="H151" t="s">
        <v>23</v>
      </c>
      <c r="I151" t="s">
        <v>1533</v>
      </c>
      <c r="J151" t="s">
        <v>1490</v>
      </c>
      <c r="K151" t="s">
        <v>1490</v>
      </c>
      <c r="L151" t="s">
        <v>1939</v>
      </c>
      <c r="M151">
        <v>250000</v>
      </c>
      <c r="N151">
        <v>250000</v>
      </c>
    </row>
    <row r="152" spans="1:14">
      <c r="A152" t="s">
        <v>38</v>
      </c>
      <c r="B152" t="s">
        <v>1940</v>
      </c>
      <c r="C152" t="s">
        <v>1941</v>
      </c>
      <c r="D152" t="s">
        <v>36</v>
      </c>
      <c r="E152" t="s">
        <v>36</v>
      </c>
      <c r="F152" t="s">
        <v>1488</v>
      </c>
      <c r="G152" t="s">
        <v>33</v>
      </c>
      <c r="H152" t="s">
        <v>32</v>
      </c>
      <c r="I152" t="s">
        <v>1500</v>
      </c>
      <c r="J152" t="s">
        <v>1490</v>
      </c>
      <c r="K152" t="s">
        <v>1490</v>
      </c>
      <c r="L152" t="s">
        <v>1942</v>
      </c>
      <c r="M152">
        <v>50000</v>
      </c>
      <c r="N152">
        <v>50000</v>
      </c>
    </row>
    <row r="153" spans="1:14">
      <c r="A153" t="s">
        <v>116</v>
      </c>
      <c r="B153" t="s">
        <v>1943</v>
      </c>
      <c r="C153" t="s">
        <v>1944</v>
      </c>
      <c r="D153" t="s">
        <v>28</v>
      </c>
      <c r="E153" t="s">
        <v>28</v>
      </c>
      <c r="F153" t="s">
        <v>1488</v>
      </c>
      <c r="G153" t="s">
        <v>47</v>
      </c>
      <c r="H153" t="s">
        <v>47</v>
      </c>
      <c r="I153" t="s">
        <v>1551</v>
      </c>
      <c r="J153" t="s">
        <v>1490</v>
      </c>
      <c r="K153" t="s">
        <v>1490</v>
      </c>
      <c r="L153" t="s">
        <v>1945</v>
      </c>
      <c r="M153" t="s">
        <v>1862</v>
      </c>
      <c r="N153">
        <v>500000</v>
      </c>
    </row>
    <row r="154" spans="1:14">
      <c r="A154" t="s">
        <v>297</v>
      </c>
      <c r="B154" t="s">
        <v>1946</v>
      </c>
      <c r="C154" t="s">
        <v>1947</v>
      </c>
      <c r="D154" t="s">
        <v>36</v>
      </c>
      <c r="E154" t="s">
        <v>36</v>
      </c>
      <c r="F154" t="s">
        <v>1508</v>
      </c>
      <c r="G154" t="s">
        <v>69</v>
      </c>
      <c r="H154" t="s">
        <v>23</v>
      </c>
      <c r="I154" t="s">
        <v>1570</v>
      </c>
      <c r="J154" t="s">
        <v>1490</v>
      </c>
      <c r="K154" t="s">
        <v>1490</v>
      </c>
      <c r="L154" t="s">
        <v>1948</v>
      </c>
      <c r="M154">
        <v>50000</v>
      </c>
      <c r="N154">
        <v>50000</v>
      </c>
    </row>
    <row r="155" spans="1:14">
      <c r="A155" t="s">
        <v>378</v>
      </c>
      <c r="B155" t="s">
        <v>1949</v>
      </c>
      <c r="C155" t="s">
        <v>1950</v>
      </c>
      <c r="D155" t="s">
        <v>48</v>
      </c>
      <c r="E155" t="s">
        <v>48</v>
      </c>
      <c r="F155" t="s">
        <v>1495</v>
      </c>
      <c r="G155" t="s">
        <v>58</v>
      </c>
      <c r="H155" t="s">
        <v>58</v>
      </c>
      <c r="I155" t="s">
        <v>1785</v>
      </c>
      <c r="J155" t="s">
        <v>1490</v>
      </c>
      <c r="K155" t="s">
        <v>1490</v>
      </c>
      <c r="L155" t="s">
        <v>1951</v>
      </c>
      <c r="M155">
        <v>500000</v>
      </c>
      <c r="N155">
        <v>500000</v>
      </c>
    </row>
    <row r="156" spans="1:14">
      <c r="A156" t="s">
        <v>112</v>
      </c>
      <c r="B156" t="s">
        <v>1952</v>
      </c>
      <c r="C156" t="s">
        <v>1953</v>
      </c>
      <c r="D156" t="s">
        <v>36</v>
      </c>
      <c r="E156" t="s">
        <v>36</v>
      </c>
      <c r="F156" t="s">
        <v>1508</v>
      </c>
      <c r="G156" t="s">
        <v>58</v>
      </c>
      <c r="H156" t="s">
        <v>58</v>
      </c>
      <c r="I156" t="s">
        <v>1496</v>
      </c>
      <c r="J156" t="s">
        <v>1490</v>
      </c>
      <c r="K156" t="s">
        <v>1490</v>
      </c>
      <c r="L156" t="s">
        <v>1954</v>
      </c>
      <c r="M156">
        <v>500000</v>
      </c>
      <c r="N156">
        <v>500000</v>
      </c>
    </row>
    <row r="157" spans="1:14">
      <c r="A157" t="s">
        <v>307</v>
      </c>
      <c r="B157" t="s">
        <v>1955</v>
      </c>
      <c r="C157" t="s">
        <v>1955</v>
      </c>
      <c r="D157" t="s">
        <v>36</v>
      </c>
      <c r="E157" t="s">
        <v>36</v>
      </c>
      <c r="F157" t="s">
        <v>1488</v>
      </c>
      <c r="G157" t="s">
        <v>1509</v>
      </c>
      <c r="H157" t="s">
        <v>23</v>
      </c>
      <c r="I157" t="s">
        <v>1570</v>
      </c>
      <c r="J157" t="s">
        <v>1490</v>
      </c>
      <c r="K157" t="s">
        <v>1490</v>
      </c>
      <c r="L157" t="s">
        <v>1956</v>
      </c>
      <c r="M157">
        <v>250000</v>
      </c>
      <c r="N157">
        <v>250000</v>
      </c>
    </row>
    <row r="158" spans="1:14">
      <c r="A158" t="s">
        <v>339</v>
      </c>
      <c r="B158" t="s">
        <v>1957</v>
      </c>
      <c r="C158" t="s">
        <v>1958</v>
      </c>
      <c r="D158" t="s">
        <v>48</v>
      </c>
      <c r="E158" t="s">
        <v>48</v>
      </c>
      <c r="F158" t="s">
        <v>1508</v>
      </c>
      <c r="G158" t="s">
        <v>47</v>
      </c>
      <c r="H158" t="s">
        <v>47</v>
      </c>
      <c r="I158" t="s">
        <v>1519</v>
      </c>
      <c r="J158" t="s">
        <v>1490</v>
      </c>
      <c r="K158" t="s">
        <v>1490</v>
      </c>
      <c r="L158" t="s">
        <v>1959</v>
      </c>
      <c r="M158">
        <v>100000</v>
      </c>
      <c r="N158">
        <v>100000</v>
      </c>
    </row>
    <row r="159" spans="1:14">
      <c r="A159" t="s">
        <v>170</v>
      </c>
      <c r="B159" t="s">
        <v>1960</v>
      </c>
      <c r="C159" t="s">
        <v>1960</v>
      </c>
      <c r="D159" t="s">
        <v>59</v>
      </c>
      <c r="E159" t="s">
        <v>59</v>
      </c>
      <c r="F159" t="s">
        <v>1488</v>
      </c>
      <c r="G159" t="s">
        <v>47</v>
      </c>
      <c r="H159" t="s">
        <v>47</v>
      </c>
      <c r="I159" t="s">
        <v>1533</v>
      </c>
      <c r="J159" t="s">
        <v>1490</v>
      </c>
      <c r="K159" t="s">
        <v>1490</v>
      </c>
      <c r="L159" t="s">
        <v>1961</v>
      </c>
      <c r="M159">
        <v>1000000</v>
      </c>
      <c r="N159">
        <v>1000000</v>
      </c>
    </row>
    <row r="160" spans="1:14">
      <c r="A160" t="s">
        <v>114</v>
      </c>
      <c r="B160" t="s">
        <v>1962</v>
      </c>
      <c r="C160" t="s">
        <v>1963</v>
      </c>
      <c r="D160" t="s">
        <v>36</v>
      </c>
      <c r="E160" t="s">
        <v>36</v>
      </c>
      <c r="F160" t="s">
        <v>1488</v>
      </c>
      <c r="G160" t="s">
        <v>47</v>
      </c>
      <c r="H160" t="s">
        <v>47</v>
      </c>
      <c r="I160" t="s">
        <v>1496</v>
      </c>
      <c r="J160" t="s">
        <v>1490</v>
      </c>
      <c r="K160" t="s">
        <v>1490</v>
      </c>
      <c r="L160" t="s">
        <v>1964</v>
      </c>
      <c r="M160">
        <v>50000</v>
      </c>
      <c r="N160">
        <v>50000</v>
      </c>
    </row>
    <row r="161" spans="1:14">
      <c r="A161" t="s">
        <v>780</v>
      </c>
      <c r="B161" t="s">
        <v>1965</v>
      </c>
      <c r="C161" t="s">
        <v>1966</v>
      </c>
      <c r="D161" t="s">
        <v>59</v>
      </c>
      <c r="E161" t="s">
        <v>59</v>
      </c>
      <c r="F161" t="s">
        <v>1488</v>
      </c>
      <c r="G161" t="s">
        <v>33</v>
      </c>
      <c r="H161" t="s">
        <v>32</v>
      </c>
      <c r="I161" t="s">
        <v>1536</v>
      </c>
      <c r="J161" t="s">
        <v>1490</v>
      </c>
      <c r="K161" t="s">
        <v>1490</v>
      </c>
      <c r="L161" t="s">
        <v>1967</v>
      </c>
      <c r="M161">
        <v>1000000</v>
      </c>
      <c r="N161">
        <v>1000000</v>
      </c>
    </row>
    <row r="162" spans="1:14">
      <c r="A162" t="s">
        <v>259</v>
      </c>
      <c r="B162" t="s">
        <v>1968</v>
      </c>
      <c r="C162" t="s">
        <v>1968</v>
      </c>
      <c r="D162" t="s">
        <v>48</v>
      </c>
      <c r="E162" t="s">
        <v>48</v>
      </c>
      <c r="F162" t="s">
        <v>1488</v>
      </c>
      <c r="G162" t="s">
        <v>69</v>
      </c>
      <c r="H162" t="s">
        <v>23</v>
      </c>
      <c r="I162" t="s">
        <v>1519</v>
      </c>
      <c r="J162" t="s">
        <v>1490</v>
      </c>
      <c r="K162" t="s">
        <v>1490</v>
      </c>
      <c r="L162" t="s">
        <v>1969</v>
      </c>
      <c r="M162">
        <v>250000</v>
      </c>
      <c r="N162">
        <v>250000</v>
      </c>
    </row>
    <row r="163" spans="1:14">
      <c r="A163" t="s">
        <v>654</v>
      </c>
      <c r="B163" t="s">
        <v>1970</v>
      </c>
      <c r="C163" t="s">
        <v>1971</v>
      </c>
      <c r="D163" t="s">
        <v>28</v>
      </c>
      <c r="E163" t="s">
        <v>28</v>
      </c>
      <c r="F163" t="s">
        <v>1495</v>
      </c>
      <c r="G163" t="s">
        <v>33</v>
      </c>
      <c r="H163" t="s">
        <v>32</v>
      </c>
      <c r="I163" t="s">
        <v>1551</v>
      </c>
      <c r="J163" t="s">
        <v>1490</v>
      </c>
      <c r="K163" t="s">
        <v>1490</v>
      </c>
      <c r="L163" t="s">
        <v>1972</v>
      </c>
      <c r="M163">
        <v>50000</v>
      </c>
      <c r="N163">
        <v>50000</v>
      </c>
    </row>
    <row r="164" spans="1:14">
      <c r="A164" t="s">
        <v>106</v>
      </c>
      <c r="B164" t="s">
        <v>1973</v>
      </c>
      <c r="C164" t="s">
        <v>1974</v>
      </c>
      <c r="D164" t="s">
        <v>1653</v>
      </c>
      <c r="E164" t="s">
        <v>59</v>
      </c>
      <c r="F164" t="s">
        <v>1508</v>
      </c>
      <c r="G164" t="s">
        <v>58</v>
      </c>
      <c r="H164" t="s">
        <v>58</v>
      </c>
      <c r="I164" t="s">
        <v>1577</v>
      </c>
      <c r="J164" t="s">
        <v>1490</v>
      </c>
      <c r="K164" t="s">
        <v>1490</v>
      </c>
      <c r="L164" t="s">
        <v>1975</v>
      </c>
      <c r="M164">
        <v>500000</v>
      </c>
      <c r="N164">
        <v>500000</v>
      </c>
    </row>
    <row r="165" spans="1:14">
      <c r="A165" t="s">
        <v>310</v>
      </c>
      <c r="B165" t="s">
        <v>1976</v>
      </c>
      <c r="C165" t="s">
        <v>1977</v>
      </c>
      <c r="D165" t="s">
        <v>44</v>
      </c>
      <c r="E165" t="s">
        <v>44</v>
      </c>
      <c r="F165" t="s">
        <v>1488</v>
      </c>
      <c r="G165" t="s">
        <v>47</v>
      </c>
      <c r="H165" t="s">
        <v>47</v>
      </c>
      <c r="I165" t="s">
        <v>1563</v>
      </c>
      <c r="J165" t="s">
        <v>1490</v>
      </c>
      <c r="K165" t="s">
        <v>1490</v>
      </c>
      <c r="L165" t="s">
        <v>1978</v>
      </c>
      <c r="M165">
        <v>100000</v>
      </c>
      <c r="N165">
        <v>100000</v>
      </c>
    </row>
    <row r="166" spans="1:14">
      <c r="A166" t="s">
        <v>332</v>
      </c>
      <c r="B166" t="s">
        <v>1979</v>
      </c>
      <c r="C166" t="s">
        <v>1980</v>
      </c>
      <c r="D166" t="s">
        <v>28</v>
      </c>
      <c r="E166" t="s">
        <v>28</v>
      </c>
      <c r="F166" t="s">
        <v>1508</v>
      </c>
      <c r="G166" t="s">
        <v>1509</v>
      </c>
      <c r="H166" t="s">
        <v>23</v>
      </c>
      <c r="I166" t="s">
        <v>1523</v>
      </c>
      <c r="J166" t="s">
        <v>1490</v>
      </c>
      <c r="K166" t="s">
        <v>1490</v>
      </c>
      <c r="L166" t="s">
        <v>1981</v>
      </c>
      <c r="M166">
        <v>250000</v>
      </c>
      <c r="N166">
        <v>250000</v>
      </c>
    </row>
    <row r="167" spans="1:14">
      <c r="A167" t="s">
        <v>155</v>
      </c>
      <c r="B167" t="s">
        <v>1982</v>
      </c>
      <c r="C167" t="s">
        <v>1983</v>
      </c>
      <c r="D167" t="s">
        <v>59</v>
      </c>
      <c r="E167" t="s">
        <v>59</v>
      </c>
      <c r="F167" t="s">
        <v>1488</v>
      </c>
      <c r="G167" t="s">
        <v>69</v>
      </c>
      <c r="H167" t="s">
        <v>23</v>
      </c>
      <c r="I167" t="s">
        <v>1577</v>
      </c>
      <c r="J167" t="s">
        <v>1490</v>
      </c>
      <c r="K167" t="s">
        <v>1490</v>
      </c>
      <c r="L167" t="s">
        <v>1984</v>
      </c>
      <c r="M167">
        <v>250000</v>
      </c>
      <c r="N167">
        <v>250000</v>
      </c>
    </row>
    <row r="168" spans="1:14">
      <c r="A168" t="s">
        <v>496</v>
      </c>
      <c r="B168" t="s">
        <v>1985</v>
      </c>
      <c r="C168" t="s">
        <v>1986</v>
      </c>
      <c r="D168" t="s">
        <v>36</v>
      </c>
      <c r="E168" t="s">
        <v>36</v>
      </c>
      <c r="F168" t="s">
        <v>1508</v>
      </c>
      <c r="G168" t="s">
        <v>47</v>
      </c>
      <c r="H168" t="s">
        <v>47</v>
      </c>
      <c r="I168" t="s">
        <v>1603</v>
      </c>
      <c r="J168" t="s">
        <v>1490</v>
      </c>
      <c r="K168" t="s">
        <v>1490</v>
      </c>
      <c r="L168" t="s">
        <v>1987</v>
      </c>
      <c r="M168">
        <v>250000</v>
      </c>
      <c r="N168">
        <v>250000</v>
      </c>
    </row>
    <row r="169" spans="1:14">
      <c r="A169" t="s">
        <v>42</v>
      </c>
      <c r="B169" t="s">
        <v>1988</v>
      </c>
      <c r="C169" t="s">
        <v>1989</v>
      </c>
      <c r="D169" t="s">
        <v>44</v>
      </c>
      <c r="E169" t="s">
        <v>44</v>
      </c>
      <c r="F169" t="s">
        <v>1488</v>
      </c>
      <c r="G169" t="s">
        <v>33</v>
      </c>
      <c r="H169" t="s">
        <v>32</v>
      </c>
      <c r="I169" t="s">
        <v>1585</v>
      </c>
      <c r="J169" t="s">
        <v>1490</v>
      </c>
      <c r="K169" t="s">
        <v>1490</v>
      </c>
      <c r="L169" t="s">
        <v>1990</v>
      </c>
      <c r="M169">
        <v>250000</v>
      </c>
      <c r="N169">
        <v>250000</v>
      </c>
    </row>
    <row r="170" spans="1:14">
      <c r="A170" t="s">
        <v>64</v>
      </c>
      <c r="B170" t="s">
        <v>1991</v>
      </c>
      <c r="C170" t="s">
        <v>1991</v>
      </c>
      <c r="D170" t="s">
        <v>36</v>
      </c>
      <c r="E170" t="s">
        <v>36</v>
      </c>
      <c r="F170" t="s">
        <v>1508</v>
      </c>
      <c r="G170" t="s">
        <v>47</v>
      </c>
      <c r="H170" t="s">
        <v>47</v>
      </c>
      <c r="I170" t="s">
        <v>1500</v>
      </c>
      <c r="J170" t="s">
        <v>1658</v>
      </c>
      <c r="K170" t="s">
        <v>1658</v>
      </c>
      <c r="L170" t="s">
        <v>1992</v>
      </c>
      <c r="M170">
        <v>50000</v>
      </c>
      <c r="N170">
        <v>50000</v>
      </c>
    </row>
    <row r="171" spans="1:14">
      <c r="A171" t="s">
        <v>830</v>
      </c>
      <c r="B171" t="s">
        <v>1993</v>
      </c>
      <c r="C171" t="s">
        <v>1994</v>
      </c>
      <c r="D171" t="s">
        <v>44</v>
      </c>
      <c r="E171" t="s">
        <v>44</v>
      </c>
      <c r="F171" t="s">
        <v>1495</v>
      </c>
      <c r="G171" t="s">
        <v>69</v>
      </c>
      <c r="H171" t="s">
        <v>23</v>
      </c>
      <c r="I171" t="s">
        <v>1489</v>
      </c>
      <c r="J171" t="s">
        <v>1490</v>
      </c>
      <c r="K171" t="s">
        <v>1490</v>
      </c>
      <c r="L171" t="s">
        <v>1995</v>
      </c>
      <c r="M171">
        <v>250000</v>
      </c>
      <c r="N171">
        <v>250000</v>
      </c>
    </row>
    <row r="172" spans="1:14">
      <c r="A172" t="s">
        <v>121</v>
      </c>
      <c r="B172" t="s">
        <v>1996</v>
      </c>
      <c r="C172" t="s">
        <v>1997</v>
      </c>
      <c r="D172" t="s">
        <v>36</v>
      </c>
      <c r="E172" t="s">
        <v>36</v>
      </c>
      <c r="F172" t="s">
        <v>1508</v>
      </c>
      <c r="G172" t="s">
        <v>58</v>
      </c>
      <c r="H172" t="s">
        <v>58</v>
      </c>
      <c r="I172" t="s">
        <v>1496</v>
      </c>
      <c r="J172" t="s">
        <v>1490</v>
      </c>
      <c r="K172" t="s">
        <v>1490</v>
      </c>
      <c r="L172" t="s">
        <v>1998</v>
      </c>
      <c r="M172">
        <v>100000</v>
      </c>
      <c r="N172">
        <v>100000</v>
      </c>
    </row>
    <row r="173" spans="1:14">
      <c r="A173" t="s">
        <v>50</v>
      </c>
      <c r="B173" t="s">
        <v>1999</v>
      </c>
      <c r="C173" t="s">
        <v>2000</v>
      </c>
      <c r="D173" t="s">
        <v>36</v>
      </c>
      <c r="E173" t="s">
        <v>36</v>
      </c>
      <c r="F173" t="s">
        <v>1488</v>
      </c>
      <c r="G173" t="s">
        <v>69</v>
      </c>
      <c r="H173" t="s">
        <v>23</v>
      </c>
      <c r="I173" t="s">
        <v>1603</v>
      </c>
      <c r="J173" t="s">
        <v>1490</v>
      </c>
      <c r="K173" t="s">
        <v>1490</v>
      </c>
      <c r="L173" t="s">
        <v>2001</v>
      </c>
      <c r="M173">
        <v>50000</v>
      </c>
      <c r="N173">
        <v>50000</v>
      </c>
    </row>
    <row r="174" spans="1:14">
      <c r="A174" t="s">
        <v>454</v>
      </c>
      <c r="B174" t="s">
        <v>2002</v>
      </c>
      <c r="C174" t="s">
        <v>2003</v>
      </c>
      <c r="D174" t="s">
        <v>28</v>
      </c>
      <c r="E174" t="s">
        <v>28</v>
      </c>
      <c r="F174" t="s">
        <v>1488</v>
      </c>
      <c r="G174" t="s">
        <v>47</v>
      </c>
      <c r="H174" t="s">
        <v>47</v>
      </c>
      <c r="I174" t="s">
        <v>1523</v>
      </c>
      <c r="J174" t="s">
        <v>1490</v>
      </c>
      <c r="K174" t="s">
        <v>1490</v>
      </c>
      <c r="L174" t="s">
        <v>2004</v>
      </c>
      <c r="M174" t="s">
        <v>1747</v>
      </c>
      <c r="N174">
        <v>250000</v>
      </c>
    </row>
    <row r="175" spans="1:14">
      <c r="A175" t="s">
        <v>71</v>
      </c>
      <c r="B175" t="s">
        <v>2005</v>
      </c>
      <c r="C175" t="s">
        <v>2006</v>
      </c>
      <c r="D175" t="s">
        <v>48</v>
      </c>
      <c r="E175" t="s">
        <v>48</v>
      </c>
      <c r="F175" t="s">
        <v>1508</v>
      </c>
      <c r="G175" t="s">
        <v>1509</v>
      </c>
      <c r="H175" t="s">
        <v>23</v>
      </c>
      <c r="I175" t="s">
        <v>1519</v>
      </c>
      <c r="J175" t="s">
        <v>1490</v>
      </c>
      <c r="K175" t="s">
        <v>1490</v>
      </c>
      <c r="L175" t="s">
        <v>2007</v>
      </c>
      <c r="M175">
        <v>1000000</v>
      </c>
      <c r="N175">
        <v>1000000</v>
      </c>
    </row>
    <row r="176" spans="1:14">
      <c r="A176" t="s">
        <v>387</v>
      </c>
      <c r="B176" t="s">
        <v>2008</v>
      </c>
      <c r="C176" t="s">
        <v>2009</v>
      </c>
      <c r="D176" t="s">
        <v>44</v>
      </c>
      <c r="E176" t="s">
        <v>44</v>
      </c>
      <c r="F176" t="s">
        <v>1488</v>
      </c>
      <c r="G176" t="s">
        <v>69</v>
      </c>
      <c r="H176" t="s">
        <v>23</v>
      </c>
      <c r="I176" t="s">
        <v>1563</v>
      </c>
      <c r="J176" t="s">
        <v>1490</v>
      </c>
      <c r="K176" t="s">
        <v>1490</v>
      </c>
      <c r="L176" t="s">
        <v>2010</v>
      </c>
      <c r="M176">
        <v>50000</v>
      </c>
      <c r="N176">
        <v>50000</v>
      </c>
    </row>
    <row r="177" spans="1:14">
      <c r="A177" t="s">
        <v>576</v>
      </c>
      <c r="B177" t="s">
        <v>2011</v>
      </c>
      <c r="C177" t="s">
        <v>2011</v>
      </c>
      <c r="D177" t="s">
        <v>36</v>
      </c>
      <c r="E177" t="s">
        <v>36</v>
      </c>
      <c r="F177" t="s">
        <v>1488</v>
      </c>
      <c r="G177" t="s">
        <v>58</v>
      </c>
      <c r="H177" t="s">
        <v>58</v>
      </c>
      <c r="I177" t="s">
        <v>1603</v>
      </c>
      <c r="J177" t="s">
        <v>1490</v>
      </c>
      <c r="K177" t="s">
        <v>1490</v>
      </c>
      <c r="L177" t="s">
        <v>2012</v>
      </c>
      <c r="M177">
        <v>100000</v>
      </c>
      <c r="N177">
        <v>100000</v>
      </c>
    </row>
    <row r="178" spans="1:14">
      <c r="A178" t="s">
        <v>190</v>
      </c>
      <c r="B178" t="s">
        <v>2013</v>
      </c>
      <c r="C178" t="s">
        <v>2014</v>
      </c>
      <c r="D178" t="s">
        <v>36</v>
      </c>
      <c r="E178" t="s">
        <v>36</v>
      </c>
      <c r="F178" t="s">
        <v>1518</v>
      </c>
      <c r="G178" t="s">
        <v>47</v>
      </c>
      <c r="H178" t="s">
        <v>47</v>
      </c>
      <c r="I178" t="s">
        <v>1603</v>
      </c>
      <c r="J178" t="s">
        <v>1490</v>
      </c>
      <c r="K178" t="s">
        <v>1490</v>
      </c>
      <c r="L178" t="s">
        <v>2015</v>
      </c>
      <c r="M178" t="s">
        <v>1862</v>
      </c>
      <c r="N178">
        <v>500000</v>
      </c>
    </row>
    <row r="179" spans="1:14">
      <c r="A179" t="s">
        <v>279</v>
      </c>
      <c r="B179" t="s">
        <v>2016</v>
      </c>
      <c r="C179" t="s">
        <v>2016</v>
      </c>
      <c r="D179" t="s">
        <v>36</v>
      </c>
      <c r="E179" t="s">
        <v>36</v>
      </c>
      <c r="F179" t="s">
        <v>1508</v>
      </c>
      <c r="G179" t="s">
        <v>47</v>
      </c>
      <c r="H179" t="s">
        <v>47</v>
      </c>
      <c r="I179" t="s">
        <v>1603</v>
      </c>
      <c r="K179" t="s">
        <v>40</v>
      </c>
      <c r="L179" t="s">
        <v>2017</v>
      </c>
      <c r="M179">
        <v>100000</v>
      </c>
      <c r="N179">
        <v>100000</v>
      </c>
    </row>
    <row r="180" spans="1:14">
      <c r="A180" t="s">
        <v>176</v>
      </c>
      <c r="B180" t="s">
        <v>2018</v>
      </c>
      <c r="C180" t="s">
        <v>2019</v>
      </c>
      <c r="D180" t="s">
        <v>28</v>
      </c>
      <c r="E180" t="s">
        <v>28</v>
      </c>
      <c r="F180" t="s">
        <v>1495</v>
      </c>
      <c r="G180" t="s">
        <v>58</v>
      </c>
      <c r="H180" t="s">
        <v>58</v>
      </c>
      <c r="I180" t="s">
        <v>1551</v>
      </c>
      <c r="J180" t="s">
        <v>1490</v>
      </c>
      <c r="K180" t="s">
        <v>1490</v>
      </c>
      <c r="L180" t="s">
        <v>2020</v>
      </c>
      <c r="M180">
        <v>250000</v>
      </c>
      <c r="N180">
        <v>250000</v>
      </c>
    </row>
    <row r="181" spans="1:14">
      <c r="A181" t="s">
        <v>382</v>
      </c>
      <c r="B181" t="s">
        <v>2021</v>
      </c>
      <c r="C181" t="s">
        <v>2022</v>
      </c>
      <c r="D181" t="s">
        <v>36</v>
      </c>
      <c r="E181" t="s">
        <v>36</v>
      </c>
      <c r="F181" t="s">
        <v>1495</v>
      </c>
      <c r="G181" t="s">
        <v>69</v>
      </c>
      <c r="H181" t="s">
        <v>23</v>
      </c>
      <c r="I181" t="s">
        <v>1603</v>
      </c>
      <c r="J181" t="s">
        <v>1490</v>
      </c>
      <c r="K181" t="s">
        <v>1490</v>
      </c>
      <c r="L181" t="s">
        <v>2023</v>
      </c>
      <c r="M181">
        <v>50000</v>
      </c>
      <c r="N181">
        <v>50000</v>
      </c>
    </row>
    <row r="182" spans="1:14">
      <c r="A182" t="s">
        <v>141</v>
      </c>
      <c r="B182" t="s">
        <v>2024</v>
      </c>
      <c r="C182" t="s">
        <v>2024</v>
      </c>
      <c r="D182" t="s">
        <v>36</v>
      </c>
      <c r="E182" t="s">
        <v>36</v>
      </c>
      <c r="F182" t="s">
        <v>1508</v>
      </c>
      <c r="G182" t="s">
        <v>69</v>
      </c>
      <c r="H182" t="s">
        <v>23</v>
      </c>
      <c r="I182" t="s">
        <v>1570</v>
      </c>
      <c r="J182" t="s">
        <v>1490</v>
      </c>
      <c r="K182" t="s">
        <v>1490</v>
      </c>
      <c r="L182" t="s">
        <v>2025</v>
      </c>
      <c r="M182">
        <v>250000</v>
      </c>
      <c r="N182">
        <v>250000</v>
      </c>
    </row>
    <row r="183" spans="1:14">
      <c r="A183" t="s">
        <v>370</v>
      </c>
      <c r="B183" t="s">
        <v>2026</v>
      </c>
      <c r="C183" t="s">
        <v>2027</v>
      </c>
      <c r="D183" t="s">
        <v>59</v>
      </c>
      <c r="E183" t="s">
        <v>59</v>
      </c>
      <c r="F183" t="s">
        <v>1488</v>
      </c>
      <c r="G183" t="s">
        <v>58</v>
      </c>
      <c r="H183" t="s">
        <v>58</v>
      </c>
      <c r="I183" t="s">
        <v>1577</v>
      </c>
      <c r="J183" t="s">
        <v>1490</v>
      </c>
      <c r="K183" t="s">
        <v>1490</v>
      </c>
      <c r="L183" t="s">
        <v>2028</v>
      </c>
      <c r="M183">
        <v>100000</v>
      </c>
      <c r="N183">
        <v>100000</v>
      </c>
    </row>
    <row r="184" spans="1:14">
      <c r="A184" t="s">
        <v>206</v>
      </c>
      <c r="B184" t="s">
        <v>2029</v>
      </c>
      <c r="C184" t="s">
        <v>2030</v>
      </c>
      <c r="D184" t="s">
        <v>48</v>
      </c>
      <c r="E184" t="s">
        <v>48</v>
      </c>
      <c r="F184" t="s">
        <v>1488</v>
      </c>
      <c r="G184" t="s">
        <v>69</v>
      </c>
      <c r="H184" t="s">
        <v>23</v>
      </c>
      <c r="I184" t="s">
        <v>1510</v>
      </c>
      <c r="J184" t="s">
        <v>1490</v>
      </c>
      <c r="K184" t="s">
        <v>1490</v>
      </c>
      <c r="L184" t="s">
        <v>2031</v>
      </c>
      <c r="M184">
        <v>250000</v>
      </c>
      <c r="N184">
        <v>250000</v>
      </c>
    </row>
    <row r="185" spans="1:14">
      <c r="A185" t="s">
        <v>408</v>
      </c>
      <c r="B185" t="s">
        <v>2032</v>
      </c>
      <c r="C185" t="s">
        <v>2033</v>
      </c>
      <c r="D185" t="s">
        <v>44</v>
      </c>
      <c r="E185" t="s">
        <v>44</v>
      </c>
      <c r="F185" t="s">
        <v>1495</v>
      </c>
      <c r="G185" t="s">
        <v>1509</v>
      </c>
      <c r="H185" t="s">
        <v>23</v>
      </c>
      <c r="I185" t="s">
        <v>1563</v>
      </c>
      <c r="J185" t="s">
        <v>1490</v>
      </c>
      <c r="K185" t="s">
        <v>1490</v>
      </c>
      <c r="L185" t="s">
        <v>2034</v>
      </c>
      <c r="M185">
        <v>50000</v>
      </c>
      <c r="N185">
        <v>50000</v>
      </c>
    </row>
    <row r="186" spans="1:14">
      <c r="A186" t="s">
        <v>837</v>
      </c>
      <c r="B186" t="s">
        <v>2035</v>
      </c>
      <c r="C186" t="s">
        <v>2036</v>
      </c>
      <c r="D186" t="s">
        <v>28</v>
      </c>
      <c r="E186" t="s">
        <v>28</v>
      </c>
      <c r="F186" t="s">
        <v>1495</v>
      </c>
      <c r="G186" t="s">
        <v>47</v>
      </c>
      <c r="H186" t="s">
        <v>47</v>
      </c>
      <c r="I186" t="s">
        <v>1581</v>
      </c>
      <c r="J186" t="s">
        <v>1490</v>
      </c>
      <c r="K186" t="s">
        <v>1490</v>
      </c>
      <c r="L186" t="s">
        <v>2037</v>
      </c>
      <c r="M186">
        <v>250000</v>
      </c>
      <c r="N186">
        <v>250000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70CA-1877-466D-B7A0-B84B3E98C0A5}">
  <dimension ref="A1:K20"/>
  <sheetViews>
    <sheetView topLeftCell="A7" workbookViewId="0">
      <selection activeCell="E1" sqref="E1"/>
    </sheetView>
  </sheetViews>
  <sheetFormatPr defaultColWidth="9.140625" defaultRowHeight="15"/>
  <cols>
    <col min="1" max="1" width="12.140625" customWidth="1"/>
    <col min="2" max="2" width="15.42578125" customWidth="1"/>
    <col min="3" max="3" width="21.5703125" customWidth="1"/>
    <col min="4" max="4" width="20" bestFit="1" customWidth="1"/>
    <col min="5" max="5" width="17.42578125" customWidth="1"/>
    <col min="6" max="6" width="17.85546875" bestFit="1" customWidth="1"/>
    <col min="7" max="7" width="15.140625" customWidth="1"/>
    <col min="8" max="8" width="21" bestFit="1" customWidth="1"/>
    <col min="9" max="9" width="11" customWidth="1"/>
    <col min="10" max="10" width="19.42578125" customWidth="1"/>
    <col min="11" max="11" width="15.42578125" customWidth="1"/>
  </cols>
  <sheetData>
    <row r="1" spans="1:11">
      <c r="A1" t="s">
        <v>4</v>
      </c>
      <c r="B1" t="s">
        <v>2038</v>
      </c>
      <c r="C1" t="s">
        <v>2039</v>
      </c>
      <c r="D1" t="s">
        <v>2040</v>
      </c>
      <c r="E1" t="s">
        <v>2041</v>
      </c>
      <c r="F1" t="s">
        <v>2042</v>
      </c>
      <c r="G1" t="s">
        <v>2043</v>
      </c>
      <c r="H1" t="s">
        <v>2044</v>
      </c>
      <c r="I1" t="s">
        <v>13</v>
      </c>
      <c r="J1" t="s">
        <v>2045</v>
      </c>
      <c r="K1" t="s">
        <v>2046</v>
      </c>
    </row>
    <row r="2" spans="1:11">
      <c r="A2" t="s">
        <v>133</v>
      </c>
      <c r="B2" t="s">
        <v>2047</v>
      </c>
      <c r="C2" t="s">
        <v>2048</v>
      </c>
      <c r="D2" t="s">
        <v>2049</v>
      </c>
      <c r="E2" t="s">
        <v>2049</v>
      </c>
      <c r="F2" t="s">
        <v>2050</v>
      </c>
      <c r="G2" t="s">
        <v>2050</v>
      </c>
      <c r="H2" t="s">
        <v>82</v>
      </c>
      <c r="I2">
        <v>1850</v>
      </c>
      <c r="J2">
        <v>980</v>
      </c>
      <c r="K2">
        <v>220</v>
      </c>
    </row>
    <row r="3" spans="1:11">
      <c r="A3" t="s">
        <v>81</v>
      </c>
      <c r="B3" t="s">
        <v>2051</v>
      </c>
      <c r="C3" t="s">
        <v>2051</v>
      </c>
      <c r="D3" t="s">
        <v>2049</v>
      </c>
      <c r="E3" t="s">
        <v>2049</v>
      </c>
      <c r="F3" t="s">
        <v>2052</v>
      </c>
      <c r="G3" t="s">
        <v>2052</v>
      </c>
      <c r="H3" t="s">
        <v>82</v>
      </c>
      <c r="I3">
        <v>2400</v>
      </c>
      <c r="J3">
        <v>1120</v>
      </c>
      <c r="K3">
        <v>280</v>
      </c>
    </row>
    <row r="4" spans="1:11">
      <c r="A4" t="s">
        <v>216</v>
      </c>
      <c r="B4" t="s">
        <v>2053</v>
      </c>
      <c r="C4" t="s">
        <v>2054</v>
      </c>
      <c r="D4" t="s">
        <v>2049</v>
      </c>
      <c r="E4" t="s">
        <v>2049</v>
      </c>
      <c r="F4" t="s">
        <v>2052</v>
      </c>
      <c r="G4" t="s">
        <v>2052</v>
      </c>
      <c r="H4" t="s">
        <v>82</v>
      </c>
      <c r="I4">
        <v>4100</v>
      </c>
      <c r="J4">
        <v>1850</v>
      </c>
      <c r="K4">
        <v>410</v>
      </c>
    </row>
    <row r="5" spans="1:11">
      <c r="A5" t="s">
        <v>432</v>
      </c>
      <c r="B5" t="s">
        <v>2055</v>
      </c>
      <c r="C5" t="s">
        <v>2055</v>
      </c>
      <c r="D5" t="s">
        <v>2056</v>
      </c>
      <c r="E5" t="s">
        <v>2049</v>
      </c>
      <c r="F5" t="s">
        <v>2057</v>
      </c>
      <c r="G5" t="s">
        <v>2057</v>
      </c>
      <c r="H5" t="s">
        <v>82</v>
      </c>
      <c r="I5">
        <v>3200</v>
      </c>
      <c r="J5">
        <v>1650</v>
      </c>
      <c r="K5">
        <v>350</v>
      </c>
    </row>
    <row r="6" spans="1:11">
      <c r="A6" t="s">
        <v>101</v>
      </c>
      <c r="B6" t="s">
        <v>2058</v>
      </c>
      <c r="C6" t="s">
        <v>2058</v>
      </c>
      <c r="D6" t="s">
        <v>2049</v>
      </c>
      <c r="E6" t="s">
        <v>2049</v>
      </c>
      <c r="F6" t="s">
        <v>2059</v>
      </c>
      <c r="G6" t="s">
        <v>2059</v>
      </c>
      <c r="H6" t="s">
        <v>82</v>
      </c>
      <c r="I6">
        <v>950</v>
      </c>
      <c r="J6">
        <v>420</v>
      </c>
      <c r="K6">
        <v>95</v>
      </c>
    </row>
    <row r="7" spans="1:11">
      <c r="A7" t="s">
        <v>92</v>
      </c>
      <c r="B7" t="s">
        <v>2060</v>
      </c>
      <c r="C7" t="s">
        <v>2060</v>
      </c>
      <c r="D7" t="s">
        <v>2049</v>
      </c>
      <c r="E7" t="s">
        <v>2049</v>
      </c>
      <c r="F7" t="s">
        <v>2061</v>
      </c>
      <c r="G7" t="s">
        <v>2061</v>
      </c>
      <c r="H7" t="s">
        <v>82</v>
      </c>
      <c r="I7">
        <v>1450</v>
      </c>
      <c r="J7">
        <v>380</v>
      </c>
      <c r="K7">
        <v>175</v>
      </c>
    </row>
    <row r="8" spans="1:11">
      <c r="A8" t="s">
        <v>68</v>
      </c>
      <c r="B8" t="s">
        <v>2062</v>
      </c>
      <c r="C8" t="s">
        <v>2063</v>
      </c>
      <c r="D8" t="s">
        <v>2064</v>
      </c>
      <c r="E8" t="s">
        <v>2064</v>
      </c>
      <c r="F8" t="s">
        <v>2065</v>
      </c>
      <c r="G8" t="s">
        <v>2065</v>
      </c>
      <c r="H8" t="s">
        <v>53</v>
      </c>
      <c r="I8">
        <v>4200</v>
      </c>
      <c r="J8">
        <v>185</v>
      </c>
      <c r="K8">
        <v>310</v>
      </c>
    </row>
    <row r="9" spans="1:11">
      <c r="A9" t="s">
        <v>147</v>
      </c>
      <c r="B9" t="s">
        <v>2066</v>
      </c>
      <c r="C9" t="s">
        <v>2067</v>
      </c>
      <c r="D9" t="s">
        <v>2064</v>
      </c>
      <c r="E9" t="s">
        <v>2064</v>
      </c>
      <c r="F9" t="s">
        <v>2065</v>
      </c>
      <c r="G9" t="s">
        <v>2065</v>
      </c>
      <c r="H9" t="s">
        <v>53</v>
      </c>
      <c r="I9">
        <v>9800</v>
      </c>
      <c r="J9">
        <v>420</v>
      </c>
      <c r="K9">
        <v>680</v>
      </c>
    </row>
    <row r="10" spans="1:11">
      <c r="A10" t="s">
        <v>51</v>
      </c>
      <c r="B10" t="s">
        <v>2068</v>
      </c>
      <c r="C10" t="s">
        <v>2069</v>
      </c>
      <c r="D10" t="s">
        <v>2064</v>
      </c>
      <c r="E10" t="s">
        <v>2064</v>
      </c>
      <c r="F10" t="s">
        <v>2070</v>
      </c>
      <c r="G10" t="s">
        <v>2070</v>
      </c>
      <c r="H10" t="s">
        <v>53</v>
      </c>
      <c r="I10">
        <v>2750</v>
      </c>
      <c r="J10">
        <v>95</v>
      </c>
      <c r="K10">
        <v>210</v>
      </c>
    </row>
    <row r="11" spans="1:11">
      <c r="A11" t="s">
        <v>86</v>
      </c>
      <c r="B11" t="s">
        <v>2071</v>
      </c>
      <c r="C11" t="s">
        <v>2072</v>
      </c>
      <c r="D11" t="s">
        <v>2064</v>
      </c>
      <c r="E11" t="s">
        <v>2064</v>
      </c>
      <c r="F11" t="s">
        <v>2073</v>
      </c>
      <c r="G11" t="s">
        <v>2073</v>
      </c>
      <c r="H11" t="s">
        <v>53</v>
      </c>
      <c r="I11">
        <v>1650</v>
      </c>
      <c r="J11">
        <v>65</v>
      </c>
      <c r="K11">
        <v>145</v>
      </c>
    </row>
    <row r="12" spans="1:11">
      <c r="A12" t="s">
        <v>62</v>
      </c>
      <c r="B12" t="s">
        <v>2074</v>
      </c>
      <c r="C12" t="s">
        <v>2075</v>
      </c>
      <c r="D12" t="s">
        <v>2076</v>
      </c>
      <c r="E12" t="s">
        <v>2076</v>
      </c>
      <c r="F12" t="s">
        <v>2077</v>
      </c>
      <c r="G12" t="s">
        <v>2077</v>
      </c>
      <c r="H12" t="s">
        <v>53</v>
      </c>
      <c r="I12">
        <v>3200</v>
      </c>
      <c r="J12">
        <v>140</v>
      </c>
      <c r="K12">
        <v>255</v>
      </c>
    </row>
    <row r="13" spans="1:11">
      <c r="A13" t="s">
        <v>72</v>
      </c>
      <c r="B13" t="s">
        <v>2078</v>
      </c>
      <c r="C13" t="s">
        <v>2079</v>
      </c>
      <c r="D13" t="s">
        <v>2080</v>
      </c>
      <c r="E13" t="s">
        <v>2081</v>
      </c>
      <c r="F13" t="s">
        <v>2082</v>
      </c>
      <c r="G13" t="s">
        <v>2082</v>
      </c>
      <c r="H13" t="s">
        <v>24</v>
      </c>
      <c r="I13">
        <v>485</v>
      </c>
      <c r="J13">
        <v>187.5</v>
      </c>
      <c r="K13">
        <v>42</v>
      </c>
    </row>
    <row r="14" spans="1:11">
      <c r="A14" t="s">
        <v>31</v>
      </c>
      <c r="B14" t="s">
        <v>2083</v>
      </c>
      <c r="C14" t="s">
        <v>2084</v>
      </c>
      <c r="D14" t="s">
        <v>2081</v>
      </c>
      <c r="E14" t="s">
        <v>2081</v>
      </c>
      <c r="F14" t="s">
        <v>2085</v>
      </c>
      <c r="G14" t="s">
        <v>2085</v>
      </c>
      <c r="H14" t="s">
        <v>24</v>
      </c>
      <c r="I14">
        <v>725</v>
      </c>
      <c r="J14">
        <v>298</v>
      </c>
      <c r="K14">
        <v>55</v>
      </c>
    </row>
    <row r="15" spans="1:11">
      <c r="A15" t="s">
        <v>39</v>
      </c>
      <c r="B15" t="s">
        <v>2086</v>
      </c>
      <c r="C15" t="s">
        <v>2087</v>
      </c>
      <c r="D15" t="s">
        <v>2088</v>
      </c>
      <c r="E15" t="s">
        <v>2088</v>
      </c>
      <c r="F15" t="s">
        <v>2089</v>
      </c>
      <c r="G15" t="s">
        <v>2089</v>
      </c>
      <c r="H15" t="s">
        <v>24</v>
      </c>
      <c r="I15">
        <v>1890</v>
      </c>
      <c r="J15">
        <v>712</v>
      </c>
      <c r="K15">
        <v>125</v>
      </c>
    </row>
    <row r="16" spans="1:11">
      <c r="A16" t="s">
        <v>22</v>
      </c>
      <c r="B16" t="s">
        <v>2090</v>
      </c>
      <c r="C16" t="s">
        <v>2091</v>
      </c>
      <c r="D16" t="s">
        <v>2088</v>
      </c>
      <c r="E16" t="s">
        <v>2088</v>
      </c>
      <c r="F16" t="s">
        <v>2092</v>
      </c>
      <c r="G16" t="s">
        <v>2092</v>
      </c>
      <c r="H16" t="s">
        <v>24</v>
      </c>
      <c r="I16">
        <v>2450</v>
      </c>
      <c r="J16">
        <v>980</v>
      </c>
      <c r="K16">
        <v>145</v>
      </c>
    </row>
    <row r="17" spans="1:11">
      <c r="A17" t="s">
        <v>57</v>
      </c>
      <c r="B17" t="s">
        <v>2093</v>
      </c>
      <c r="C17" t="s">
        <v>2094</v>
      </c>
      <c r="D17" t="s">
        <v>2081</v>
      </c>
      <c r="E17" t="s">
        <v>2081</v>
      </c>
      <c r="F17" t="s">
        <v>2082</v>
      </c>
      <c r="G17" t="s">
        <v>2082</v>
      </c>
      <c r="H17" t="s">
        <v>24</v>
      </c>
      <c r="I17">
        <v>1120</v>
      </c>
      <c r="J17">
        <v>445</v>
      </c>
      <c r="K17">
        <v>78</v>
      </c>
    </row>
    <row r="18" spans="1:11">
      <c r="A18" t="s">
        <v>43</v>
      </c>
      <c r="B18" t="s">
        <v>2095</v>
      </c>
      <c r="C18" t="s">
        <v>2096</v>
      </c>
      <c r="D18" t="s">
        <v>2080</v>
      </c>
      <c r="E18" t="s">
        <v>2081</v>
      </c>
      <c r="F18" t="s">
        <v>2082</v>
      </c>
      <c r="G18" t="s">
        <v>2082</v>
      </c>
      <c r="H18" t="s">
        <v>24</v>
      </c>
      <c r="I18">
        <v>215</v>
      </c>
      <c r="J18">
        <v>92</v>
      </c>
      <c r="K18">
        <v>28</v>
      </c>
    </row>
    <row r="19" spans="1:11">
      <c r="A19" t="s">
        <v>97</v>
      </c>
      <c r="B19" t="s">
        <v>2097</v>
      </c>
      <c r="C19" t="s">
        <v>2098</v>
      </c>
      <c r="D19" t="s">
        <v>2081</v>
      </c>
      <c r="E19" t="s">
        <v>2081</v>
      </c>
      <c r="F19" t="s">
        <v>2099</v>
      </c>
      <c r="G19" t="s">
        <v>2085</v>
      </c>
      <c r="H19" t="s">
        <v>24</v>
      </c>
      <c r="I19">
        <v>980</v>
      </c>
      <c r="J19">
        <v>410</v>
      </c>
      <c r="K19">
        <v>68</v>
      </c>
    </row>
    <row r="20" spans="1:11">
      <c r="A20" t="s">
        <v>152</v>
      </c>
      <c r="B20" t="s">
        <v>2100</v>
      </c>
      <c r="C20" t="s">
        <v>2101</v>
      </c>
      <c r="D20" t="s">
        <v>2088</v>
      </c>
      <c r="E20" t="s">
        <v>2088</v>
      </c>
      <c r="F20" t="s">
        <v>2089</v>
      </c>
      <c r="G20" t="s">
        <v>2089</v>
      </c>
      <c r="H20" t="s">
        <v>24</v>
      </c>
      <c r="I20">
        <v>950</v>
      </c>
      <c r="J20">
        <v>385</v>
      </c>
      <c r="K20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1954-5AFA-4927-827D-F973063BE728}">
  <dimension ref="A1:T326"/>
  <sheetViews>
    <sheetView topLeftCell="A182" zoomScaleNormal="100" workbookViewId="0">
      <selection activeCell="I331" sqref="I331"/>
    </sheetView>
  </sheetViews>
  <sheetFormatPr defaultColWidth="9.140625" defaultRowHeight="15"/>
  <cols>
    <col min="1" max="1" width="10.85546875" bestFit="1" customWidth="1"/>
    <col min="2" max="2" width="15.140625" customWidth="1"/>
    <col min="3" max="3" width="12.28515625" bestFit="1" customWidth="1"/>
    <col min="4" max="4" width="18.28515625" customWidth="1"/>
    <col min="5" max="5" width="23.140625" bestFit="1" customWidth="1"/>
    <col min="6" max="6" width="11.7109375" customWidth="1"/>
    <col min="7" max="7" width="15.42578125" customWidth="1"/>
    <col min="8" max="8" width="19.140625" customWidth="1"/>
    <col min="9" max="9" width="19.85546875" customWidth="1"/>
    <col min="10" max="10" width="22.7109375" bestFit="1" customWidth="1"/>
    <col min="11" max="11" width="22.7109375" customWidth="1"/>
    <col min="13" max="13" width="40.5703125" customWidth="1"/>
    <col min="14" max="14" width="22.28515625" bestFit="1" customWidth="1"/>
    <col min="15" max="15" width="24" customWidth="1"/>
    <col min="16" max="16" width="27.28515625" customWidth="1"/>
    <col min="17" max="17" width="26.85546875" bestFit="1" customWidth="1"/>
    <col min="18" max="18" width="14.7109375" customWidth="1"/>
    <col min="19" max="19" width="13.5703125" customWidth="1"/>
    <col min="20" max="20" width="24" customWidth="1"/>
    <col min="21" max="21" width="21" bestFit="1" customWidth="1"/>
    <col min="22" max="22" width="20" bestFit="1" customWidth="1"/>
    <col min="23" max="23" width="17.42578125" customWidth="1"/>
  </cols>
  <sheetData>
    <row r="1" spans="1:17" ht="15.75" customHeight="1">
      <c r="A1" t="s">
        <v>2102</v>
      </c>
      <c r="B1" t="s">
        <v>2104</v>
      </c>
      <c r="C1" t="s">
        <v>4</v>
      </c>
      <c r="D1" t="s">
        <v>5</v>
      </c>
      <c r="E1" t="s">
        <v>2105</v>
      </c>
      <c r="F1" t="s">
        <v>2106</v>
      </c>
      <c r="G1" t="s">
        <v>2107</v>
      </c>
      <c r="H1" t="s">
        <v>2108</v>
      </c>
      <c r="I1" t="s">
        <v>2109</v>
      </c>
      <c r="J1" t="s">
        <v>2110</v>
      </c>
      <c r="K1" t="s">
        <v>2044</v>
      </c>
    </row>
    <row r="2" spans="1:17" ht="15" customHeight="1">
      <c r="A2" t="s">
        <v>2238</v>
      </c>
      <c r="B2" t="s">
        <v>2112</v>
      </c>
      <c r="C2" t="s">
        <v>133</v>
      </c>
      <c r="D2" t="s">
        <v>133</v>
      </c>
      <c r="E2" t="s">
        <v>2113</v>
      </c>
      <c r="F2" t="s">
        <v>2114</v>
      </c>
      <c r="G2">
        <v>980</v>
      </c>
      <c r="H2">
        <v>1126.25</v>
      </c>
      <c r="I2" t="s">
        <v>2239</v>
      </c>
      <c r="K2" t="str">
        <f>_xlfn.XLOOKUP(Table4[[#This Row],[ProductID_Clean]],Table3[ProductID],Table3[BU],"Missing Value",0)</f>
        <v>Field Services</v>
      </c>
      <c r="M2" s="6" t="s">
        <v>4</v>
      </c>
      <c r="N2" s="8" t="s">
        <v>2621</v>
      </c>
      <c r="O2" s="8" t="s">
        <v>2622</v>
      </c>
      <c r="P2" s="8" t="s">
        <v>2623</v>
      </c>
      <c r="Q2" s="8" t="s">
        <v>2624</v>
      </c>
    </row>
    <row r="3" spans="1:17">
      <c r="A3" t="s">
        <v>2240</v>
      </c>
      <c r="B3" t="s">
        <v>2112</v>
      </c>
      <c r="C3" t="s">
        <v>133</v>
      </c>
      <c r="D3" t="s">
        <v>133</v>
      </c>
      <c r="E3" t="s">
        <v>2123</v>
      </c>
      <c r="F3" t="s">
        <v>2124</v>
      </c>
      <c r="G3">
        <v>220</v>
      </c>
      <c r="H3">
        <v>217.99</v>
      </c>
      <c r="I3" t="s">
        <v>2239</v>
      </c>
      <c r="K3" t="str">
        <f>_xlfn.XLOOKUP(Table4[[#This Row],[ProductID_Clean]],Table3[ProductID],Table3[BU],"Missing Value",0)</f>
        <v>Field Services</v>
      </c>
      <c r="M3" s="23" t="s">
        <v>133</v>
      </c>
      <c r="N3" s="7">
        <f>_xlfn.XLOOKUP(Table15[[#This Row],[ProductID]],Table3[ProductID],Table3[StdVarCost_Clean])</f>
        <v>980</v>
      </c>
      <c r="O3" s="7">
        <f>_xlfn.XLOOKUP(Table15[[#This Row],[ProductID]],Table4[ProductID_Clean],Table4[ActualCost_Clean])</f>
        <v>1126.25</v>
      </c>
      <c r="P3" s="7">
        <f>Table15[[#This Row],[Standard Variable Cost]]-Table15[[#This Row],[Actual Variable Cost]]</f>
        <v>-146.25</v>
      </c>
      <c r="Q3" s="21">
        <f>Table15[[#This Row],[Cost Variance vs Standard]]/Table15[[#This Row],[Standard Variable Cost]]</f>
        <v>-0.14923469387755103</v>
      </c>
    </row>
    <row r="4" spans="1:17">
      <c r="A4" t="s">
        <v>2241</v>
      </c>
      <c r="B4" t="s">
        <v>2117</v>
      </c>
      <c r="C4" t="s">
        <v>133</v>
      </c>
      <c r="D4" t="s">
        <v>133</v>
      </c>
      <c r="E4" t="s">
        <v>2113</v>
      </c>
      <c r="F4" t="s">
        <v>2114</v>
      </c>
      <c r="G4">
        <v>980</v>
      </c>
      <c r="H4">
        <v>1124.28</v>
      </c>
      <c r="I4" t="s">
        <v>2239</v>
      </c>
      <c r="K4" t="str">
        <f>_xlfn.XLOOKUP(Table4[[#This Row],[ProductID_Clean]],Table3[ProductID],Table3[BU],"Missing Value",0)</f>
        <v>Field Services</v>
      </c>
      <c r="M4" s="23" t="s">
        <v>81</v>
      </c>
      <c r="N4" s="7">
        <f>_xlfn.XLOOKUP(Table15[[#This Row],[ProductID]],Table3[ProductID],Table3[StdVarCost_Clean])</f>
        <v>1120</v>
      </c>
      <c r="O4" s="7">
        <f>_xlfn.XLOOKUP(Table15[[#This Row],[ProductID]],Table4[ProductID_Clean],Table4[ActualCost_Clean])</f>
        <v>1263.71</v>
      </c>
      <c r="P4" s="7">
        <f>Table15[[#This Row],[Standard Variable Cost]]-Table15[[#This Row],[Actual Variable Cost]]</f>
        <v>-143.71000000000004</v>
      </c>
      <c r="Q4" s="21">
        <f>Table15[[#This Row],[Cost Variance vs Standard]]/Table15[[#This Row],[Standard Variable Cost]]</f>
        <v>-0.12831250000000002</v>
      </c>
    </row>
    <row r="5" spans="1:17">
      <c r="A5" t="s">
        <v>2242</v>
      </c>
      <c r="B5" t="s">
        <v>2117</v>
      </c>
      <c r="C5" t="s">
        <v>133</v>
      </c>
      <c r="D5" t="s">
        <v>133</v>
      </c>
      <c r="E5" t="s">
        <v>2123</v>
      </c>
      <c r="F5" t="s">
        <v>2124</v>
      </c>
      <c r="G5">
        <v>220</v>
      </c>
      <c r="H5">
        <v>211.2</v>
      </c>
      <c r="I5" t="s">
        <v>2239</v>
      </c>
      <c r="K5" t="str">
        <f>_xlfn.XLOOKUP(Table4[[#This Row],[ProductID_Clean]],Table3[ProductID],Table3[BU],"Missing Value",0)</f>
        <v>Field Services</v>
      </c>
      <c r="M5" s="23" t="s">
        <v>216</v>
      </c>
      <c r="N5" s="7">
        <f>_xlfn.XLOOKUP(Table15[[#This Row],[ProductID]],Table3[ProductID],Table3[StdVarCost_Clean])</f>
        <v>1850</v>
      </c>
      <c r="O5" s="7">
        <f>_xlfn.XLOOKUP(Table15[[#This Row],[ProductID]],Table4[ProductID_Clean],Table4[ActualCost_Clean])</f>
        <v>2111.06</v>
      </c>
      <c r="P5" s="7">
        <f>Table15[[#This Row],[Standard Variable Cost]]-Table15[[#This Row],[Actual Variable Cost]]</f>
        <v>-261.05999999999995</v>
      </c>
      <c r="Q5" s="21">
        <f>Table15[[#This Row],[Cost Variance vs Standard]]/Table15[[#This Row],[Standard Variable Cost]]</f>
        <v>-0.14111351351351348</v>
      </c>
    </row>
    <row r="6" spans="1:17">
      <c r="A6" t="s">
        <v>2243</v>
      </c>
      <c r="B6" t="s">
        <v>2170</v>
      </c>
      <c r="C6" t="s">
        <v>133</v>
      </c>
      <c r="D6" t="s">
        <v>133</v>
      </c>
      <c r="E6" t="s">
        <v>2113</v>
      </c>
      <c r="F6" t="s">
        <v>2114</v>
      </c>
      <c r="G6">
        <v>980</v>
      </c>
      <c r="H6">
        <v>1108.08</v>
      </c>
      <c r="I6" t="s">
        <v>2239</v>
      </c>
      <c r="K6" t="str">
        <f>_xlfn.XLOOKUP(Table4[[#This Row],[ProductID_Clean]],Table3[ProductID],Table3[BU],"Missing Value",0)</f>
        <v>Field Services</v>
      </c>
      <c r="M6" s="24" t="s">
        <v>432</v>
      </c>
      <c r="N6">
        <f>_xlfn.XLOOKUP(Table15[[#This Row],[ProductID]],Table3[ProductID],Table3[StdVarCost_Clean])</f>
        <v>1650</v>
      </c>
      <c r="O6">
        <f>_xlfn.XLOOKUP(Table15[[#This Row],[ProductID]],Table4[ProductID_Clean],Table4[ActualCost_Clean])</f>
        <v>2021.96</v>
      </c>
      <c r="P6">
        <f>Table15[[#This Row],[Standard Variable Cost]]-Table15[[#This Row],[Actual Variable Cost]]</f>
        <v>-371.96000000000004</v>
      </c>
      <c r="Q6" s="21">
        <f>Table15[[#This Row],[Cost Variance vs Standard]]/Table15[[#This Row],[Standard Variable Cost]]</f>
        <v>-0.22543030303030306</v>
      </c>
    </row>
    <row r="7" spans="1:17">
      <c r="A7" t="s">
        <v>2244</v>
      </c>
      <c r="B7" t="s">
        <v>2170</v>
      </c>
      <c r="C7" t="s">
        <v>133</v>
      </c>
      <c r="D7" t="s">
        <v>133</v>
      </c>
      <c r="E7" t="s">
        <v>2123</v>
      </c>
      <c r="F7" t="s">
        <v>2124</v>
      </c>
      <c r="G7">
        <v>220</v>
      </c>
      <c r="H7">
        <v>224.06</v>
      </c>
      <c r="I7" t="s">
        <v>2239</v>
      </c>
      <c r="K7" t="str">
        <f>_xlfn.XLOOKUP(Table4[[#This Row],[ProductID_Clean]],Table3[ProductID],Table3[BU],"Missing Value",0)</f>
        <v>Field Services</v>
      </c>
      <c r="M7" s="24" t="s">
        <v>101</v>
      </c>
      <c r="N7">
        <f>_xlfn.XLOOKUP(Table15[[#This Row],[ProductID]],Table3[ProductID],Table3[StdVarCost_Clean])</f>
        <v>420</v>
      </c>
      <c r="O7">
        <f>_xlfn.XLOOKUP(Table15[[#This Row],[ProductID]],Table4[ProductID_Clean],Table4[ActualCost_Clean])</f>
        <v>408.11</v>
      </c>
      <c r="P7">
        <f>Table15[[#This Row],[Standard Variable Cost]]-Table15[[#This Row],[Actual Variable Cost]]</f>
        <v>11.889999999999986</v>
      </c>
      <c r="Q7" s="21">
        <f>Table15[[#This Row],[Cost Variance vs Standard]]/Table15[[#This Row],[Standard Variable Cost]]</f>
        <v>2.8309523809523778E-2</v>
      </c>
    </row>
    <row r="8" spans="1:17">
      <c r="A8" t="s">
        <v>2245</v>
      </c>
      <c r="B8" t="s">
        <v>2120</v>
      </c>
      <c r="C8" t="s">
        <v>133</v>
      </c>
      <c r="D8" t="s">
        <v>133</v>
      </c>
      <c r="E8" t="s">
        <v>2113</v>
      </c>
      <c r="F8" t="s">
        <v>2114</v>
      </c>
      <c r="G8">
        <v>980</v>
      </c>
      <c r="H8">
        <v>1123.73</v>
      </c>
      <c r="I8" t="s">
        <v>2239</v>
      </c>
      <c r="K8" t="str">
        <f>_xlfn.XLOOKUP(Table4[[#This Row],[ProductID_Clean]],Table3[ProductID],Table3[BU],"Missing Value",0)</f>
        <v>Field Services</v>
      </c>
      <c r="M8" s="24" t="s">
        <v>92</v>
      </c>
      <c r="N8">
        <f>_xlfn.XLOOKUP(Table15[[#This Row],[ProductID]],Table3[ProductID],Table3[StdVarCost_Clean])</f>
        <v>380</v>
      </c>
      <c r="O8">
        <f>_xlfn.XLOOKUP(Table15[[#This Row],[ProductID]],Table4[ProductID_Clean],Table4[ActualCost_Clean])</f>
        <v>391.05</v>
      </c>
      <c r="P8">
        <f>Table15[[#This Row],[Standard Variable Cost]]-Table15[[#This Row],[Actual Variable Cost]]</f>
        <v>-11.050000000000011</v>
      </c>
      <c r="Q8" s="21">
        <f>Table15[[#This Row],[Cost Variance vs Standard]]/Table15[[#This Row],[Standard Variable Cost]]</f>
        <v>-2.9078947368421083E-2</v>
      </c>
    </row>
    <row r="9" spans="1:17">
      <c r="A9" t="s">
        <v>2246</v>
      </c>
      <c r="B9" t="s">
        <v>2120</v>
      </c>
      <c r="C9" t="s">
        <v>133</v>
      </c>
      <c r="D9" t="s">
        <v>133</v>
      </c>
      <c r="E9" t="s">
        <v>2123</v>
      </c>
      <c r="F9" t="s">
        <v>2124</v>
      </c>
      <c r="G9">
        <v>220</v>
      </c>
      <c r="H9">
        <v>220.46</v>
      </c>
      <c r="I9" t="s">
        <v>2239</v>
      </c>
      <c r="K9" t="str">
        <f>_xlfn.XLOOKUP(Table4[[#This Row],[ProductID_Clean]],Table3[ProductID],Table3[BU],"Missing Value",0)</f>
        <v>Field Services</v>
      </c>
      <c r="M9" s="24" t="s">
        <v>68</v>
      </c>
      <c r="N9">
        <f>_xlfn.XLOOKUP(Table15[[#This Row],[ProductID]],Table3[ProductID],Table3[StdVarCost_Clean])</f>
        <v>185</v>
      </c>
      <c r="O9">
        <f>_xlfn.XLOOKUP(Table15[[#This Row],[ProductID]],Table4[ProductID_Clean],Table4[ActualCost_Clean])</f>
        <v>200.94</v>
      </c>
      <c r="P9">
        <f>Table15[[#This Row],[Standard Variable Cost]]-Table15[[#This Row],[Actual Variable Cost]]</f>
        <v>-15.939999999999998</v>
      </c>
      <c r="Q9" s="21">
        <f>Table15[[#This Row],[Cost Variance vs Standard]]/Table15[[#This Row],[Standard Variable Cost]]</f>
        <v>-8.6162162162162145E-2</v>
      </c>
    </row>
    <row r="10" spans="1:17">
      <c r="A10" t="s">
        <v>2247</v>
      </c>
      <c r="B10" t="s">
        <v>2206</v>
      </c>
      <c r="C10" t="s">
        <v>133</v>
      </c>
      <c r="D10" t="s">
        <v>133</v>
      </c>
      <c r="E10" t="s">
        <v>2113</v>
      </c>
      <c r="F10" t="s">
        <v>2114</v>
      </c>
      <c r="G10">
        <v>980</v>
      </c>
      <c r="H10">
        <v>1153.56</v>
      </c>
      <c r="I10" t="s">
        <v>2239</v>
      </c>
      <c r="K10" t="str">
        <f>_xlfn.XLOOKUP(Table4[[#This Row],[ProductID_Clean]],Table3[ProductID],Table3[BU],"Missing Value",0)</f>
        <v>Field Services</v>
      </c>
      <c r="M10" s="24" t="s">
        <v>147</v>
      </c>
      <c r="N10">
        <f>_xlfn.XLOOKUP(Table15[[#This Row],[ProductID]],Table3[ProductID],Table3[StdVarCost_Clean])</f>
        <v>420</v>
      </c>
      <c r="O10">
        <f>_xlfn.XLOOKUP(Table15[[#This Row],[ProductID]],Table4[ProductID_Clean],Table4[ActualCost_Clean])</f>
        <v>403.51</v>
      </c>
      <c r="P10">
        <f>Table15[[#This Row],[Standard Variable Cost]]-Table15[[#This Row],[Actual Variable Cost]]</f>
        <v>16.490000000000009</v>
      </c>
      <c r="Q10" s="21">
        <f>Table15[[#This Row],[Cost Variance vs Standard]]/Table15[[#This Row],[Standard Variable Cost]]</f>
        <v>3.9261904761904783E-2</v>
      </c>
    </row>
    <row r="11" spans="1:17">
      <c r="A11" t="s">
        <v>2248</v>
      </c>
      <c r="B11" t="s">
        <v>2206</v>
      </c>
      <c r="C11" t="s">
        <v>133</v>
      </c>
      <c r="D11" t="s">
        <v>133</v>
      </c>
      <c r="E11" t="s">
        <v>2123</v>
      </c>
      <c r="F11" t="s">
        <v>2124</v>
      </c>
      <c r="G11">
        <v>220</v>
      </c>
      <c r="H11">
        <v>213.28</v>
      </c>
      <c r="I11" t="s">
        <v>2239</v>
      </c>
      <c r="K11" t="str">
        <f>_xlfn.XLOOKUP(Table4[[#This Row],[ProductID_Clean]],Table3[ProductID],Table3[BU],"Missing Value",0)</f>
        <v>Field Services</v>
      </c>
      <c r="M11" s="24" t="s">
        <v>51</v>
      </c>
      <c r="N11">
        <f>_xlfn.XLOOKUP(Table15[[#This Row],[ProductID]],Table3[ProductID],Table3[StdVarCost_Clean])</f>
        <v>95</v>
      </c>
      <c r="O11">
        <f>_xlfn.XLOOKUP(Table15[[#This Row],[ProductID]],Table4[ProductID_Clean],Table4[ActualCost_Clean])</f>
        <v>93.7</v>
      </c>
      <c r="P11">
        <f>Table15[[#This Row],[Standard Variable Cost]]-Table15[[#This Row],[Actual Variable Cost]]</f>
        <v>1.2999999999999972</v>
      </c>
      <c r="Q11" s="21">
        <f>Table15[[#This Row],[Cost Variance vs Standard]]/Table15[[#This Row],[Standard Variable Cost]]</f>
        <v>1.3684210526315759E-2</v>
      </c>
    </row>
    <row r="12" spans="1:17">
      <c r="A12" t="s">
        <v>2249</v>
      </c>
      <c r="B12" t="s">
        <v>2122</v>
      </c>
      <c r="C12" t="s">
        <v>133</v>
      </c>
      <c r="D12" t="s">
        <v>133</v>
      </c>
      <c r="E12" t="s">
        <v>2113</v>
      </c>
      <c r="F12" t="s">
        <v>2114</v>
      </c>
      <c r="G12">
        <v>980</v>
      </c>
      <c r="H12">
        <v>1118.05</v>
      </c>
      <c r="I12" t="s">
        <v>2239</v>
      </c>
      <c r="K12" t="str">
        <f>_xlfn.XLOOKUP(Table4[[#This Row],[ProductID_Clean]],Table3[ProductID],Table3[BU],"Missing Value",0)</f>
        <v>Field Services</v>
      </c>
      <c r="M12" s="24" t="s">
        <v>86</v>
      </c>
      <c r="N12">
        <f>_xlfn.XLOOKUP(Table15[[#This Row],[ProductID]],Table3[ProductID],Table3[StdVarCost_Clean])</f>
        <v>65</v>
      </c>
      <c r="O12">
        <f>_xlfn.XLOOKUP(Table15[[#This Row],[ProductID]],Table4[ProductID_Clean],Table4[ActualCost_Clean])</f>
        <v>66.33</v>
      </c>
      <c r="P12">
        <f>Table15[[#This Row],[Standard Variable Cost]]-Table15[[#This Row],[Actual Variable Cost]]</f>
        <v>-1.3299999999999983</v>
      </c>
      <c r="Q12" s="21">
        <f>Table15[[#This Row],[Cost Variance vs Standard]]/Table15[[#This Row],[Standard Variable Cost]]</f>
        <v>-2.0461538461538434E-2</v>
      </c>
    </row>
    <row r="13" spans="1:17">
      <c r="A13" t="s">
        <v>2250</v>
      </c>
      <c r="B13" t="s">
        <v>2122</v>
      </c>
      <c r="C13" t="s">
        <v>133</v>
      </c>
      <c r="D13" t="s">
        <v>133</v>
      </c>
      <c r="E13" t="s">
        <v>2123</v>
      </c>
      <c r="F13" t="s">
        <v>2124</v>
      </c>
      <c r="G13">
        <v>220</v>
      </c>
      <c r="H13">
        <v>213.4</v>
      </c>
      <c r="I13" t="s">
        <v>2239</v>
      </c>
      <c r="K13" t="str">
        <f>_xlfn.XLOOKUP(Table4[[#This Row],[ProductID_Clean]],Table3[ProductID],Table3[BU],"Missing Value",0)</f>
        <v>Field Services</v>
      </c>
      <c r="M13" s="24" t="s">
        <v>62</v>
      </c>
      <c r="N13">
        <f>_xlfn.XLOOKUP(Table15[[#This Row],[ProductID]],Table3[ProductID],Table3[StdVarCost_Clean])</f>
        <v>140</v>
      </c>
      <c r="O13">
        <f>_xlfn.XLOOKUP(Table15[[#This Row],[ProductID]],Table4[ProductID_Clean],Table4[ActualCost_Clean])</f>
        <v>253.97</v>
      </c>
      <c r="P13">
        <f>Table15[[#This Row],[Standard Variable Cost]]-Table15[[#This Row],[Actual Variable Cost]]</f>
        <v>-113.97</v>
      </c>
      <c r="Q13" s="21">
        <f>Table15[[#This Row],[Cost Variance vs Standard]]/Table15[[#This Row],[Standard Variable Cost]]</f>
        <v>-0.81407142857142856</v>
      </c>
    </row>
    <row r="14" spans="1:17">
      <c r="A14" t="s">
        <v>2251</v>
      </c>
      <c r="B14" t="s">
        <v>2112</v>
      </c>
      <c r="C14" t="s">
        <v>81</v>
      </c>
      <c r="D14" t="s">
        <v>81</v>
      </c>
      <c r="E14" t="s">
        <v>2113</v>
      </c>
      <c r="F14" t="s">
        <v>2114</v>
      </c>
      <c r="G14">
        <v>1120</v>
      </c>
      <c r="H14">
        <v>1263.71</v>
      </c>
      <c r="I14" t="s">
        <v>2239</v>
      </c>
      <c r="K14" t="str">
        <f>_xlfn.XLOOKUP(Table4[[#This Row],[ProductID_Clean]],Table3[ProductID],Table3[BU],"Missing Value",0)</f>
        <v>Field Services</v>
      </c>
      <c r="M14" s="24" t="s">
        <v>72</v>
      </c>
      <c r="N14">
        <f>_xlfn.XLOOKUP(Table15[[#This Row],[ProductID]],Table3[ProductID],Table3[StdVarCost_Clean])</f>
        <v>187.5</v>
      </c>
      <c r="O14">
        <f>_xlfn.XLOOKUP(Table15[[#This Row],[ProductID]],Table4[ProductID_Clean],Table4[ActualCost_Clean])</f>
        <v>185.89</v>
      </c>
      <c r="P14">
        <f>Table15[[#This Row],[Standard Variable Cost]]-Table15[[#This Row],[Actual Variable Cost]]</f>
        <v>1.6100000000000136</v>
      </c>
      <c r="Q14" s="21">
        <f>Table15[[#This Row],[Cost Variance vs Standard]]/Table15[[#This Row],[Standard Variable Cost]]</f>
        <v>8.5866666666667389E-3</v>
      </c>
    </row>
    <row r="15" spans="1:17">
      <c r="A15" t="s">
        <v>2252</v>
      </c>
      <c r="B15" t="s">
        <v>2112</v>
      </c>
      <c r="C15" t="s">
        <v>81</v>
      </c>
      <c r="D15" t="s">
        <v>81</v>
      </c>
      <c r="E15" t="s">
        <v>2123</v>
      </c>
      <c r="F15" t="s">
        <v>2124</v>
      </c>
      <c r="G15">
        <v>280</v>
      </c>
      <c r="H15">
        <v>301.18</v>
      </c>
      <c r="I15" t="s">
        <v>2239</v>
      </c>
      <c r="K15" t="str">
        <f>_xlfn.XLOOKUP(Table4[[#This Row],[ProductID_Clean]],Table3[ProductID],Table3[BU],"Missing Value",0)</f>
        <v>Field Services</v>
      </c>
      <c r="M15" s="24" t="s">
        <v>31</v>
      </c>
      <c r="N15">
        <f>_xlfn.XLOOKUP(Table15[[#This Row],[ProductID]],Table3[ProductID],Table3[StdVarCost_Clean])</f>
        <v>298</v>
      </c>
      <c r="O15">
        <f>_xlfn.XLOOKUP(Table15[[#This Row],[ProductID]],Table4[ProductID_Clean],Table4[ActualCost_Clean])</f>
        <v>304.11</v>
      </c>
      <c r="P15">
        <f>Table15[[#This Row],[Standard Variable Cost]]-Table15[[#This Row],[Actual Variable Cost]]</f>
        <v>-6.1100000000000136</v>
      </c>
      <c r="Q15" s="21">
        <f>Table15[[#This Row],[Cost Variance vs Standard]]/Table15[[#This Row],[Standard Variable Cost]]</f>
        <v>-2.0503355704698033E-2</v>
      </c>
    </row>
    <row r="16" spans="1:17">
      <c r="A16" t="s">
        <v>2253</v>
      </c>
      <c r="B16" t="s">
        <v>2117</v>
      </c>
      <c r="C16" t="s">
        <v>81</v>
      </c>
      <c r="D16" t="s">
        <v>81</v>
      </c>
      <c r="E16" t="s">
        <v>2113</v>
      </c>
      <c r="F16" t="s">
        <v>2114</v>
      </c>
      <c r="G16">
        <v>1120</v>
      </c>
      <c r="H16">
        <v>1242.76</v>
      </c>
      <c r="I16" t="s">
        <v>2239</v>
      </c>
      <c r="K16" t="str">
        <f>_xlfn.XLOOKUP(Table4[[#This Row],[ProductID_Clean]],Table3[ProductID],Table3[BU],"Missing Value",0)</f>
        <v>Field Services</v>
      </c>
      <c r="M16" s="24" t="s">
        <v>39</v>
      </c>
      <c r="N16">
        <f>_xlfn.XLOOKUP(Table15[[#This Row],[ProductID]],Table3[ProductID],Table3[StdVarCost_Clean])</f>
        <v>712</v>
      </c>
      <c r="O16">
        <f>_xlfn.XLOOKUP(Table15[[#This Row],[ProductID]],Table4[ProductID_Clean],Table4[ActualCost_Clean])</f>
        <v>794.9</v>
      </c>
      <c r="P16">
        <f>Table15[[#This Row],[Standard Variable Cost]]-Table15[[#This Row],[Actual Variable Cost]]</f>
        <v>-82.899999999999977</v>
      </c>
      <c r="Q16" s="21">
        <f>Table15[[#This Row],[Cost Variance vs Standard]]/Table15[[#This Row],[Standard Variable Cost]]</f>
        <v>-0.11643258426966289</v>
      </c>
    </row>
    <row r="17" spans="1:17">
      <c r="A17" t="s">
        <v>2254</v>
      </c>
      <c r="B17" t="s">
        <v>2117</v>
      </c>
      <c r="C17" t="s">
        <v>81</v>
      </c>
      <c r="D17" t="s">
        <v>81</v>
      </c>
      <c r="E17" t="s">
        <v>2123</v>
      </c>
      <c r="F17" t="s">
        <v>2124</v>
      </c>
      <c r="G17">
        <v>280</v>
      </c>
      <c r="H17">
        <v>290.14</v>
      </c>
      <c r="I17" t="s">
        <v>2239</v>
      </c>
      <c r="K17" t="str">
        <f>_xlfn.XLOOKUP(Table4[[#This Row],[ProductID_Clean]],Table3[ProductID],Table3[BU],"Missing Value",0)</f>
        <v>Field Services</v>
      </c>
      <c r="M17" s="24" t="s">
        <v>22</v>
      </c>
      <c r="N17">
        <f>_xlfn.XLOOKUP(Table15[[#This Row],[ProductID]],Table3[ProductID],Table3[StdVarCost_Clean])</f>
        <v>980</v>
      </c>
      <c r="O17">
        <f>_xlfn.XLOOKUP(Table15[[#This Row],[ProductID]],Table4[ProductID_Clean],Table4[ActualCost_Clean])</f>
        <v>1136.02</v>
      </c>
      <c r="P17">
        <f>Table15[[#This Row],[Standard Variable Cost]]-Table15[[#This Row],[Actual Variable Cost]]</f>
        <v>-156.01999999999998</v>
      </c>
      <c r="Q17" s="21">
        <f>Table15[[#This Row],[Cost Variance vs Standard]]/Table15[[#This Row],[Standard Variable Cost]]</f>
        <v>-0.15920408163265304</v>
      </c>
    </row>
    <row r="18" spans="1:17">
      <c r="A18" t="s">
        <v>2255</v>
      </c>
      <c r="B18" t="s">
        <v>2170</v>
      </c>
      <c r="C18" t="s">
        <v>81</v>
      </c>
      <c r="D18" t="s">
        <v>81</v>
      </c>
      <c r="E18" t="s">
        <v>2113</v>
      </c>
      <c r="F18" t="s">
        <v>2114</v>
      </c>
      <c r="G18">
        <v>1120</v>
      </c>
      <c r="H18">
        <v>1218.76</v>
      </c>
      <c r="I18" t="s">
        <v>2239</v>
      </c>
      <c r="K18" t="str">
        <f>_xlfn.XLOOKUP(Table4[[#This Row],[ProductID_Clean]],Table3[ProductID],Table3[BU],"Missing Value",0)</f>
        <v>Field Services</v>
      </c>
      <c r="M18" s="24" t="s">
        <v>57</v>
      </c>
      <c r="N18">
        <f>_xlfn.XLOOKUP(Table15[[#This Row],[ProductID]],Table3[ProductID],Table3[StdVarCost_Clean])</f>
        <v>445</v>
      </c>
      <c r="O18">
        <f>_xlfn.XLOOKUP(Table15[[#This Row],[ProductID]],Table4[ProductID_Clean],Table4[ActualCost_Clean])</f>
        <v>442.85</v>
      </c>
      <c r="P18">
        <f>Table15[[#This Row],[Standard Variable Cost]]-Table15[[#This Row],[Actual Variable Cost]]</f>
        <v>2.1499999999999773</v>
      </c>
      <c r="Q18" s="21">
        <f>Table15[[#This Row],[Cost Variance vs Standard]]/Table15[[#This Row],[Standard Variable Cost]]</f>
        <v>4.8314606741572527E-3</v>
      </c>
    </row>
    <row r="19" spans="1:17">
      <c r="A19" t="s">
        <v>2256</v>
      </c>
      <c r="B19" t="s">
        <v>2170</v>
      </c>
      <c r="C19" t="s">
        <v>81</v>
      </c>
      <c r="D19" t="s">
        <v>81</v>
      </c>
      <c r="E19" t="s">
        <v>2123</v>
      </c>
      <c r="F19" t="s">
        <v>2124</v>
      </c>
      <c r="G19">
        <v>280</v>
      </c>
      <c r="H19">
        <v>277.74</v>
      </c>
      <c r="I19" t="s">
        <v>2239</v>
      </c>
      <c r="K19" t="str">
        <f>_xlfn.XLOOKUP(Table4[[#This Row],[ProductID_Clean]],Table3[ProductID],Table3[BU],"Missing Value",0)</f>
        <v>Field Services</v>
      </c>
      <c r="M19" s="24" t="s">
        <v>43</v>
      </c>
      <c r="N19">
        <f>_xlfn.XLOOKUP(Table15[[#This Row],[ProductID]],Table3[ProductID],Table3[StdVarCost_Clean])</f>
        <v>92</v>
      </c>
      <c r="O19">
        <f>_xlfn.XLOOKUP(Table15[[#This Row],[ProductID]],Table4[ProductID_Clean],Table4[ActualCost_Clean])</f>
        <v>97.08</v>
      </c>
      <c r="P19">
        <f>Table15[[#This Row],[Standard Variable Cost]]-Table15[[#This Row],[Actual Variable Cost]]</f>
        <v>-5.0799999999999983</v>
      </c>
      <c r="Q19" s="21">
        <f>Table15[[#This Row],[Cost Variance vs Standard]]/Table15[[#This Row],[Standard Variable Cost]]</f>
        <v>-5.5217391304347808E-2</v>
      </c>
    </row>
    <row r="20" spans="1:17">
      <c r="A20" t="s">
        <v>2257</v>
      </c>
      <c r="B20" t="s">
        <v>2120</v>
      </c>
      <c r="C20" t="s">
        <v>81</v>
      </c>
      <c r="D20" t="s">
        <v>81</v>
      </c>
      <c r="E20" t="s">
        <v>2113</v>
      </c>
      <c r="F20" t="s">
        <v>2114</v>
      </c>
      <c r="G20">
        <v>1120</v>
      </c>
      <c r="H20">
        <v>1247.48</v>
      </c>
      <c r="I20" t="s">
        <v>2239</v>
      </c>
      <c r="K20" t="str">
        <f>_xlfn.XLOOKUP(Table4[[#This Row],[ProductID_Clean]],Table3[ProductID],Table3[BU],"Missing Value",0)</f>
        <v>Field Services</v>
      </c>
      <c r="M20" s="24" t="s">
        <v>97</v>
      </c>
      <c r="N20">
        <f>_xlfn.XLOOKUP(Table15[[#This Row],[ProductID]],Table3[ProductID],Table3[StdVarCost_Clean])</f>
        <v>410</v>
      </c>
      <c r="O20">
        <f>_xlfn.XLOOKUP(Table15[[#This Row],[ProductID]],Table4[ProductID_Clean],Table4[ActualCost_Clean])</f>
        <v>444.44</v>
      </c>
      <c r="P20">
        <f>Table15[[#This Row],[Standard Variable Cost]]-Table15[[#This Row],[Actual Variable Cost]]</f>
        <v>-34.44</v>
      </c>
      <c r="Q20" s="21">
        <f>Table15[[#This Row],[Cost Variance vs Standard]]/Table15[[#This Row],[Standard Variable Cost]]</f>
        <v>-8.3999999999999991E-2</v>
      </c>
    </row>
    <row r="21" spans="1:17">
      <c r="A21" t="s">
        <v>2258</v>
      </c>
      <c r="B21" t="s">
        <v>2120</v>
      </c>
      <c r="C21" t="s">
        <v>81</v>
      </c>
      <c r="D21" t="s">
        <v>81</v>
      </c>
      <c r="E21" t="s">
        <v>2123</v>
      </c>
      <c r="F21" t="s">
        <v>2124</v>
      </c>
      <c r="G21">
        <v>280</v>
      </c>
      <c r="H21">
        <v>290.36</v>
      </c>
      <c r="I21" t="s">
        <v>2239</v>
      </c>
      <c r="K21" t="str">
        <f>_xlfn.XLOOKUP(Table4[[#This Row],[ProductID_Clean]],Table3[ProductID],Table3[BU],"Missing Value",0)</f>
        <v>Field Services</v>
      </c>
      <c r="M21" s="24" t="s">
        <v>152</v>
      </c>
      <c r="N21">
        <f>_xlfn.XLOOKUP(Table15[[#This Row],[ProductID]],Table3[ProductID],Table3[StdVarCost_Clean])</f>
        <v>385</v>
      </c>
      <c r="O21">
        <f>_xlfn.XLOOKUP(Table15[[#This Row],[ProductID]],Table4[ProductID_Clean],Table4[ActualCost_Clean])</f>
        <v>386.6</v>
      </c>
      <c r="P21">
        <f>Table15[[#This Row],[Standard Variable Cost]]-Table15[[#This Row],[Actual Variable Cost]]</f>
        <v>-1.6000000000000227</v>
      </c>
      <c r="Q21" s="21">
        <f>Table15[[#This Row],[Cost Variance vs Standard]]/Table15[[#This Row],[Standard Variable Cost]]</f>
        <v>-4.1558441558442148E-3</v>
      </c>
    </row>
    <row r="22" spans="1:17">
      <c r="A22" t="s">
        <v>2259</v>
      </c>
      <c r="B22" t="s">
        <v>2206</v>
      </c>
      <c r="C22" t="s">
        <v>81</v>
      </c>
      <c r="D22" t="s">
        <v>81</v>
      </c>
      <c r="E22" t="s">
        <v>2113</v>
      </c>
      <c r="F22" t="s">
        <v>2114</v>
      </c>
      <c r="G22">
        <v>1120</v>
      </c>
      <c r="H22">
        <v>1247.2</v>
      </c>
      <c r="I22" t="s">
        <v>2239</v>
      </c>
      <c r="K22" t="str">
        <f>_xlfn.XLOOKUP(Table4[[#This Row],[ProductID_Clean]],Table3[ProductID],Table3[BU],"Missing Value",0)</f>
        <v>Field Services</v>
      </c>
    </row>
    <row r="23" spans="1:17">
      <c r="A23" t="s">
        <v>2260</v>
      </c>
      <c r="B23" t="s">
        <v>2206</v>
      </c>
      <c r="C23" t="s">
        <v>81</v>
      </c>
      <c r="D23" t="s">
        <v>81</v>
      </c>
      <c r="E23" t="s">
        <v>2261</v>
      </c>
      <c r="F23" t="s">
        <v>2124</v>
      </c>
      <c r="G23">
        <v>280</v>
      </c>
      <c r="H23">
        <v>283.91000000000003</v>
      </c>
      <c r="I23" t="s">
        <v>2239</v>
      </c>
      <c r="K23" t="str">
        <f>_xlfn.XLOOKUP(Table4[[#This Row],[ProductID_Clean]],Table3[ProductID],Table3[BU],"Missing Value",0)</f>
        <v>Field Services</v>
      </c>
      <c r="M23" t="s">
        <v>2625</v>
      </c>
    </row>
    <row r="24" spans="1:17">
      <c r="A24" t="s">
        <v>2262</v>
      </c>
      <c r="B24" t="s">
        <v>2122</v>
      </c>
      <c r="C24" t="s">
        <v>81</v>
      </c>
      <c r="D24" t="s">
        <v>81</v>
      </c>
      <c r="E24" t="s">
        <v>2113</v>
      </c>
      <c r="F24" t="s">
        <v>2114</v>
      </c>
      <c r="G24">
        <v>1120</v>
      </c>
      <c r="H24">
        <v>1271.29</v>
      </c>
      <c r="I24" t="s">
        <v>2239</v>
      </c>
      <c r="K24" t="str">
        <f>_xlfn.XLOOKUP(Table4[[#This Row],[ProductID_Clean]],Table3[ProductID],Table3[BU],"Missing Value",0)</f>
        <v>Field Services</v>
      </c>
      <c r="M24" s="27" t="s">
        <v>2631</v>
      </c>
    </row>
    <row r="25" spans="1:17" ht="15" customHeight="1">
      <c r="A25" t="s">
        <v>2263</v>
      </c>
      <c r="B25" t="s">
        <v>2122</v>
      </c>
      <c r="C25" t="s">
        <v>81</v>
      </c>
      <c r="D25" t="s">
        <v>81</v>
      </c>
      <c r="E25" t="s">
        <v>2123</v>
      </c>
      <c r="F25" t="s">
        <v>2124</v>
      </c>
      <c r="G25">
        <v>280</v>
      </c>
      <c r="H25">
        <v>296.85000000000002</v>
      </c>
      <c r="I25" t="s">
        <v>2239</v>
      </c>
      <c r="K25" t="str">
        <f>_xlfn.XLOOKUP(Table4[[#This Row],[ProductID_Clean]],Table3[ProductID],Table3[BU],"Missing Value",0)</f>
        <v>Field Services</v>
      </c>
    </row>
    <row r="26" spans="1:17">
      <c r="A26" t="s">
        <v>2264</v>
      </c>
      <c r="B26" t="s">
        <v>2112</v>
      </c>
      <c r="C26" t="s">
        <v>216</v>
      </c>
      <c r="D26" t="s">
        <v>216</v>
      </c>
      <c r="E26" t="s">
        <v>2113</v>
      </c>
      <c r="F26" t="s">
        <v>2114</v>
      </c>
      <c r="G26">
        <v>1850</v>
      </c>
      <c r="H26">
        <v>2111.06</v>
      </c>
      <c r="I26" t="s">
        <v>2239</v>
      </c>
      <c r="K26" t="str">
        <f>_xlfn.XLOOKUP(Table4[[#This Row],[ProductID_Clean]],Table3[ProductID],Table3[BU],"Missing Value",0)</f>
        <v>Field Services</v>
      </c>
    </row>
    <row r="27" spans="1:17">
      <c r="A27" t="s">
        <v>2265</v>
      </c>
      <c r="B27" t="s">
        <v>2112</v>
      </c>
      <c r="C27" t="s">
        <v>216</v>
      </c>
      <c r="D27" t="s">
        <v>216</v>
      </c>
      <c r="E27" t="s">
        <v>2123</v>
      </c>
      <c r="F27" t="s">
        <v>2124</v>
      </c>
      <c r="G27">
        <v>410</v>
      </c>
      <c r="H27">
        <v>424.87</v>
      </c>
      <c r="I27" t="s">
        <v>2239</v>
      </c>
      <c r="K27" t="str">
        <f>_xlfn.XLOOKUP(Table4[[#This Row],[ProductID_Clean]],Table3[ProductID],Table3[BU],"Missing Value",0)</f>
        <v>Field Services</v>
      </c>
    </row>
    <row r="28" spans="1:17">
      <c r="A28" t="s">
        <v>2267</v>
      </c>
      <c r="B28" t="s">
        <v>2117</v>
      </c>
      <c r="C28" t="s">
        <v>216</v>
      </c>
      <c r="D28" t="s">
        <v>216</v>
      </c>
      <c r="E28" t="s">
        <v>2123</v>
      </c>
      <c r="F28" t="s">
        <v>2124</v>
      </c>
      <c r="G28">
        <v>410</v>
      </c>
      <c r="H28">
        <v>415.32</v>
      </c>
      <c r="I28" t="s">
        <v>2239</v>
      </c>
      <c r="K28" t="str">
        <f>_xlfn.XLOOKUP(Table4[[#This Row],[ProductID_Clean]],Table3[ProductID],Table3[BU],"Missing Value",0)</f>
        <v>Field Services</v>
      </c>
    </row>
    <row r="29" spans="1:17">
      <c r="A29" t="s">
        <v>2266</v>
      </c>
      <c r="B29" t="s">
        <v>2117</v>
      </c>
      <c r="C29" t="s">
        <v>216</v>
      </c>
      <c r="D29" t="s">
        <v>216</v>
      </c>
      <c r="E29" t="s">
        <v>2113</v>
      </c>
      <c r="F29" t="s">
        <v>2114</v>
      </c>
      <c r="G29">
        <v>1850</v>
      </c>
      <c r="H29">
        <v>2067.25</v>
      </c>
      <c r="I29" t="s">
        <v>2239</v>
      </c>
      <c r="K29" t="str">
        <f>_xlfn.XLOOKUP(Table4[[#This Row],[ProductID_Clean]],Table3[ProductID],Table3[BU],"Missing Value",0)</f>
        <v>Field Services</v>
      </c>
      <c r="M29" s="6" t="s">
        <v>2626</v>
      </c>
      <c r="N29" s="6" t="s">
        <v>2627</v>
      </c>
      <c r="O29" s="6" t="s">
        <v>2628</v>
      </c>
    </row>
    <row r="30" spans="1:17">
      <c r="A30" t="s">
        <v>2268</v>
      </c>
      <c r="B30" t="s">
        <v>2170</v>
      </c>
      <c r="C30" t="s">
        <v>216</v>
      </c>
      <c r="D30" t="s">
        <v>216</v>
      </c>
      <c r="E30" t="s">
        <v>2113</v>
      </c>
      <c r="F30" t="s">
        <v>2114</v>
      </c>
      <c r="G30">
        <v>1850</v>
      </c>
      <c r="H30">
        <v>2105</v>
      </c>
      <c r="I30" t="s">
        <v>2239</v>
      </c>
      <c r="K30" t="str">
        <f>_xlfn.XLOOKUP(Table4[[#This Row],[ProductID_Clean]],Table3[ProductID],Table3[BU],"Missing Value",0)</f>
        <v>Field Services</v>
      </c>
      <c r="M30" s="9" t="s">
        <v>2126</v>
      </c>
      <c r="N30" s="25">
        <f>SUMIF(Table4[CostCategory],Table18[[#This Row],[Cost Category]],Table4[ActualCost_Clean])</f>
        <v>884457.00999999989</v>
      </c>
      <c r="O30" s="26">
        <f>Table18[[#This Row],[Actual Cost]]/Table18[[#Totals],[Actual Cost]]</f>
        <v>0.37458512680767547</v>
      </c>
    </row>
    <row r="31" spans="1:17" ht="16.5" customHeight="1">
      <c r="A31" t="s">
        <v>2269</v>
      </c>
      <c r="B31" t="s">
        <v>2170</v>
      </c>
      <c r="C31" t="s">
        <v>216</v>
      </c>
      <c r="D31" t="s">
        <v>216</v>
      </c>
      <c r="E31" t="s">
        <v>2123</v>
      </c>
      <c r="F31" t="s">
        <v>2124</v>
      </c>
      <c r="G31">
        <v>410</v>
      </c>
      <c r="H31">
        <v>408.18</v>
      </c>
      <c r="I31" t="s">
        <v>2239</v>
      </c>
      <c r="K31" t="str">
        <f>_xlfn.XLOOKUP(Table4[[#This Row],[ProductID_Clean]],Table3[ProductID],Table3[BU],"Missing Value",0)</f>
        <v>Field Services</v>
      </c>
      <c r="M31" s="9" t="s">
        <v>2129</v>
      </c>
      <c r="N31" s="25">
        <f>SUMIF(Table4[CostCategory],Table18[[#This Row],[Cost Category]],Table4[ActualCost_Clean])</f>
        <v>619088.42999999993</v>
      </c>
      <c r="O31" s="26">
        <f>Table18[[#This Row],[Actual Cost]]/Table18[[#Totals],[Actual Cost]]</f>
        <v>0.26219625763010768</v>
      </c>
    </row>
    <row r="32" spans="1:17">
      <c r="A32" t="s">
        <v>2270</v>
      </c>
      <c r="B32" t="s">
        <v>2120</v>
      </c>
      <c r="C32" t="s">
        <v>216</v>
      </c>
      <c r="D32" t="s">
        <v>216</v>
      </c>
      <c r="E32" t="s">
        <v>2113</v>
      </c>
      <c r="F32" t="s">
        <v>2114</v>
      </c>
      <c r="G32">
        <v>1850</v>
      </c>
      <c r="H32">
        <v>2112.37</v>
      </c>
      <c r="I32" t="s">
        <v>2239</v>
      </c>
      <c r="K32" t="str">
        <f>_xlfn.XLOOKUP(Table4[[#This Row],[ProductID_Clean]],Table3[ProductID],Table3[BU],"Missing Value",0)</f>
        <v>Field Services</v>
      </c>
      <c r="M32" s="9" t="s">
        <v>2131</v>
      </c>
      <c r="N32" s="25">
        <f>SUMIF(Table4[CostCategory],Table18[[#This Row],[Cost Category]],Table4[ActualCost_Clean])</f>
        <v>466498.32000000007</v>
      </c>
      <c r="O32" s="26">
        <f>Table18[[#This Row],[Actual Cost]]/Table18[[#Totals],[Actual Cost]]</f>
        <v>0.19757131254210716</v>
      </c>
    </row>
    <row r="33" spans="1:15">
      <c r="A33" t="s">
        <v>2271</v>
      </c>
      <c r="B33" t="s">
        <v>2120</v>
      </c>
      <c r="C33" t="s">
        <v>216</v>
      </c>
      <c r="D33" t="s">
        <v>216</v>
      </c>
      <c r="E33" t="s">
        <v>2123</v>
      </c>
      <c r="F33" t="s">
        <v>2124</v>
      </c>
      <c r="G33">
        <v>410</v>
      </c>
      <c r="H33">
        <v>434.23</v>
      </c>
      <c r="I33" t="s">
        <v>2239</v>
      </c>
      <c r="K33" t="str">
        <f>_xlfn.XLOOKUP(Table4[[#This Row],[ProductID_Clean]],Table3[ProductID],Table3[BU],"Missing Value",0)</f>
        <v>Field Services</v>
      </c>
      <c r="M33" s="9" t="s">
        <v>2133</v>
      </c>
      <c r="N33" s="25">
        <f>SUMIF(Table4[CostCategory],Table18[[#This Row],[Cost Category]],Table4[ActualCost_Clean])</f>
        <v>296005.53000000003</v>
      </c>
      <c r="O33" s="26">
        <f>Table18[[#This Row],[Actual Cost]]/Table18[[#Totals],[Actual Cost]]</f>
        <v>0.12536422656746563</v>
      </c>
    </row>
    <row r="34" spans="1:15">
      <c r="A34" t="s">
        <v>2272</v>
      </c>
      <c r="B34" t="s">
        <v>2206</v>
      </c>
      <c r="C34" t="s">
        <v>216</v>
      </c>
      <c r="D34" t="s">
        <v>216</v>
      </c>
      <c r="E34" t="s">
        <v>2113</v>
      </c>
      <c r="F34" t="s">
        <v>2114</v>
      </c>
      <c r="G34">
        <v>1850</v>
      </c>
      <c r="H34">
        <v>2122.36</v>
      </c>
      <c r="I34" t="s">
        <v>2239</v>
      </c>
      <c r="K34" t="str">
        <f>_xlfn.XLOOKUP(Table4[[#This Row],[ProductID_Clean]],Table3[ProductID],Table3[BU],"Missing Value",0)</f>
        <v>Field Services</v>
      </c>
      <c r="M34" s="9" t="s">
        <v>2113</v>
      </c>
      <c r="N34" s="25">
        <f>SUMIF(Table4[CostCategory],Table18[[#This Row],[Cost Category]],Table4[ActualCost_Clean])</f>
        <v>72363.059999999983</v>
      </c>
      <c r="O34" s="26">
        <f>Table18[[#This Row],[Actual Cost]]/Table18[[#Totals],[Actual Cost]]</f>
        <v>3.0647194493140399E-2</v>
      </c>
    </row>
    <row r="35" spans="1:15">
      <c r="A35" t="s">
        <v>2273</v>
      </c>
      <c r="B35" t="s">
        <v>2206</v>
      </c>
      <c r="C35" t="s">
        <v>216</v>
      </c>
      <c r="D35" t="s">
        <v>216</v>
      </c>
      <c r="E35" t="s">
        <v>2123</v>
      </c>
      <c r="F35" t="s">
        <v>2124</v>
      </c>
      <c r="G35">
        <v>410</v>
      </c>
      <c r="H35">
        <v>393.61</v>
      </c>
      <c r="I35" t="s">
        <v>2239</v>
      </c>
      <c r="K35" t="str">
        <f>_xlfn.XLOOKUP(Table4[[#This Row],[ProductID_Clean]],Table3[ProductID],Table3[BU],"Missing Value",0)</f>
        <v>Field Services</v>
      </c>
      <c r="M35" s="9" t="s">
        <v>2123</v>
      </c>
      <c r="N35" s="25">
        <f>SUMIF(Table4[CostCategory],Table18[[#This Row],[Cost Category]],Table4[ActualCost_Clean])</f>
        <v>22751.899999999998</v>
      </c>
      <c r="O35" s="26">
        <f>Table18[[#This Row],[Actual Cost]]/Table18[[#Totals],[Actual Cost]]</f>
        <v>9.6358819595036629E-3</v>
      </c>
    </row>
    <row r="36" spans="1:15">
      <c r="A36" t="s">
        <v>2274</v>
      </c>
      <c r="B36" t="s">
        <v>2122</v>
      </c>
      <c r="C36" t="s">
        <v>216</v>
      </c>
      <c r="D36" t="s">
        <v>216</v>
      </c>
      <c r="E36" t="s">
        <v>2113</v>
      </c>
      <c r="F36" t="s">
        <v>2114</v>
      </c>
      <c r="G36">
        <v>1850</v>
      </c>
      <c r="H36">
        <v>2152.2199999999998</v>
      </c>
      <c r="I36" t="s">
        <v>2239</v>
      </c>
      <c r="K36" t="str">
        <f>_xlfn.XLOOKUP(Table4[[#This Row],[ProductID_Clean]],Table3[ProductID],Table3[BU],"Missing Value",0)</f>
        <v>Field Services</v>
      </c>
      <c r="M36" s="9" t="s">
        <v>2597</v>
      </c>
      <c r="N36" s="7">
        <f>SUBTOTAL(109,Table18[Actual Cost])</f>
        <v>2361164.25</v>
      </c>
      <c r="O36" s="10">
        <f>SUBTOTAL(109,Table18[% of Total Overhead])</f>
        <v>1</v>
      </c>
    </row>
    <row r="37" spans="1:15">
      <c r="A37" t="s">
        <v>2275</v>
      </c>
      <c r="B37" t="s">
        <v>2122</v>
      </c>
      <c r="C37" t="s">
        <v>216</v>
      </c>
      <c r="D37" t="s">
        <v>216</v>
      </c>
      <c r="E37" t="s">
        <v>2123</v>
      </c>
      <c r="F37" t="s">
        <v>2124</v>
      </c>
      <c r="G37">
        <v>410</v>
      </c>
      <c r="H37">
        <v>393.65</v>
      </c>
      <c r="I37" t="s">
        <v>2239</v>
      </c>
      <c r="K37" t="str">
        <f>_xlfn.XLOOKUP(Table4[[#This Row],[ProductID_Clean]],Table3[ProductID],Table3[BU],"Missing Value",0)</f>
        <v>Field Services</v>
      </c>
    </row>
    <row r="38" spans="1:15">
      <c r="A38" t="s">
        <v>2276</v>
      </c>
      <c r="B38" t="s">
        <v>2112</v>
      </c>
      <c r="C38" t="s">
        <v>432</v>
      </c>
      <c r="D38" t="s">
        <v>432</v>
      </c>
      <c r="E38" t="s">
        <v>2113</v>
      </c>
      <c r="F38" t="s">
        <v>2114</v>
      </c>
      <c r="G38">
        <v>1650</v>
      </c>
      <c r="H38">
        <v>2021.96</v>
      </c>
      <c r="I38" t="s">
        <v>2239</v>
      </c>
      <c r="K38" t="str">
        <f>_xlfn.XLOOKUP(Table4[[#This Row],[ProductID_Clean]],Table3[ProductID],Table3[BU],"Missing Value",0)</f>
        <v>Field Services</v>
      </c>
      <c r="M38" s="6" t="s">
        <v>2110</v>
      </c>
      <c r="N38" s="8" t="s">
        <v>2629</v>
      </c>
      <c r="O38" s="14" t="s">
        <v>2628</v>
      </c>
    </row>
    <row r="39" spans="1:15">
      <c r="A39" t="s">
        <v>2277</v>
      </c>
      <c r="B39" t="s">
        <v>2112</v>
      </c>
      <c r="C39" t="s">
        <v>432</v>
      </c>
      <c r="D39" t="s">
        <v>432</v>
      </c>
      <c r="E39" t="s">
        <v>2123</v>
      </c>
      <c r="F39" t="s">
        <v>2124</v>
      </c>
      <c r="G39">
        <v>350</v>
      </c>
      <c r="H39">
        <v>369.2</v>
      </c>
      <c r="I39" t="s">
        <v>2239</v>
      </c>
      <c r="K39" t="str">
        <f>_xlfn.XLOOKUP(Table4[[#This Row],[ProductID_Clean]],Table3[ProductID],Table3[BU],"Missing Value",0)</f>
        <v>Field Services</v>
      </c>
      <c r="M39" s="12" t="s">
        <v>2630</v>
      </c>
      <c r="N39" s="25">
        <v>95114.96</v>
      </c>
      <c r="O39" s="26">
        <f>Table19[[#This Row],[Actual Overhead Cost]]/Table19[[#Totals],[Actual Overhead Cost]]</f>
        <v>4.0283076452644083E-2</v>
      </c>
    </row>
    <row r="40" spans="1:15">
      <c r="A40" t="s">
        <v>2278</v>
      </c>
      <c r="B40" t="s">
        <v>2117</v>
      </c>
      <c r="C40" t="s">
        <v>432</v>
      </c>
      <c r="D40" t="s">
        <v>432</v>
      </c>
      <c r="E40" t="s">
        <v>2113</v>
      </c>
      <c r="F40" t="s">
        <v>2114</v>
      </c>
      <c r="G40">
        <v>1650</v>
      </c>
      <c r="H40">
        <v>2067.88</v>
      </c>
      <c r="I40" t="s">
        <v>2239</v>
      </c>
      <c r="K40" t="str">
        <f>_xlfn.XLOOKUP(Table4[[#This Row],[ProductID_Clean]],Table3[ProductID],Table3[BU],"Missing Value",0)</f>
        <v>Field Services</v>
      </c>
      <c r="M40" s="12" t="s">
        <v>2127</v>
      </c>
      <c r="N40" s="25">
        <f>SUMIF(Table4[Notes],Table19[[#This Row],[Notes]],Table4[ActualCost_Clean])</f>
        <v>818074.54999999993</v>
      </c>
      <c r="O40" s="26">
        <f>Table19[[#This Row],[Actual Overhead Cost]]/Table19[[#Totals],[Actual Overhead Cost]]</f>
        <v>0.34647083530931833</v>
      </c>
    </row>
    <row r="41" spans="1:15">
      <c r="A41" t="s">
        <v>2279</v>
      </c>
      <c r="B41" t="s">
        <v>2117</v>
      </c>
      <c r="C41" t="s">
        <v>432</v>
      </c>
      <c r="D41" t="s">
        <v>432</v>
      </c>
      <c r="E41" t="s">
        <v>2123</v>
      </c>
      <c r="F41" t="s">
        <v>2124</v>
      </c>
      <c r="G41">
        <v>350</v>
      </c>
      <c r="H41">
        <v>341.28</v>
      </c>
      <c r="I41" t="s">
        <v>2239</v>
      </c>
      <c r="K41" t="str">
        <f>_xlfn.XLOOKUP(Table4[[#This Row],[ProductID_Clean]],Table3[ProductID],Table3[BU],"Missing Value",0)</f>
        <v>Field Services</v>
      </c>
      <c r="M41" s="12" t="s">
        <v>2136</v>
      </c>
      <c r="N41" s="25">
        <f>SUMIF(Table4[Notes],Table19[[#This Row],[Notes]],Table4[ActualCost_Clean])</f>
        <v>589408.46</v>
      </c>
      <c r="O41" s="26">
        <f>Table19[[#This Row],[Actual Overhead Cost]]/Table19[[#Totals],[Actual Overhead Cost]]</f>
        <v>0.24962620029504515</v>
      </c>
    </row>
    <row r="42" spans="1:15">
      <c r="A42" t="s">
        <v>2280</v>
      </c>
      <c r="B42" t="s">
        <v>2170</v>
      </c>
      <c r="C42" t="s">
        <v>432</v>
      </c>
      <c r="D42" t="s">
        <v>432</v>
      </c>
      <c r="E42" t="s">
        <v>2113</v>
      </c>
      <c r="F42" t="s">
        <v>2114</v>
      </c>
      <c r="G42">
        <v>1650</v>
      </c>
      <c r="H42">
        <v>2041.18</v>
      </c>
      <c r="I42" t="s">
        <v>2239</v>
      </c>
      <c r="K42" t="str">
        <f>_xlfn.XLOOKUP(Table4[[#This Row],[ProductID_Clean]],Table3[ProductID],Table3[BU],"Missing Value",0)</f>
        <v>Field Services</v>
      </c>
      <c r="M42" s="12" t="s">
        <v>2142</v>
      </c>
      <c r="N42" s="25">
        <f>SUMIF(Table4[Notes],Table19[[#This Row],[Notes]],Table4[ActualCost_Clean])</f>
        <v>523502.7</v>
      </c>
      <c r="O42" s="26">
        <f>Table19[[#This Row],[Actual Overhead Cost]]/Table19[[#Totals],[Actual Overhead Cost]]</f>
        <v>0.22171380072352023</v>
      </c>
    </row>
    <row r="43" spans="1:15">
      <c r="A43" t="s">
        <v>2281</v>
      </c>
      <c r="B43" t="s">
        <v>2170</v>
      </c>
      <c r="C43" t="s">
        <v>432</v>
      </c>
      <c r="D43" t="s">
        <v>432</v>
      </c>
      <c r="E43" t="s">
        <v>2123</v>
      </c>
      <c r="F43" t="s">
        <v>2124</v>
      </c>
      <c r="G43">
        <v>350</v>
      </c>
      <c r="H43">
        <v>338.29</v>
      </c>
      <c r="I43" t="s">
        <v>2239</v>
      </c>
      <c r="K43" t="str">
        <f>_xlfn.XLOOKUP(Table4[[#This Row],[ProductID_Clean]],Table3[ProductID],Table3[BU],"Missing Value",0)</f>
        <v>Field Services</v>
      </c>
      <c r="M43" s="12" t="s">
        <v>2148</v>
      </c>
      <c r="N43" s="25">
        <f>SUMIF(Table4[Notes],Table19[[#This Row],[Notes]],Table4[ActualCost_Clean])</f>
        <v>335063.57999999996</v>
      </c>
      <c r="O43" s="26">
        <f>Table19[[#This Row],[Actual Overhead Cost]]/Table19[[#Totals],[Actual Overhead Cost]]</f>
        <v>0.14190608721947234</v>
      </c>
    </row>
    <row r="44" spans="1:15">
      <c r="A44" t="s">
        <v>2282</v>
      </c>
      <c r="B44" t="s">
        <v>2120</v>
      </c>
      <c r="C44" t="s">
        <v>432</v>
      </c>
      <c r="D44" t="s">
        <v>432</v>
      </c>
      <c r="E44" t="s">
        <v>2113</v>
      </c>
      <c r="F44" t="s">
        <v>2114</v>
      </c>
      <c r="G44">
        <v>1650</v>
      </c>
      <c r="H44">
        <v>2023.48</v>
      </c>
      <c r="I44" t="s">
        <v>2239</v>
      </c>
      <c r="K44" t="str">
        <f>_xlfn.XLOOKUP(Table4[[#This Row],[ProductID_Clean]],Table3[ProductID],Table3[BU],"Missing Value",0)</f>
        <v>Field Services</v>
      </c>
      <c r="M44" s="12" t="s">
        <v>2597</v>
      </c>
      <c r="N44" s="7">
        <f>SUBTOTAL(109,Table19[Actual Overhead Cost])</f>
        <v>2361164.2499999995</v>
      </c>
      <c r="O44" s="10">
        <f>SUBTOTAL(109,Table19[% of Total Overhead])</f>
        <v>1</v>
      </c>
    </row>
    <row r="45" spans="1:15">
      <c r="A45" t="s">
        <v>2283</v>
      </c>
      <c r="B45" t="s">
        <v>2120</v>
      </c>
      <c r="C45" t="s">
        <v>432</v>
      </c>
      <c r="D45" t="s">
        <v>432</v>
      </c>
      <c r="E45" t="s">
        <v>2123</v>
      </c>
      <c r="F45" t="s">
        <v>2124</v>
      </c>
      <c r="G45">
        <v>350</v>
      </c>
      <c r="H45">
        <v>350.82</v>
      </c>
      <c r="I45" t="s">
        <v>2239</v>
      </c>
      <c r="K45" t="str">
        <f>_xlfn.XLOOKUP(Table4[[#This Row],[ProductID_Clean]],Table3[ProductID],Table3[BU],"Missing Value",0)</f>
        <v>Field Services</v>
      </c>
    </row>
    <row r="46" spans="1:15">
      <c r="A46" t="s">
        <v>2284</v>
      </c>
      <c r="B46" t="s">
        <v>2206</v>
      </c>
      <c r="C46" t="s">
        <v>432</v>
      </c>
      <c r="D46" t="s">
        <v>432</v>
      </c>
      <c r="E46" t="s">
        <v>2113</v>
      </c>
      <c r="F46" t="s">
        <v>2114</v>
      </c>
      <c r="G46">
        <v>1650</v>
      </c>
      <c r="H46">
        <v>2070.92</v>
      </c>
      <c r="I46" t="s">
        <v>2239</v>
      </c>
      <c r="K46" t="str">
        <f>_xlfn.XLOOKUP(Table4[[#This Row],[ProductID_Clean]],Table3[ProductID],Table3[BU],"Missing Value",0)</f>
        <v>Field Services</v>
      </c>
    </row>
    <row r="47" spans="1:15" ht="15" customHeight="1">
      <c r="A47" t="s">
        <v>2285</v>
      </c>
      <c r="B47" t="s">
        <v>2206</v>
      </c>
      <c r="C47" t="s">
        <v>432</v>
      </c>
      <c r="D47" t="s">
        <v>432</v>
      </c>
      <c r="E47" t="s">
        <v>2123</v>
      </c>
      <c r="F47" t="s">
        <v>2124</v>
      </c>
      <c r="G47">
        <v>350</v>
      </c>
      <c r="H47">
        <v>345.26</v>
      </c>
      <c r="I47" t="s">
        <v>2239</v>
      </c>
      <c r="K47" t="str">
        <f>_xlfn.XLOOKUP(Table4[[#This Row],[ProductID_Clean]],Table3[ProductID],Table3[BU],"Missing Value",0)</f>
        <v>Field Services</v>
      </c>
    </row>
    <row r="48" spans="1:15" ht="15" customHeight="1">
      <c r="A48" t="s">
        <v>2288</v>
      </c>
      <c r="B48" t="s">
        <v>2122</v>
      </c>
      <c r="C48" t="s">
        <v>432</v>
      </c>
      <c r="D48" t="s">
        <v>432</v>
      </c>
      <c r="E48" t="s">
        <v>2261</v>
      </c>
      <c r="F48" t="s">
        <v>2124</v>
      </c>
      <c r="G48">
        <v>350</v>
      </c>
      <c r="H48">
        <v>372.27</v>
      </c>
      <c r="I48" t="s">
        <v>2239</v>
      </c>
      <c r="K48" t="str">
        <f>_xlfn.XLOOKUP(Table4[[#This Row],[ProductID_Clean]],Table3[ProductID],Table3[BU],"Missing Value",0)</f>
        <v>Field Services</v>
      </c>
    </row>
    <row r="49" spans="1:11">
      <c r="A49" t="s">
        <v>2286</v>
      </c>
      <c r="B49" t="s">
        <v>2122</v>
      </c>
      <c r="C49" t="s">
        <v>432</v>
      </c>
      <c r="D49" t="s">
        <v>432</v>
      </c>
      <c r="E49" t="s">
        <v>2287</v>
      </c>
      <c r="F49" t="s">
        <v>2114</v>
      </c>
      <c r="G49">
        <v>1650</v>
      </c>
      <c r="H49">
        <v>2059.7800000000002</v>
      </c>
      <c r="I49" t="s">
        <v>2239</v>
      </c>
      <c r="K49" t="str">
        <f>_xlfn.XLOOKUP(Table4[[#This Row],[ProductID_Clean]],Table3[ProductID],Table3[BU],"Missing Value",0)</f>
        <v>Field Services</v>
      </c>
    </row>
    <row r="50" spans="1:11">
      <c r="A50" t="s">
        <v>2289</v>
      </c>
      <c r="B50" t="s">
        <v>2112</v>
      </c>
      <c r="C50" t="s">
        <v>101</v>
      </c>
      <c r="D50" t="s">
        <v>101</v>
      </c>
      <c r="E50" t="s">
        <v>2113</v>
      </c>
      <c r="F50" t="s">
        <v>2114</v>
      </c>
      <c r="G50">
        <v>420</v>
      </c>
      <c r="H50">
        <v>408.11</v>
      </c>
      <c r="I50" t="s">
        <v>2239</v>
      </c>
      <c r="K50" t="str">
        <f>_xlfn.XLOOKUP(Table4[[#This Row],[ProductID_Clean]],Table3[ProductID],Table3[BU],"Missing Value",0)</f>
        <v>Field Services</v>
      </c>
    </row>
    <row r="51" spans="1:11">
      <c r="A51" t="s">
        <v>2290</v>
      </c>
      <c r="B51" t="s">
        <v>2112</v>
      </c>
      <c r="C51" t="s">
        <v>101</v>
      </c>
      <c r="D51" t="s">
        <v>101</v>
      </c>
      <c r="E51" t="s">
        <v>2123</v>
      </c>
      <c r="F51" t="s">
        <v>2124</v>
      </c>
      <c r="G51">
        <v>95</v>
      </c>
      <c r="H51">
        <v>95.2</v>
      </c>
      <c r="I51" t="s">
        <v>2239</v>
      </c>
      <c r="K51" t="str">
        <f>_xlfn.XLOOKUP(Table4[[#This Row],[ProductID_Clean]],Table3[ProductID],Table3[BU],"Missing Value",0)</f>
        <v>Field Services</v>
      </c>
    </row>
    <row r="52" spans="1:11">
      <c r="A52" t="s">
        <v>2291</v>
      </c>
      <c r="B52" t="s">
        <v>2117</v>
      </c>
      <c r="C52" t="s">
        <v>101</v>
      </c>
      <c r="D52" t="s">
        <v>101</v>
      </c>
      <c r="E52" t="s">
        <v>2113</v>
      </c>
      <c r="F52" t="s">
        <v>2114</v>
      </c>
      <c r="G52">
        <v>420</v>
      </c>
      <c r="H52">
        <v>432.84</v>
      </c>
      <c r="I52" t="s">
        <v>2239</v>
      </c>
      <c r="K52" t="str">
        <f>_xlfn.XLOOKUP(Table4[[#This Row],[ProductID_Clean]],Table3[ProductID],Table3[BU],"Missing Value",0)</f>
        <v>Field Services</v>
      </c>
    </row>
    <row r="53" spans="1:11" ht="15" customHeight="1">
      <c r="A53" t="s">
        <v>2292</v>
      </c>
      <c r="B53" t="s">
        <v>2117</v>
      </c>
      <c r="C53" t="s">
        <v>101</v>
      </c>
      <c r="D53" t="s">
        <v>101</v>
      </c>
      <c r="E53" t="s">
        <v>2123</v>
      </c>
      <c r="F53" t="s">
        <v>2124</v>
      </c>
      <c r="G53">
        <v>95</v>
      </c>
      <c r="H53">
        <v>90.78</v>
      </c>
      <c r="I53" t="s">
        <v>2239</v>
      </c>
      <c r="K53" t="str">
        <f>_xlfn.XLOOKUP(Table4[[#This Row],[ProductID_Clean]],Table3[ProductID],Table3[BU],"Missing Value",0)</f>
        <v>Field Services</v>
      </c>
    </row>
    <row r="54" spans="1:11">
      <c r="A54" t="s">
        <v>2293</v>
      </c>
      <c r="B54" t="s">
        <v>2170</v>
      </c>
      <c r="C54" t="s">
        <v>101</v>
      </c>
      <c r="D54" t="s">
        <v>101</v>
      </c>
      <c r="E54" t="s">
        <v>2113</v>
      </c>
      <c r="F54" t="s">
        <v>2114</v>
      </c>
      <c r="G54">
        <v>420</v>
      </c>
      <c r="H54">
        <v>436.29</v>
      </c>
      <c r="I54" t="s">
        <v>2239</v>
      </c>
      <c r="K54" t="str">
        <f>_xlfn.XLOOKUP(Table4[[#This Row],[ProductID_Clean]],Table3[ProductID],Table3[BU],"Missing Value",0)</f>
        <v>Field Services</v>
      </c>
    </row>
    <row r="55" spans="1:11">
      <c r="A55" t="s">
        <v>2294</v>
      </c>
      <c r="B55" t="s">
        <v>2170</v>
      </c>
      <c r="C55" t="s">
        <v>101</v>
      </c>
      <c r="D55" t="s">
        <v>101</v>
      </c>
      <c r="E55" t="s">
        <v>2261</v>
      </c>
      <c r="F55" t="s">
        <v>2124</v>
      </c>
      <c r="G55">
        <v>95</v>
      </c>
      <c r="H55">
        <v>92.08</v>
      </c>
      <c r="I55" t="s">
        <v>2239</v>
      </c>
      <c r="K55" t="str">
        <f>_xlfn.XLOOKUP(Table4[[#This Row],[ProductID_Clean]],Table3[ProductID],Table3[BU],"Missing Value",0)</f>
        <v>Field Services</v>
      </c>
    </row>
    <row r="56" spans="1:11">
      <c r="A56" t="s">
        <v>2295</v>
      </c>
      <c r="B56" t="s">
        <v>2120</v>
      </c>
      <c r="C56" t="s">
        <v>101</v>
      </c>
      <c r="D56" t="s">
        <v>101</v>
      </c>
      <c r="E56" t="s">
        <v>2113</v>
      </c>
      <c r="F56" t="s">
        <v>2114</v>
      </c>
      <c r="G56">
        <v>420</v>
      </c>
      <c r="H56">
        <v>443.31</v>
      </c>
      <c r="I56" t="s">
        <v>2239</v>
      </c>
      <c r="K56" t="str">
        <f>_xlfn.XLOOKUP(Table4[[#This Row],[ProductID_Clean]],Table3[ProductID],Table3[BU],"Missing Value",0)</f>
        <v>Field Services</v>
      </c>
    </row>
    <row r="57" spans="1:11">
      <c r="A57" t="s">
        <v>2296</v>
      </c>
      <c r="B57" t="s">
        <v>2120</v>
      </c>
      <c r="C57" t="s">
        <v>101</v>
      </c>
      <c r="D57" t="s">
        <v>101</v>
      </c>
      <c r="E57" t="s">
        <v>2123</v>
      </c>
      <c r="F57" t="s">
        <v>2124</v>
      </c>
      <c r="G57">
        <v>95</v>
      </c>
      <c r="H57">
        <v>97.82</v>
      </c>
      <c r="I57" t="s">
        <v>2239</v>
      </c>
      <c r="K57" t="str">
        <f>_xlfn.XLOOKUP(Table4[[#This Row],[ProductID_Clean]],Table3[ProductID],Table3[BU],"Missing Value",0)</f>
        <v>Field Services</v>
      </c>
    </row>
    <row r="58" spans="1:11" ht="15" customHeight="1">
      <c r="A58" t="s">
        <v>2297</v>
      </c>
      <c r="B58" t="s">
        <v>2206</v>
      </c>
      <c r="C58" t="s">
        <v>101</v>
      </c>
      <c r="D58" t="s">
        <v>101</v>
      </c>
      <c r="E58" t="s">
        <v>2113</v>
      </c>
      <c r="F58" t="s">
        <v>2114</v>
      </c>
      <c r="G58">
        <v>420</v>
      </c>
      <c r="H58">
        <v>440.54</v>
      </c>
      <c r="I58" t="s">
        <v>2239</v>
      </c>
      <c r="K58" t="str">
        <f>_xlfn.XLOOKUP(Table4[[#This Row],[ProductID_Clean]],Table3[ProductID],Table3[BU],"Missing Value",0)</f>
        <v>Field Services</v>
      </c>
    </row>
    <row r="59" spans="1:11" ht="15.75" customHeight="1">
      <c r="A59" t="s">
        <v>2298</v>
      </c>
      <c r="B59" t="s">
        <v>2206</v>
      </c>
      <c r="C59" t="s">
        <v>101</v>
      </c>
      <c r="D59" t="s">
        <v>101</v>
      </c>
      <c r="E59" t="s">
        <v>2123</v>
      </c>
      <c r="F59" t="s">
        <v>2124</v>
      </c>
      <c r="G59">
        <v>95</v>
      </c>
      <c r="H59">
        <v>92.75</v>
      </c>
      <c r="I59" t="s">
        <v>2239</v>
      </c>
      <c r="K59" t="str">
        <f>_xlfn.XLOOKUP(Table4[[#This Row],[ProductID_Clean]],Table3[ProductID],Table3[BU],"Missing Value",0)</f>
        <v>Field Services</v>
      </c>
    </row>
    <row r="60" spans="1:11" ht="13.5" customHeight="1">
      <c r="A60" t="s">
        <v>2299</v>
      </c>
      <c r="B60" t="s">
        <v>2122</v>
      </c>
      <c r="C60" t="s">
        <v>101</v>
      </c>
      <c r="D60" t="s">
        <v>101</v>
      </c>
      <c r="E60" t="s">
        <v>2113</v>
      </c>
      <c r="F60" t="s">
        <v>2114</v>
      </c>
      <c r="G60">
        <v>420</v>
      </c>
      <c r="H60">
        <v>410.71</v>
      </c>
      <c r="I60" t="s">
        <v>2239</v>
      </c>
      <c r="K60" t="str">
        <f>_xlfn.XLOOKUP(Table4[[#This Row],[ProductID_Clean]],Table3[ProductID],Table3[BU],"Missing Value",0)</f>
        <v>Field Services</v>
      </c>
    </row>
    <row r="61" spans="1:11" ht="15" customHeight="1">
      <c r="A61" t="s">
        <v>2300</v>
      </c>
      <c r="B61" t="s">
        <v>2122</v>
      </c>
      <c r="C61" t="s">
        <v>101</v>
      </c>
      <c r="D61" t="s">
        <v>101</v>
      </c>
      <c r="E61" t="s">
        <v>2123</v>
      </c>
      <c r="F61" t="s">
        <v>2124</v>
      </c>
      <c r="G61">
        <v>95</v>
      </c>
      <c r="H61">
        <v>100.75</v>
      </c>
      <c r="I61" t="s">
        <v>2239</v>
      </c>
      <c r="K61" t="str">
        <f>_xlfn.XLOOKUP(Table4[[#This Row],[ProductID_Clean]],Table3[ProductID],Table3[BU],"Missing Value",0)</f>
        <v>Field Services</v>
      </c>
    </row>
    <row r="62" spans="1:11" ht="14.25" customHeight="1">
      <c r="A62" t="s">
        <v>2301</v>
      </c>
      <c r="B62" t="s">
        <v>2112</v>
      </c>
      <c r="C62" t="s">
        <v>92</v>
      </c>
      <c r="D62" t="s">
        <v>92</v>
      </c>
      <c r="E62" t="s">
        <v>2113</v>
      </c>
      <c r="F62" t="s">
        <v>2114</v>
      </c>
      <c r="G62">
        <v>380</v>
      </c>
      <c r="H62">
        <v>391.05</v>
      </c>
      <c r="I62" t="s">
        <v>2239</v>
      </c>
      <c r="K62" t="str">
        <f>_xlfn.XLOOKUP(Table4[[#This Row],[ProductID_Clean]],Table3[ProductID],Table3[BU],"Missing Value",0)</f>
        <v>Field Services</v>
      </c>
    </row>
    <row r="63" spans="1:11" ht="15" customHeight="1">
      <c r="A63" t="s">
        <v>2302</v>
      </c>
      <c r="B63" t="s">
        <v>2112</v>
      </c>
      <c r="C63" t="s">
        <v>92</v>
      </c>
      <c r="D63" t="s">
        <v>92</v>
      </c>
      <c r="E63" t="s">
        <v>2123</v>
      </c>
      <c r="F63" t="s">
        <v>2124</v>
      </c>
      <c r="G63">
        <v>175</v>
      </c>
      <c r="H63">
        <v>171.85</v>
      </c>
      <c r="I63" t="s">
        <v>2239</v>
      </c>
      <c r="K63" t="str">
        <f>_xlfn.XLOOKUP(Table4[[#This Row],[ProductID_Clean]],Table3[ProductID],Table3[BU],"Missing Value",0)</f>
        <v>Field Services</v>
      </c>
    </row>
    <row r="64" spans="1:11" ht="16.5" customHeight="1">
      <c r="A64" t="s">
        <v>2303</v>
      </c>
      <c r="B64" t="s">
        <v>2117</v>
      </c>
      <c r="C64" t="s">
        <v>92</v>
      </c>
      <c r="D64" t="s">
        <v>92</v>
      </c>
      <c r="E64" t="s">
        <v>2113</v>
      </c>
      <c r="F64" t="s">
        <v>2114</v>
      </c>
      <c r="G64">
        <v>380</v>
      </c>
      <c r="H64">
        <v>384.2</v>
      </c>
      <c r="I64" t="s">
        <v>2239</v>
      </c>
      <c r="K64" t="str">
        <f>_xlfn.XLOOKUP(Table4[[#This Row],[ProductID_Clean]],Table3[ProductID],Table3[BU],"Missing Value",0)</f>
        <v>Field Services</v>
      </c>
    </row>
    <row r="65" spans="1:20">
      <c r="A65" t="s">
        <v>2304</v>
      </c>
      <c r="B65" t="s">
        <v>2117</v>
      </c>
      <c r="C65" t="s">
        <v>92</v>
      </c>
      <c r="D65" t="s">
        <v>92</v>
      </c>
      <c r="E65" t="s">
        <v>2123</v>
      </c>
      <c r="F65" t="s">
        <v>2124</v>
      </c>
      <c r="G65">
        <v>175</v>
      </c>
      <c r="H65">
        <v>174.04</v>
      </c>
      <c r="I65" t="s">
        <v>2239</v>
      </c>
      <c r="K65" t="str">
        <f>_xlfn.XLOOKUP(Table4[[#This Row],[ProductID_Clean]],Table3[ProductID],Table3[BU],"Missing Value",0)</f>
        <v>Field Services</v>
      </c>
    </row>
    <row r="66" spans="1:20">
      <c r="A66" t="s">
        <v>2305</v>
      </c>
      <c r="B66" t="s">
        <v>2170</v>
      </c>
      <c r="C66" t="s">
        <v>92</v>
      </c>
      <c r="D66" t="s">
        <v>92</v>
      </c>
      <c r="E66" t="s">
        <v>2113</v>
      </c>
      <c r="F66" t="s">
        <v>2114</v>
      </c>
      <c r="G66">
        <v>380</v>
      </c>
      <c r="H66">
        <v>394.02</v>
      </c>
      <c r="I66" t="s">
        <v>2239</v>
      </c>
      <c r="K66" t="str">
        <f>_xlfn.XLOOKUP(Table4[[#This Row],[ProductID_Clean]],Table3[ProductID],Table3[BU],"Missing Value",0)</f>
        <v>Field Services</v>
      </c>
    </row>
    <row r="67" spans="1:20">
      <c r="A67" t="s">
        <v>2306</v>
      </c>
      <c r="B67" t="s">
        <v>2170</v>
      </c>
      <c r="C67" t="s">
        <v>92</v>
      </c>
      <c r="D67" t="s">
        <v>92</v>
      </c>
      <c r="E67" t="s">
        <v>2123</v>
      </c>
      <c r="F67" t="s">
        <v>2124</v>
      </c>
      <c r="G67">
        <v>175</v>
      </c>
      <c r="H67">
        <v>168.52</v>
      </c>
      <c r="I67" t="s">
        <v>2239</v>
      </c>
      <c r="K67" t="str">
        <f>_xlfn.XLOOKUP(Table4[[#This Row],[ProductID_Clean]],Table3[ProductID],Table3[BU],"Missing Value",0)</f>
        <v>Field Services</v>
      </c>
    </row>
    <row r="68" spans="1:20">
      <c r="A68" t="s">
        <v>2307</v>
      </c>
      <c r="B68" t="s">
        <v>2120</v>
      </c>
      <c r="C68" t="s">
        <v>92</v>
      </c>
      <c r="D68" t="s">
        <v>92</v>
      </c>
      <c r="E68" t="s">
        <v>2113</v>
      </c>
      <c r="F68" t="s">
        <v>2114</v>
      </c>
      <c r="G68">
        <v>380</v>
      </c>
      <c r="H68">
        <v>403.88</v>
      </c>
      <c r="I68" t="s">
        <v>2239</v>
      </c>
      <c r="K68" t="str">
        <f>_xlfn.XLOOKUP(Table4[[#This Row],[ProductID_Clean]],Table3[ProductID],Table3[BU],"Missing Value",0)</f>
        <v>Field Services</v>
      </c>
    </row>
    <row r="69" spans="1:20">
      <c r="A69" t="s">
        <v>2308</v>
      </c>
      <c r="B69" t="s">
        <v>2120</v>
      </c>
      <c r="C69" t="s">
        <v>92</v>
      </c>
      <c r="D69" t="s">
        <v>92</v>
      </c>
      <c r="E69" t="s">
        <v>2123</v>
      </c>
      <c r="F69" t="s">
        <v>2124</v>
      </c>
      <c r="G69">
        <v>175</v>
      </c>
      <c r="H69">
        <v>180.85</v>
      </c>
      <c r="I69" t="s">
        <v>2239</v>
      </c>
      <c r="K69" t="str">
        <f>_xlfn.XLOOKUP(Table4[[#This Row],[ProductID_Clean]],Table3[ProductID],Table3[BU],"Missing Value",0)</f>
        <v>Field Services</v>
      </c>
      <c r="M69" s="12"/>
      <c r="N69" s="7"/>
      <c r="O69" s="7"/>
      <c r="P69" s="7"/>
      <c r="Q69" s="7"/>
      <c r="R69" s="7"/>
      <c r="S69" s="7"/>
      <c r="T69" s="7"/>
    </row>
    <row r="70" spans="1:20">
      <c r="A70" t="s">
        <v>2310</v>
      </c>
      <c r="B70" t="s">
        <v>2206</v>
      </c>
      <c r="C70" t="s">
        <v>92</v>
      </c>
      <c r="D70" t="s">
        <v>92</v>
      </c>
      <c r="E70" t="s">
        <v>2123</v>
      </c>
      <c r="F70" t="s">
        <v>2124</v>
      </c>
      <c r="G70">
        <v>175</v>
      </c>
      <c r="H70">
        <v>178.38</v>
      </c>
      <c r="I70" t="s">
        <v>2239</v>
      </c>
      <c r="K70" t="str">
        <f>_xlfn.XLOOKUP(Table4[[#This Row],[ProductID_Clean]],Table3[ProductID],Table3[BU],"Missing Value",0)</f>
        <v>Field Services</v>
      </c>
      <c r="O70" s="21"/>
    </row>
    <row r="71" spans="1:20" ht="18" customHeight="1">
      <c r="A71" t="s">
        <v>2309</v>
      </c>
      <c r="B71" t="s">
        <v>2206</v>
      </c>
      <c r="C71" t="s">
        <v>92</v>
      </c>
      <c r="D71" t="s">
        <v>92</v>
      </c>
      <c r="E71" t="s">
        <v>2113</v>
      </c>
      <c r="F71" t="s">
        <v>2114</v>
      </c>
      <c r="G71">
        <v>380</v>
      </c>
      <c r="H71">
        <v>396.34</v>
      </c>
      <c r="I71" t="s">
        <v>2239</v>
      </c>
      <c r="K71" t="str">
        <f>_xlfn.XLOOKUP(Table4[[#This Row],[ProductID_Clean]],Table3[ProductID],Table3[BU],"Missing Value",0)</f>
        <v>Field Services</v>
      </c>
    </row>
    <row r="72" spans="1:20">
      <c r="A72" t="s">
        <v>2311</v>
      </c>
      <c r="B72" t="s">
        <v>2122</v>
      </c>
      <c r="C72" t="s">
        <v>92</v>
      </c>
      <c r="D72" t="s">
        <v>92</v>
      </c>
      <c r="E72" t="s">
        <v>2113</v>
      </c>
      <c r="F72" t="s">
        <v>2114</v>
      </c>
      <c r="G72">
        <v>380</v>
      </c>
      <c r="H72">
        <v>380.07</v>
      </c>
      <c r="I72" t="s">
        <v>2239</v>
      </c>
      <c r="K72" t="str">
        <f>_xlfn.XLOOKUP(Table4[[#This Row],[ProductID_Clean]],Table3[ProductID],Table3[BU],"Missing Value",0)</f>
        <v>Field Services</v>
      </c>
    </row>
    <row r="73" spans="1:20">
      <c r="A73" t="s">
        <v>2312</v>
      </c>
      <c r="B73" t="s">
        <v>2122</v>
      </c>
      <c r="C73" t="s">
        <v>92</v>
      </c>
      <c r="D73" t="s">
        <v>92</v>
      </c>
      <c r="E73" t="s">
        <v>2123</v>
      </c>
      <c r="F73" t="s">
        <v>2124</v>
      </c>
      <c r="G73">
        <v>175</v>
      </c>
      <c r="H73">
        <v>179.32</v>
      </c>
      <c r="I73" t="s">
        <v>2239</v>
      </c>
      <c r="K73" t="str">
        <f>_xlfn.XLOOKUP(Table4[[#This Row],[ProductID_Clean]],Table3[ProductID],Table3[BU],"Missing Value",0)</f>
        <v>Field Services</v>
      </c>
    </row>
    <row r="74" spans="1:20">
      <c r="A74" t="s">
        <v>2313</v>
      </c>
      <c r="B74" t="s">
        <v>2112</v>
      </c>
      <c r="C74" t="s">
        <v>68</v>
      </c>
      <c r="D74" t="s">
        <v>68</v>
      </c>
      <c r="E74" t="s">
        <v>2113</v>
      </c>
      <c r="F74" t="s">
        <v>2114</v>
      </c>
      <c r="G74">
        <v>185</v>
      </c>
      <c r="H74">
        <v>200.94</v>
      </c>
      <c r="I74" t="s">
        <v>2115</v>
      </c>
      <c r="K74" t="str">
        <f>_xlfn.XLOOKUP(Table4[[#This Row],[ProductID_Clean]],Table3[ProductID],Table3[BU],"Missing Value",0)</f>
        <v>Software &amp; Analytics</v>
      </c>
    </row>
    <row r="75" spans="1:20">
      <c r="A75" t="s">
        <v>2314</v>
      </c>
      <c r="B75" t="s">
        <v>2112</v>
      </c>
      <c r="C75" t="s">
        <v>68</v>
      </c>
      <c r="D75" t="s">
        <v>68</v>
      </c>
      <c r="E75" t="s">
        <v>2123</v>
      </c>
      <c r="F75" t="s">
        <v>2124</v>
      </c>
      <c r="G75">
        <v>310</v>
      </c>
      <c r="H75">
        <v>305.16000000000003</v>
      </c>
      <c r="I75" t="s">
        <v>2115</v>
      </c>
      <c r="K75" t="str">
        <f>_xlfn.XLOOKUP(Table4[[#This Row],[ProductID_Clean]],Table3[ProductID],Table3[BU],"Missing Value",0)</f>
        <v>Software &amp; Analytics</v>
      </c>
    </row>
    <row r="76" spans="1:20">
      <c r="A76" t="s">
        <v>2315</v>
      </c>
      <c r="B76" t="s">
        <v>2117</v>
      </c>
      <c r="C76" t="s">
        <v>68</v>
      </c>
      <c r="D76" t="s">
        <v>68</v>
      </c>
      <c r="E76" t="s">
        <v>2113</v>
      </c>
      <c r="F76" t="s">
        <v>2114</v>
      </c>
      <c r="G76">
        <v>185</v>
      </c>
      <c r="H76">
        <v>191.36</v>
      </c>
      <c r="I76" t="s">
        <v>2115</v>
      </c>
      <c r="K76" t="str">
        <f>_xlfn.XLOOKUP(Table4[[#This Row],[ProductID_Clean]],Table3[ProductID],Table3[BU],"Missing Value",0)</f>
        <v>Software &amp; Analytics</v>
      </c>
    </row>
    <row r="77" spans="1:20">
      <c r="A77" t="s">
        <v>2316</v>
      </c>
      <c r="B77" t="s">
        <v>2117</v>
      </c>
      <c r="C77" t="s">
        <v>68</v>
      </c>
      <c r="D77" t="s">
        <v>68</v>
      </c>
      <c r="E77" t="s">
        <v>2123</v>
      </c>
      <c r="F77" t="s">
        <v>2124</v>
      </c>
      <c r="G77">
        <v>310</v>
      </c>
      <c r="H77">
        <v>334.27</v>
      </c>
      <c r="I77" t="s">
        <v>2115</v>
      </c>
      <c r="K77" t="str">
        <f>_xlfn.XLOOKUP(Table4[[#This Row],[ProductID_Clean]],Table3[ProductID],Table3[BU],"Missing Value",0)</f>
        <v>Software &amp; Analytics</v>
      </c>
    </row>
    <row r="78" spans="1:20">
      <c r="A78" t="s">
        <v>2317</v>
      </c>
      <c r="B78" t="s">
        <v>2170</v>
      </c>
      <c r="C78" t="s">
        <v>68</v>
      </c>
      <c r="D78" t="s">
        <v>68</v>
      </c>
      <c r="E78" t="s">
        <v>2113</v>
      </c>
      <c r="F78" t="s">
        <v>2114</v>
      </c>
      <c r="G78">
        <v>185</v>
      </c>
      <c r="H78">
        <v>190.46</v>
      </c>
      <c r="I78" t="s">
        <v>2115</v>
      </c>
      <c r="K78" t="str">
        <f>_xlfn.XLOOKUP(Table4[[#This Row],[ProductID_Clean]],Table3[ProductID],Table3[BU],"Missing Value",0)</f>
        <v>Software &amp; Analytics</v>
      </c>
    </row>
    <row r="79" spans="1:20">
      <c r="A79" t="s">
        <v>2318</v>
      </c>
      <c r="B79" t="s">
        <v>2170</v>
      </c>
      <c r="C79" t="s">
        <v>68</v>
      </c>
      <c r="D79" t="s">
        <v>68</v>
      </c>
      <c r="E79" t="s">
        <v>2123</v>
      </c>
      <c r="F79" t="s">
        <v>2124</v>
      </c>
      <c r="G79">
        <v>310</v>
      </c>
      <c r="H79">
        <v>327.14</v>
      </c>
      <c r="I79" t="s">
        <v>2115</v>
      </c>
      <c r="K79" t="str">
        <f>_xlfn.XLOOKUP(Table4[[#This Row],[ProductID_Clean]],Table3[ProductID],Table3[BU],"Missing Value",0)</f>
        <v>Software &amp; Analytics</v>
      </c>
    </row>
    <row r="80" spans="1:20">
      <c r="A80" t="s">
        <v>2319</v>
      </c>
      <c r="B80" t="s">
        <v>2120</v>
      </c>
      <c r="C80" t="s">
        <v>68</v>
      </c>
      <c r="D80" t="s">
        <v>68</v>
      </c>
      <c r="E80" t="s">
        <v>2113</v>
      </c>
      <c r="F80" t="s">
        <v>2114</v>
      </c>
      <c r="G80">
        <v>185</v>
      </c>
      <c r="H80">
        <v>178.94</v>
      </c>
      <c r="I80" t="s">
        <v>2115</v>
      </c>
      <c r="K80" t="str">
        <f>_xlfn.XLOOKUP(Table4[[#This Row],[ProductID_Clean]],Table3[ProductID],Table3[BU],"Missing Value",0)</f>
        <v>Software &amp; Analytics</v>
      </c>
    </row>
    <row r="81" spans="1:17">
      <c r="A81" t="s">
        <v>2320</v>
      </c>
      <c r="B81" t="s">
        <v>2120</v>
      </c>
      <c r="C81" t="s">
        <v>68</v>
      </c>
      <c r="D81" t="s">
        <v>68</v>
      </c>
      <c r="E81" t="s">
        <v>2123</v>
      </c>
      <c r="F81" t="s">
        <v>2124</v>
      </c>
      <c r="G81">
        <v>310</v>
      </c>
      <c r="H81">
        <v>305.64999999999998</v>
      </c>
      <c r="I81" t="s">
        <v>2115</v>
      </c>
      <c r="K81" t="str">
        <f>_xlfn.XLOOKUP(Table4[[#This Row],[ProductID_Clean]],Table3[ProductID],Table3[BU],"Missing Value",0)</f>
        <v>Software &amp; Analytics</v>
      </c>
    </row>
    <row r="82" spans="1:17">
      <c r="A82" t="s">
        <v>2321</v>
      </c>
      <c r="B82" t="s">
        <v>2206</v>
      </c>
      <c r="C82" t="s">
        <v>68</v>
      </c>
      <c r="D82" t="s">
        <v>68</v>
      </c>
      <c r="E82" t="s">
        <v>2113</v>
      </c>
      <c r="F82" t="s">
        <v>2114</v>
      </c>
      <c r="G82">
        <v>185</v>
      </c>
      <c r="H82">
        <v>191.33</v>
      </c>
      <c r="I82" t="s">
        <v>2115</v>
      </c>
      <c r="K82" t="str">
        <f>_xlfn.XLOOKUP(Table4[[#This Row],[ProductID_Clean]],Table3[ProductID],Table3[BU],"Missing Value",0)</f>
        <v>Software &amp; Analytics</v>
      </c>
    </row>
    <row r="83" spans="1:17">
      <c r="A83" t="s">
        <v>2322</v>
      </c>
      <c r="B83" t="s">
        <v>2206</v>
      </c>
      <c r="C83" t="s">
        <v>68</v>
      </c>
      <c r="D83" t="s">
        <v>68</v>
      </c>
      <c r="E83" t="s">
        <v>2123</v>
      </c>
      <c r="F83" t="s">
        <v>2124</v>
      </c>
      <c r="G83">
        <v>310</v>
      </c>
      <c r="H83">
        <v>295.52</v>
      </c>
      <c r="I83" t="s">
        <v>2115</v>
      </c>
      <c r="K83" t="str">
        <f>_xlfn.XLOOKUP(Table4[[#This Row],[ProductID_Clean]],Table3[ProductID],Table3[BU],"Missing Value",0)</f>
        <v>Software &amp; Analytics</v>
      </c>
    </row>
    <row r="84" spans="1:17">
      <c r="A84" t="s">
        <v>2323</v>
      </c>
      <c r="B84" t="s">
        <v>2122</v>
      </c>
      <c r="C84" t="s">
        <v>68</v>
      </c>
      <c r="D84" t="s">
        <v>68</v>
      </c>
      <c r="E84" t="s">
        <v>2113</v>
      </c>
      <c r="F84" t="s">
        <v>2114</v>
      </c>
      <c r="G84">
        <v>185</v>
      </c>
      <c r="H84">
        <v>183.44</v>
      </c>
      <c r="I84" t="s">
        <v>2115</v>
      </c>
      <c r="K84" t="str">
        <f>_xlfn.XLOOKUP(Table4[[#This Row],[ProductID_Clean]],Table3[ProductID],Table3[BU],"Missing Value",0)</f>
        <v>Software &amp; Analytics</v>
      </c>
    </row>
    <row r="85" spans="1:17">
      <c r="A85" t="s">
        <v>2324</v>
      </c>
      <c r="B85" t="s">
        <v>2122</v>
      </c>
      <c r="C85" t="s">
        <v>68</v>
      </c>
      <c r="D85" t="s">
        <v>68</v>
      </c>
      <c r="E85" t="s">
        <v>2123</v>
      </c>
      <c r="F85" t="s">
        <v>2124</v>
      </c>
      <c r="G85">
        <v>310</v>
      </c>
      <c r="H85">
        <v>304</v>
      </c>
      <c r="I85" t="s">
        <v>2115</v>
      </c>
      <c r="K85" t="str">
        <f>_xlfn.XLOOKUP(Table4[[#This Row],[ProductID_Clean]],Table3[ProductID],Table3[BU],"Missing Value",0)</f>
        <v>Software &amp; Analytics</v>
      </c>
    </row>
    <row r="86" spans="1:17">
      <c r="A86" t="s">
        <v>2325</v>
      </c>
      <c r="B86" t="s">
        <v>2112</v>
      </c>
      <c r="C86" t="s">
        <v>147</v>
      </c>
      <c r="D86" t="s">
        <v>147</v>
      </c>
      <c r="E86" t="s">
        <v>2113</v>
      </c>
      <c r="F86" t="s">
        <v>2114</v>
      </c>
      <c r="G86">
        <v>420</v>
      </c>
      <c r="H86">
        <v>403.51</v>
      </c>
      <c r="I86" t="s">
        <v>2115</v>
      </c>
      <c r="K86" t="str">
        <f>_xlfn.XLOOKUP(Table4[[#This Row],[ProductID_Clean]],Table3[ProductID],Table3[BU],"Missing Value",0)</f>
        <v>Software &amp; Analytics</v>
      </c>
    </row>
    <row r="87" spans="1:17">
      <c r="A87" t="s">
        <v>2326</v>
      </c>
      <c r="B87" t="s">
        <v>2112</v>
      </c>
      <c r="C87" t="s">
        <v>147</v>
      </c>
      <c r="D87" t="s">
        <v>147</v>
      </c>
      <c r="E87" t="s">
        <v>2123</v>
      </c>
      <c r="F87" t="s">
        <v>2124</v>
      </c>
      <c r="G87">
        <v>680</v>
      </c>
      <c r="H87">
        <v>710.4</v>
      </c>
      <c r="I87" t="s">
        <v>2115</v>
      </c>
      <c r="K87" t="str">
        <f>_xlfn.XLOOKUP(Table4[[#This Row],[ProductID_Clean]],Table3[ProductID],Table3[BU],"Missing Value",0)</f>
        <v>Software &amp; Analytics</v>
      </c>
    </row>
    <row r="88" spans="1:17">
      <c r="A88" t="s">
        <v>2327</v>
      </c>
      <c r="B88" t="s">
        <v>2117</v>
      </c>
      <c r="C88" t="s">
        <v>147</v>
      </c>
      <c r="D88" t="s">
        <v>147</v>
      </c>
      <c r="E88" t="s">
        <v>2113</v>
      </c>
      <c r="F88" t="s">
        <v>2114</v>
      </c>
      <c r="G88">
        <v>420</v>
      </c>
      <c r="H88">
        <v>393.51</v>
      </c>
      <c r="I88" t="s">
        <v>2115</v>
      </c>
      <c r="K88" t="str">
        <f>_xlfn.XLOOKUP(Table4[[#This Row],[ProductID_Clean]],Table3[ProductID],Table3[BU],"Missing Value",0)</f>
        <v>Software &amp; Analytics</v>
      </c>
    </row>
    <row r="89" spans="1:17">
      <c r="A89" t="s">
        <v>2328</v>
      </c>
      <c r="B89" t="s">
        <v>2117</v>
      </c>
      <c r="C89" t="s">
        <v>147</v>
      </c>
      <c r="D89" t="s">
        <v>147</v>
      </c>
      <c r="E89" t="s">
        <v>2123</v>
      </c>
      <c r="F89" t="s">
        <v>2124</v>
      </c>
      <c r="G89">
        <v>680</v>
      </c>
      <c r="H89">
        <v>697.66</v>
      </c>
      <c r="I89" t="s">
        <v>2115</v>
      </c>
      <c r="K89" t="str">
        <f>_xlfn.XLOOKUP(Table4[[#This Row],[ProductID_Clean]],Table3[ProductID],Table3[BU],"Missing Value",0)</f>
        <v>Software &amp; Analytics</v>
      </c>
    </row>
    <row r="90" spans="1:17">
      <c r="A90" t="s">
        <v>2329</v>
      </c>
      <c r="B90" t="s">
        <v>2170</v>
      </c>
      <c r="C90" t="s">
        <v>147</v>
      </c>
      <c r="D90" t="s">
        <v>147</v>
      </c>
      <c r="E90" t="s">
        <v>2113</v>
      </c>
      <c r="F90" t="s">
        <v>2114</v>
      </c>
      <c r="G90">
        <v>420</v>
      </c>
      <c r="H90">
        <v>392.18</v>
      </c>
      <c r="I90" t="s">
        <v>2115</v>
      </c>
      <c r="K90" t="str">
        <f>_xlfn.XLOOKUP(Table4[[#This Row],[ProductID_Clean]],Table3[ProductID],Table3[BU],"Missing Value",0)</f>
        <v>Software &amp; Analytics</v>
      </c>
    </row>
    <row r="91" spans="1:17">
      <c r="A91" t="s">
        <v>2330</v>
      </c>
      <c r="B91" t="s">
        <v>2170</v>
      </c>
      <c r="C91" t="s">
        <v>147</v>
      </c>
      <c r="D91" t="s">
        <v>147</v>
      </c>
      <c r="E91" t="s">
        <v>2123</v>
      </c>
      <c r="F91" t="s">
        <v>2124</v>
      </c>
      <c r="G91">
        <v>680</v>
      </c>
      <c r="H91">
        <v>702.72</v>
      </c>
      <c r="I91" t="s">
        <v>2115</v>
      </c>
      <c r="K91" t="str">
        <f>_xlfn.XLOOKUP(Table4[[#This Row],[ProductID_Clean]],Table3[ProductID],Table3[BU],"Missing Value",0)</f>
        <v>Software &amp; Analytics</v>
      </c>
    </row>
    <row r="92" spans="1:17">
      <c r="A92" t="s">
        <v>2331</v>
      </c>
      <c r="B92" t="s">
        <v>2120</v>
      </c>
      <c r="C92" t="s">
        <v>147</v>
      </c>
      <c r="D92" t="s">
        <v>147</v>
      </c>
      <c r="E92" t="s">
        <v>2113</v>
      </c>
      <c r="F92" t="s">
        <v>2114</v>
      </c>
      <c r="G92">
        <v>420</v>
      </c>
      <c r="H92">
        <v>395.9</v>
      </c>
      <c r="I92" t="s">
        <v>2115</v>
      </c>
      <c r="K92" t="str">
        <f>_xlfn.XLOOKUP(Table4[[#This Row],[ProductID_Clean]],Table3[ProductID],Table3[BU],"Missing Value",0)</f>
        <v>Software &amp; Analytics</v>
      </c>
    </row>
    <row r="93" spans="1:17">
      <c r="A93" t="s">
        <v>2332</v>
      </c>
      <c r="B93" t="s">
        <v>2120</v>
      </c>
      <c r="C93" t="s">
        <v>147</v>
      </c>
      <c r="D93" t="s">
        <v>147</v>
      </c>
      <c r="E93" t="s">
        <v>2123</v>
      </c>
      <c r="F93" t="s">
        <v>2124</v>
      </c>
      <c r="G93">
        <v>680</v>
      </c>
      <c r="H93">
        <v>657.71</v>
      </c>
      <c r="I93" t="s">
        <v>2115</v>
      </c>
      <c r="K93" t="str">
        <f>_xlfn.XLOOKUP(Table4[[#This Row],[ProductID_Clean]],Table3[ProductID],Table3[BU],"Missing Value",0)</f>
        <v>Software &amp; Analytics</v>
      </c>
      <c r="M93" s="24"/>
      <c r="P93" s="7"/>
      <c r="Q93" s="7"/>
    </row>
    <row r="94" spans="1:17">
      <c r="A94" t="s">
        <v>2334</v>
      </c>
      <c r="B94" t="s">
        <v>2206</v>
      </c>
      <c r="C94" t="s">
        <v>147</v>
      </c>
      <c r="D94" t="s">
        <v>147</v>
      </c>
      <c r="E94" t="s">
        <v>2123</v>
      </c>
      <c r="F94" t="s">
        <v>2124</v>
      </c>
      <c r="G94">
        <v>680</v>
      </c>
      <c r="H94">
        <v>711.13</v>
      </c>
      <c r="I94" t="s">
        <v>2115</v>
      </c>
      <c r="K94" t="str">
        <f>_xlfn.XLOOKUP(Table4[[#This Row],[ProductID_Clean]],Table3[ProductID],Table3[BU],"Missing Value",0)</f>
        <v>Software &amp; Analytics</v>
      </c>
      <c r="M94" s="23"/>
      <c r="N94" s="7"/>
      <c r="P94" s="7"/>
      <c r="Q94" s="7"/>
    </row>
    <row r="95" spans="1:17">
      <c r="A95" t="s">
        <v>2333</v>
      </c>
      <c r="B95" t="s">
        <v>2206</v>
      </c>
      <c r="C95" t="s">
        <v>147</v>
      </c>
      <c r="D95" t="s">
        <v>147</v>
      </c>
      <c r="E95" t="s">
        <v>2113</v>
      </c>
      <c r="F95" t="s">
        <v>2114</v>
      </c>
      <c r="G95">
        <v>420</v>
      </c>
      <c r="H95">
        <v>407.64</v>
      </c>
      <c r="I95" t="s">
        <v>2115</v>
      </c>
      <c r="K95" t="str">
        <f>_xlfn.XLOOKUP(Table4[[#This Row],[ProductID_Clean]],Table3[ProductID],Table3[BU],"Missing Value",0)</f>
        <v>Software &amp; Analytics</v>
      </c>
    </row>
    <row r="96" spans="1:17">
      <c r="A96" t="s">
        <v>2335</v>
      </c>
      <c r="B96" t="s">
        <v>2122</v>
      </c>
      <c r="C96" t="s">
        <v>147</v>
      </c>
      <c r="D96" t="s">
        <v>147</v>
      </c>
      <c r="E96" t="s">
        <v>2287</v>
      </c>
      <c r="F96" t="s">
        <v>2114</v>
      </c>
      <c r="G96">
        <v>420</v>
      </c>
      <c r="H96">
        <v>403.67</v>
      </c>
      <c r="I96" t="s">
        <v>2115</v>
      </c>
      <c r="K96" t="str">
        <f>_xlfn.XLOOKUP(Table4[[#This Row],[ProductID_Clean]],Table3[ProductID],Table3[BU],"Missing Value",0)</f>
        <v>Software &amp; Analytics</v>
      </c>
    </row>
    <row r="97" spans="1:11">
      <c r="A97" t="s">
        <v>2336</v>
      </c>
      <c r="B97" t="s">
        <v>2122</v>
      </c>
      <c r="C97" t="s">
        <v>147</v>
      </c>
      <c r="D97" t="s">
        <v>147</v>
      </c>
      <c r="E97" t="s">
        <v>2123</v>
      </c>
      <c r="F97" t="s">
        <v>2124</v>
      </c>
      <c r="G97">
        <v>680</v>
      </c>
      <c r="H97">
        <v>731.37</v>
      </c>
      <c r="I97" t="s">
        <v>2115</v>
      </c>
      <c r="K97" t="str">
        <f>_xlfn.XLOOKUP(Table4[[#This Row],[ProductID_Clean]],Table3[ProductID],Table3[BU],"Missing Value",0)</f>
        <v>Software &amp; Analytics</v>
      </c>
    </row>
    <row r="98" spans="1:11">
      <c r="A98" t="s">
        <v>2337</v>
      </c>
      <c r="B98" t="s">
        <v>2112</v>
      </c>
      <c r="C98" t="s">
        <v>51</v>
      </c>
      <c r="D98" t="s">
        <v>51</v>
      </c>
      <c r="E98" t="s">
        <v>2113</v>
      </c>
      <c r="F98" t="s">
        <v>2114</v>
      </c>
      <c r="G98">
        <v>95</v>
      </c>
      <c r="H98">
        <v>93.7</v>
      </c>
      <c r="I98" t="s">
        <v>2115</v>
      </c>
      <c r="K98" t="str">
        <f>_xlfn.XLOOKUP(Table4[[#This Row],[ProductID_Clean]],Table3[ProductID],Table3[BU],"Missing Value",0)</f>
        <v>Software &amp; Analytics</v>
      </c>
    </row>
    <row r="99" spans="1:11">
      <c r="A99" t="s">
        <v>2338</v>
      </c>
      <c r="B99" t="s">
        <v>2112</v>
      </c>
      <c r="C99" t="s">
        <v>51</v>
      </c>
      <c r="D99" t="s">
        <v>51</v>
      </c>
      <c r="E99" t="s">
        <v>2123</v>
      </c>
      <c r="F99" t="s">
        <v>2124</v>
      </c>
      <c r="G99">
        <v>210</v>
      </c>
      <c r="H99">
        <v>222.93</v>
      </c>
      <c r="I99" t="s">
        <v>2115</v>
      </c>
      <c r="K99" t="str">
        <f>_xlfn.XLOOKUP(Table4[[#This Row],[ProductID_Clean]],Table3[ProductID],Table3[BU],"Missing Value",0)</f>
        <v>Software &amp; Analytics</v>
      </c>
    </row>
    <row r="100" spans="1:11">
      <c r="A100" t="s">
        <v>2339</v>
      </c>
      <c r="B100" t="s">
        <v>2117</v>
      </c>
      <c r="C100" t="s">
        <v>51</v>
      </c>
      <c r="D100" t="s">
        <v>51</v>
      </c>
      <c r="E100" t="s">
        <v>2113</v>
      </c>
      <c r="F100" t="s">
        <v>2114</v>
      </c>
      <c r="G100">
        <v>95</v>
      </c>
      <c r="H100">
        <v>96.82</v>
      </c>
      <c r="I100" t="s">
        <v>2115</v>
      </c>
      <c r="K100" t="str">
        <f>_xlfn.XLOOKUP(Table4[[#This Row],[ProductID_Clean]],Table3[ProductID],Table3[BU],"Missing Value",0)</f>
        <v>Software &amp; Analytics</v>
      </c>
    </row>
    <row r="101" spans="1:11">
      <c r="A101" t="s">
        <v>2340</v>
      </c>
      <c r="B101" t="s">
        <v>2117</v>
      </c>
      <c r="C101" t="s">
        <v>51</v>
      </c>
      <c r="D101" t="s">
        <v>51</v>
      </c>
      <c r="E101" t="s">
        <v>2123</v>
      </c>
      <c r="F101" t="s">
        <v>2124</v>
      </c>
      <c r="G101">
        <v>210</v>
      </c>
      <c r="H101">
        <v>223.9</v>
      </c>
      <c r="I101" t="s">
        <v>2115</v>
      </c>
      <c r="K101" t="str">
        <f>_xlfn.XLOOKUP(Table4[[#This Row],[ProductID_Clean]],Table3[ProductID],Table3[BU],"Missing Value",0)</f>
        <v>Software &amp; Analytics</v>
      </c>
    </row>
    <row r="102" spans="1:11">
      <c r="A102" t="s">
        <v>2341</v>
      </c>
      <c r="B102" t="s">
        <v>2170</v>
      </c>
      <c r="C102" t="s">
        <v>51</v>
      </c>
      <c r="D102" t="s">
        <v>51</v>
      </c>
      <c r="E102" t="s">
        <v>2113</v>
      </c>
      <c r="F102" t="s">
        <v>2114</v>
      </c>
      <c r="G102">
        <v>95</v>
      </c>
      <c r="H102">
        <v>102.15</v>
      </c>
      <c r="I102" t="s">
        <v>2115</v>
      </c>
      <c r="K102" t="str">
        <f>_xlfn.XLOOKUP(Table4[[#This Row],[ProductID_Clean]],Table3[ProductID],Table3[BU],"Missing Value",0)</f>
        <v>Software &amp; Analytics</v>
      </c>
    </row>
    <row r="103" spans="1:11">
      <c r="A103" t="s">
        <v>2342</v>
      </c>
      <c r="B103" t="s">
        <v>2170</v>
      </c>
      <c r="C103" t="s">
        <v>51</v>
      </c>
      <c r="D103" t="s">
        <v>51</v>
      </c>
      <c r="E103" t="s">
        <v>2123</v>
      </c>
      <c r="F103" t="s">
        <v>2124</v>
      </c>
      <c r="G103">
        <v>210</v>
      </c>
      <c r="H103">
        <v>213.69</v>
      </c>
      <c r="I103" t="s">
        <v>2115</v>
      </c>
      <c r="K103" t="str">
        <f>_xlfn.XLOOKUP(Table4[[#This Row],[ProductID_Clean]],Table3[ProductID],Table3[BU],"Missing Value",0)</f>
        <v>Software &amp; Analytics</v>
      </c>
    </row>
    <row r="104" spans="1:11">
      <c r="A104" t="s">
        <v>2343</v>
      </c>
      <c r="B104" t="s">
        <v>2120</v>
      </c>
      <c r="C104" t="s">
        <v>51</v>
      </c>
      <c r="D104" t="s">
        <v>51</v>
      </c>
      <c r="E104" t="s">
        <v>2113</v>
      </c>
      <c r="F104" t="s">
        <v>2114</v>
      </c>
      <c r="G104">
        <v>95</v>
      </c>
      <c r="H104">
        <v>94.46</v>
      </c>
      <c r="I104" t="s">
        <v>2115</v>
      </c>
      <c r="K104" t="str">
        <f>_xlfn.XLOOKUP(Table4[[#This Row],[ProductID_Clean]],Table3[ProductID],Table3[BU],"Missing Value",0)</f>
        <v>Software &amp; Analytics</v>
      </c>
    </row>
    <row r="105" spans="1:11">
      <c r="A105" t="s">
        <v>2344</v>
      </c>
      <c r="B105" t="s">
        <v>2120</v>
      </c>
      <c r="C105" t="s">
        <v>51</v>
      </c>
      <c r="D105" t="s">
        <v>51</v>
      </c>
      <c r="E105" t="s">
        <v>2123</v>
      </c>
      <c r="F105" t="s">
        <v>2124</v>
      </c>
      <c r="G105">
        <v>210</v>
      </c>
      <c r="H105">
        <v>213.85</v>
      </c>
      <c r="I105" t="s">
        <v>2115</v>
      </c>
      <c r="K105" t="str">
        <f>_xlfn.XLOOKUP(Table4[[#This Row],[ProductID_Clean]],Table3[ProductID],Table3[BU],"Missing Value",0)</f>
        <v>Software &amp; Analytics</v>
      </c>
    </row>
    <row r="106" spans="1:11">
      <c r="A106" t="s">
        <v>2345</v>
      </c>
      <c r="B106" t="s">
        <v>2206</v>
      </c>
      <c r="C106" t="s">
        <v>51</v>
      </c>
      <c r="D106" t="s">
        <v>51</v>
      </c>
      <c r="E106" t="s">
        <v>2113</v>
      </c>
      <c r="F106" t="s">
        <v>2114</v>
      </c>
      <c r="G106">
        <v>95</v>
      </c>
      <c r="H106">
        <v>92.44</v>
      </c>
      <c r="I106" t="s">
        <v>2115</v>
      </c>
      <c r="K106" t="str">
        <f>_xlfn.XLOOKUP(Table4[[#This Row],[ProductID_Clean]],Table3[ProductID],Table3[BU],"Missing Value",0)</f>
        <v>Software &amp; Analytics</v>
      </c>
    </row>
    <row r="107" spans="1:11">
      <c r="A107" t="s">
        <v>2346</v>
      </c>
      <c r="B107" t="s">
        <v>2206</v>
      </c>
      <c r="C107" t="s">
        <v>51</v>
      </c>
      <c r="D107" t="s">
        <v>51</v>
      </c>
      <c r="E107" t="s">
        <v>2123</v>
      </c>
      <c r="F107" t="s">
        <v>2124</v>
      </c>
      <c r="G107">
        <v>210</v>
      </c>
      <c r="H107">
        <v>208</v>
      </c>
      <c r="I107" t="s">
        <v>2115</v>
      </c>
      <c r="K107" t="str">
        <f>_xlfn.XLOOKUP(Table4[[#This Row],[ProductID_Clean]],Table3[ProductID],Table3[BU],"Missing Value",0)</f>
        <v>Software &amp; Analytics</v>
      </c>
    </row>
    <row r="108" spans="1:11">
      <c r="A108" t="s">
        <v>2347</v>
      </c>
      <c r="B108" t="s">
        <v>2122</v>
      </c>
      <c r="C108" t="s">
        <v>51</v>
      </c>
      <c r="D108" t="s">
        <v>51</v>
      </c>
      <c r="E108" t="s">
        <v>2113</v>
      </c>
      <c r="F108" t="s">
        <v>2114</v>
      </c>
      <c r="G108">
        <v>95</v>
      </c>
      <c r="H108">
        <v>95.52</v>
      </c>
      <c r="I108" t="s">
        <v>2115</v>
      </c>
      <c r="K108" t="str">
        <f>_xlfn.XLOOKUP(Table4[[#This Row],[ProductID_Clean]],Table3[ProductID],Table3[BU],"Missing Value",0)</f>
        <v>Software &amp; Analytics</v>
      </c>
    </row>
    <row r="109" spans="1:11">
      <c r="A109" t="s">
        <v>2348</v>
      </c>
      <c r="B109" t="s">
        <v>2122</v>
      </c>
      <c r="C109" t="s">
        <v>51</v>
      </c>
      <c r="D109" t="s">
        <v>51</v>
      </c>
      <c r="E109" t="s">
        <v>2123</v>
      </c>
      <c r="F109" t="s">
        <v>2124</v>
      </c>
      <c r="G109">
        <v>210</v>
      </c>
      <c r="H109">
        <v>220.22</v>
      </c>
      <c r="I109" t="s">
        <v>2115</v>
      </c>
      <c r="K109" t="str">
        <f>_xlfn.XLOOKUP(Table4[[#This Row],[ProductID_Clean]],Table3[ProductID],Table3[BU],"Missing Value",0)</f>
        <v>Software &amp; Analytics</v>
      </c>
    </row>
    <row r="110" spans="1:11">
      <c r="A110" t="s">
        <v>2349</v>
      </c>
      <c r="B110" t="s">
        <v>2112</v>
      </c>
      <c r="C110" t="s">
        <v>86</v>
      </c>
      <c r="D110" t="s">
        <v>86</v>
      </c>
      <c r="E110" t="s">
        <v>2113</v>
      </c>
      <c r="F110" t="s">
        <v>2114</v>
      </c>
      <c r="G110">
        <v>65</v>
      </c>
      <c r="H110">
        <v>66.33</v>
      </c>
      <c r="I110" t="s">
        <v>2115</v>
      </c>
      <c r="K110" t="str">
        <f>_xlfn.XLOOKUP(Table4[[#This Row],[ProductID_Clean]],Table3[ProductID],Table3[BU],"Missing Value",0)</f>
        <v>Software &amp; Analytics</v>
      </c>
    </row>
    <row r="111" spans="1:11">
      <c r="A111" t="s">
        <v>2350</v>
      </c>
      <c r="B111" t="s">
        <v>2112</v>
      </c>
      <c r="C111" t="s">
        <v>86</v>
      </c>
      <c r="D111" t="s">
        <v>86</v>
      </c>
      <c r="E111" t="s">
        <v>2123</v>
      </c>
      <c r="F111" t="s">
        <v>2124</v>
      </c>
      <c r="G111">
        <v>145</v>
      </c>
      <c r="H111">
        <v>144.66</v>
      </c>
      <c r="I111" t="s">
        <v>2115</v>
      </c>
      <c r="K111" t="str">
        <f>_xlfn.XLOOKUP(Table4[[#This Row],[ProductID_Clean]],Table3[ProductID],Table3[BU],"Missing Value",0)</f>
        <v>Software &amp; Analytics</v>
      </c>
    </row>
    <row r="112" spans="1:11">
      <c r="A112" t="s">
        <v>2351</v>
      </c>
      <c r="B112" t="s">
        <v>2117</v>
      </c>
      <c r="C112" t="s">
        <v>86</v>
      </c>
      <c r="D112" t="s">
        <v>86</v>
      </c>
      <c r="E112" t="s">
        <v>2113</v>
      </c>
      <c r="F112" t="s">
        <v>2114</v>
      </c>
      <c r="G112">
        <v>65</v>
      </c>
      <c r="H112">
        <v>69.849999999999994</v>
      </c>
      <c r="I112" t="s">
        <v>2115</v>
      </c>
      <c r="K112" t="str">
        <f>_xlfn.XLOOKUP(Table4[[#This Row],[ProductID_Clean]],Table3[ProductID],Table3[BU],"Missing Value",0)</f>
        <v>Software &amp; Analytics</v>
      </c>
    </row>
    <row r="113" spans="1:11">
      <c r="A113" t="s">
        <v>2352</v>
      </c>
      <c r="B113" t="s">
        <v>2117</v>
      </c>
      <c r="C113" t="s">
        <v>86</v>
      </c>
      <c r="D113" t="s">
        <v>86</v>
      </c>
      <c r="E113" t="s">
        <v>2123</v>
      </c>
      <c r="F113" t="s">
        <v>2124</v>
      </c>
      <c r="G113">
        <v>145</v>
      </c>
      <c r="H113">
        <v>147.44</v>
      </c>
      <c r="I113" t="s">
        <v>2115</v>
      </c>
      <c r="K113" t="str">
        <f>_xlfn.XLOOKUP(Table4[[#This Row],[ProductID_Clean]],Table3[ProductID],Table3[BU],"Missing Value",0)</f>
        <v>Software &amp; Analytics</v>
      </c>
    </row>
    <row r="114" spans="1:11">
      <c r="A114" t="s">
        <v>2353</v>
      </c>
      <c r="B114" t="s">
        <v>2170</v>
      </c>
      <c r="C114" t="s">
        <v>86</v>
      </c>
      <c r="D114" t="s">
        <v>86</v>
      </c>
      <c r="E114" t="s">
        <v>2113</v>
      </c>
      <c r="F114" t="s">
        <v>2114</v>
      </c>
      <c r="G114">
        <v>65</v>
      </c>
      <c r="H114">
        <v>67.67</v>
      </c>
      <c r="I114" t="s">
        <v>2115</v>
      </c>
      <c r="K114" t="str">
        <f>_xlfn.XLOOKUP(Table4[[#This Row],[ProductID_Clean]],Table3[ProductID],Table3[BU],"Missing Value",0)</f>
        <v>Software &amp; Analytics</v>
      </c>
    </row>
    <row r="115" spans="1:11">
      <c r="A115" t="s">
        <v>2354</v>
      </c>
      <c r="B115" t="s">
        <v>2170</v>
      </c>
      <c r="C115" t="s">
        <v>86</v>
      </c>
      <c r="D115" t="s">
        <v>86</v>
      </c>
      <c r="E115" t="s">
        <v>2123</v>
      </c>
      <c r="F115" t="s">
        <v>2124</v>
      </c>
      <c r="G115">
        <v>145</v>
      </c>
      <c r="H115">
        <v>139.41</v>
      </c>
      <c r="I115" t="s">
        <v>2115</v>
      </c>
      <c r="K115" t="str">
        <f>_xlfn.XLOOKUP(Table4[[#This Row],[ProductID_Clean]],Table3[ProductID],Table3[BU],"Missing Value",0)</f>
        <v>Software &amp; Analytics</v>
      </c>
    </row>
    <row r="116" spans="1:11">
      <c r="A116" t="s">
        <v>2355</v>
      </c>
      <c r="B116" t="s">
        <v>2120</v>
      </c>
      <c r="C116" t="s">
        <v>86</v>
      </c>
      <c r="D116" t="s">
        <v>86</v>
      </c>
      <c r="E116" t="s">
        <v>2113</v>
      </c>
      <c r="F116" t="s">
        <v>2114</v>
      </c>
      <c r="G116">
        <v>65</v>
      </c>
      <c r="H116">
        <v>62.98</v>
      </c>
      <c r="I116" t="s">
        <v>2115</v>
      </c>
      <c r="K116" t="str">
        <f>_xlfn.XLOOKUP(Table4[[#This Row],[ProductID_Clean]],Table3[ProductID],Table3[BU],"Missing Value",0)</f>
        <v>Software &amp; Analytics</v>
      </c>
    </row>
    <row r="117" spans="1:11">
      <c r="A117" t="s">
        <v>2356</v>
      </c>
      <c r="B117" t="s">
        <v>2120</v>
      </c>
      <c r="C117" t="s">
        <v>86</v>
      </c>
      <c r="D117" t="s">
        <v>86</v>
      </c>
      <c r="E117" t="s">
        <v>2123</v>
      </c>
      <c r="F117" t="s">
        <v>2124</v>
      </c>
      <c r="G117">
        <v>145</v>
      </c>
      <c r="H117">
        <v>152.15</v>
      </c>
      <c r="I117" t="s">
        <v>2115</v>
      </c>
      <c r="K117" t="str">
        <f>_xlfn.XLOOKUP(Table4[[#This Row],[ProductID_Clean]],Table3[ProductID],Table3[BU],"Missing Value",0)</f>
        <v>Software &amp; Analytics</v>
      </c>
    </row>
    <row r="118" spans="1:11">
      <c r="A118" t="s">
        <v>2357</v>
      </c>
      <c r="B118" t="s">
        <v>2206</v>
      </c>
      <c r="C118" t="s">
        <v>86</v>
      </c>
      <c r="D118" t="s">
        <v>86</v>
      </c>
      <c r="E118" t="s">
        <v>2113</v>
      </c>
      <c r="F118" t="s">
        <v>2114</v>
      </c>
      <c r="G118">
        <v>65</v>
      </c>
      <c r="H118">
        <v>64.709999999999994</v>
      </c>
      <c r="I118" t="s">
        <v>2115</v>
      </c>
      <c r="K118" t="str">
        <f>_xlfn.XLOOKUP(Table4[[#This Row],[ProductID_Clean]],Table3[ProductID],Table3[BU],"Missing Value",0)</f>
        <v>Software &amp; Analytics</v>
      </c>
    </row>
    <row r="119" spans="1:11">
      <c r="A119" t="s">
        <v>2358</v>
      </c>
      <c r="B119" t="s">
        <v>2206</v>
      </c>
      <c r="C119" t="s">
        <v>86</v>
      </c>
      <c r="D119" t="s">
        <v>86</v>
      </c>
      <c r="E119" t="s">
        <v>2123</v>
      </c>
      <c r="F119" t="s">
        <v>2124</v>
      </c>
      <c r="G119">
        <v>145</v>
      </c>
      <c r="H119">
        <v>153.69</v>
      </c>
      <c r="I119" t="s">
        <v>2115</v>
      </c>
      <c r="K119" t="str">
        <f>_xlfn.XLOOKUP(Table4[[#This Row],[ProductID_Clean]],Table3[ProductID],Table3[BU],"Missing Value",0)</f>
        <v>Software &amp; Analytics</v>
      </c>
    </row>
    <row r="120" spans="1:11" ht="15.75" customHeight="1">
      <c r="A120" t="s">
        <v>2359</v>
      </c>
      <c r="B120" t="s">
        <v>2122</v>
      </c>
      <c r="C120" t="s">
        <v>86</v>
      </c>
      <c r="D120" t="s">
        <v>86</v>
      </c>
      <c r="E120" t="s">
        <v>2113</v>
      </c>
      <c r="F120" t="s">
        <v>2114</v>
      </c>
      <c r="G120">
        <v>65</v>
      </c>
      <c r="H120">
        <v>64.45</v>
      </c>
      <c r="I120" t="s">
        <v>2115</v>
      </c>
      <c r="K120" t="str">
        <f>_xlfn.XLOOKUP(Table4[[#This Row],[ProductID_Clean]],Table3[ProductID],Table3[BU],"Missing Value",0)</f>
        <v>Software &amp; Analytics</v>
      </c>
    </row>
    <row r="121" spans="1:11">
      <c r="A121" t="s">
        <v>2360</v>
      </c>
      <c r="B121" t="s">
        <v>2122</v>
      </c>
      <c r="C121" t="s">
        <v>86</v>
      </c>
      <c r="D121" t="s">
        <v>86</v>
      </c>
      <c r="E121" t="s">
        <v>2123</v>
      </c>
      <c r="F121" t="s">
        <v>2124</v>
      </c>
      <c r="G121">
        <v>145</v>
      </c>
      <c r="H121">
        <v>140.94</v>
      </c>
      <c r="I121" t="s">
        <v>2115</v>
      </c>
      <c r="K121" t="str">
        <f>_xlfn.XLOOKUP(Table4[[#This Row],[ProductID_Clean]],Table3[ProductID],Table3[BU],"Missing Value",0)</f>
        <v>Software &amp; Analytics</v>
      </c>
    </row>
    <row r="122" spans="1:11">
      <c r="A122" t="s">
        <v>2361</v>
      </c>
      <c r="B122" t="s">
        <v>2112</v>
      </c>
      <c r="C122" t="s">
        <v>62</v>
      </c>
      <c r="D122" t="s">
        <v>62</v>
      </c>
      <c r="E122" t="s">
        <v>2123</v>
      </c>
      <c r="F122" t="s">
        <v>2124</v>
      </c>
      <c r="G122">
        <v>255</v>
      </c>
      <c r="H122">
        <v>253.97</v>
      </c>
      <c r="I122" t="s">
        <v>2115</v>
      </c>
      <c r="K122" t="str">
        <f>_xlfn.XLOOKUP(Table4[[#This Row],[ProductID_Clean]],Table3[ProductID],Table3[BU],"Missing Value",0)</f>
        <v>Software &amp; Analytics</v>
      </c>
    </row>
    <row r="123" spans="1:11">
      <c r="A123" t="s">
        <v>2362</v>
      </c>
      <c r="B123" t="s">
        <v>2117</v>
      </c>
      <c r="C123" t="s">
        <v>62</v>
      </c>
      <c r="D123" t="s">
        <v>62</v>
      </c>
      <c r="E123" t="s">
        <v>2113</v>
      </c>
      <c r="F123" t="s">
        <v>2114</v>
      </c>
      <c r="G123">
        <v>140</v>
      </c>
      <c r="H123">
        <v>140.63</v>
      </c>
      <c r="I123" t="s">
        <v>2115</v>
      </c>
      <c r="K123" t="str">
        <f>_xlfn.XLOOKUP(Table4[[#This Row],[ProductID_Clean]],Table3[ProductID],Table3[BU],"Missing Value",0)</f>
        <v>Software &amp; Analytics</v>
      </c>
    </row>
    <row r="124" spans="1:11">
      <c r="A124" t="s">
        <v>2363</v>
      </c>
      <c r="B124" t="s">
        <v>2117</v>
      </c>
      <c r="C124" t="s">
        <v>62</v>
      </c>
      <c r="D124" t="s">
        <v>62</v>
      </c>
      <c r="E124" t="s">
        <v>2123</v>
      </c>
      <c r="F124" t="s">
        <v>2124</v>
      </c>
      <c r="G124">
        <v>255</v>
      </c>
      <c r="H124">
        <v>266.43</v>
      </c>
      <c r="I124" t="s">
        <v>2115</v>
      </c>
      <c r="K124" t="str">
        <f>_xlfn.XLOOKUP(Table4[[#This Row],[ProductID_Clean]],Table3[ProductID],Table3[BU],"Missing Value",0)</f>
        <v>Software &amp; Analytics</v>
      </c>
    </row>
    <row r="125" spans="1:11">
      <c r="A125" t="s">
        <v>2364</v>
      </c>
      <c r="B125" t="s">
        <v>2170</v>
      </c>
      <c r="C125" t="s">
        <v>62</v>
      </c>
      <c r="D125" t="s">
        <v>62</v>
      </c>
      <c r="E125" t="s">
        <v>2113</v>
      </c>
      <c r="F125" t="s">
        <v>2114</v>
      </c>
      <c r="G125">
        <v>140</v>
      </c>
      <c r="H125">
        <v>146.57</v>
      </c>
      <c r="I125" t="s">
        <v>2115</v>
      </c>
      <c r="K125" t="str">
        <f>_xlfn.XLOOKUP(Table4[[#This Row],[ProductID_Clean]],Table3[ProductID],Table3[BU],"Missing Value",0)</f>
        <v>Software &amp; Analytics</v>
      </c>
    </row>
    <row r="126" spans="1:11">
      <c r="A126" t="s">
        <v>2365</v>
      </c>
      <c r="B126" t="s">
        <v>2170</v>
      </c>
      <c r="C126" t="s">
        <v>62</v>
      </c>
      <c r="D126" t="s">
        <v>62</v>
      </c>
      <c r="E126" t="s">
        <v>2123</v>
      </c>
      <c r="F126" t="s">
        <v>2124</v>
      </c>
      <c r="G126">
        <v>255</v>
      </c>
      <c r="H126">
        <v>246.37</v>
      </c>
      <c r="I126" t="s">
        <v>2115</v>
      </c>
      <c r="K126" t="str">
        <f>_xlfn.XLOOKUP(Table4[[#This Row],[ProductID_Clean]],Table3[ProductID],Table3[BU],"Missing Value",0)</f>
        <v>Software &amp; Analytics</v>
      </c>
    </row>
    <row r="127" spans="1:11" ht="16.5" customHeight="1">
      <c r="A127" t="s">
        <v>2366</v>
      </c>
      <c r="B127" t="s">
        <v>2120</v>
      </c>
      <c r="C127" t="s">
        <v>62</v>
      </c>
      <c r="D127" t="s">
        <v>62</v>
      </c>
      <c r="E127" t="s">
        <v>2113</v>
      </c>
      <c r="F127" t="s">
        <v>2114</v>
      </c>
      <c r="G127">
        <v>140</v>
      </c>
      <c r="H127">
        <v>143.72999999999999</v>
      </c>
      <c r="I127" t="s">
        <v>2115</v>
      </c>
      <c r="K127" t="str">
        <f>_xlfn.XLOOKUP(Table4[[#This Row],[ProductID_Clean]],Table3[ProductID],Table3[BU],"Missing Value",0)</f>
        <v>Software &amp; Analytics</v>
      </c>
    </row>
    <row r="128" spans="1:11">
      <c r="A128" t="s">
        <v>2367</v>
      </c>
      <c r="B128" t="s">
        <v>2120</v>
      </c>
      <c r="C128" t="s">
        <v>62</v>
      </c>
      <c r="D128" t="s">
        <v>62</v>
      </c>
      <c r="E128" t="s">
        <v>2123</v>
      </c>
      <c r="F128" t="s">
        <v>2124</v>
      </c>
      <c r="G128">
        <v>255</v>
      </c>
      <c r="H128">
        <v>257.27</v>
      </c>
      <c r="I128" t="s">
        <v>2115</v>
      </c>
      <c r="K128" t="str">
        <f>_xlfn.XLOOKUP(Table4[[#This Row],[ProductID_Clean]],Table3[ProductID],Table3[BU],"Missing Value",0)</f>
        <v>Software &amp; Analytics</v>
      </c>
    </row>
    <row r="129" spans="1:17">
      <c r="A129" t="s">
        <v>2368</v>
      </c>
      <c r="B129" t="s">
        <v>2206</v>
      </c>
      <c r="C129" t="s">
        <v>62</v>
      </c>
      <c r="D129" t="s">
        <v>62</v>
      </c>
      <c r="E129" t="s">
        <v>2113</v>
      </c>
      <c r="F129" t="s">
        <v>2114</v>
      </c>
      <c r="G129">
        <v>140</v>
      </c>
      <c r="H129">
        <v>146.06</v>
      </c>
      <c r="I129" t="s">
        <v>2115</v>
      </c>
      <c r="K129" t="str">
        <f>_xlfn.XLOOKUP(Table4[[#This Row],[ProductID_Clean]],Table3[ProductID],Table3[BU],"Missing Value",0)</f>
        <v>Software &amp; Analytics</v>
      </c>
    </row>
    <row r="130" spans="1:17">
      <c r="A130" t="s">
        <v>2369</v>
      </c>
      <c r="B130" t="s">
        <v>2206</v>
      </c>
      <c r="C130" t="s">
        <v>62</v>
      </c>
      <c r="D130" t="s">
        <v>62</v>
      </c>
      <c r="E130" t="s">
        <v>2123</v>
      </c>
      <c r="F130" t="s">
        <v>2124</v>
      </c>
      <c r="G130">
        <v>255</v>
      </c>
      <c r="H130">
        <v>253.05</v>
      </c>
      <c r="I130" t="s">
        <v>2115</v>
      </c>
      <c r="K130" t="str">
        <f>_xlfn.XLOOKUP(Table4[[#This Row],[ProductID_Clean]],Table3[ProductID],Table3[BU],"Missing Value",0)</f>
        <v>Software &amp; Analytics</v>
      </c>
    </row>
    <row r="131" spans="1:17">
      <c r="A131" t="s">
        <v>2370</v>
      </c>
      <c r="B131" t="s">
        <v>2122</v>
      </c>
      <c r="C131" t="s">
        <v>62</v>
      </c>
      <c r="D131" t="s">
        <v>62</v>
      </c>
      <c r="E131" t="s">
        <v>2113</v>
      </c>
      <c r="F131" t="s">
        <v>2114</v>
      </c>
      <c r="G131">
        <v>140</v>
      </c>
      <c r="H131">
        <v>142.15</v>
      </c>
      <c r="I131" t="s">
        <v>2115</v>
      </c>
      <c r="K131" t="str">
        <f>_xlfn.XLOOKUP(Table4[[#This Row],[ProductID_Clean]],Table3[ProductID],Table3[BU],"Missing Value",0)</f>
        <v>Software &amp; Analytics</v>
      </c>
    </row>
    <row r="132" spans="1:17">
      <c r="A132" t="s">
        <v>2371</v>
      </c>
      <c r="B132" t="s">
        <v>2122</v>
      </c>
      <c r="C132" t="s">
        <v>62</v>
      </c>
      <c r="D132" t="s">
        <v>62</v>
      </c>
      <c r="E132" t="s">
        <v>2123</v>
      </c>
      <c r="F132" t="s">
        <v>2124</v>
      </c>
      <c r="G132">
        <v>255</v>
      </c>
      <c r="H132">
        <v>256.83999999999997</v>
      </c>
      <c r="I132" t="s">
        <v>2115</v>
      </c>
      <c r="K132" t="str">
        <f>_xlfn.XLOOKUP(Table4[[#This Row],[ProductID_Clean]],Table3[ProductID],Table3[BU],"Missing Value",0)</f>
        <v>Software &amp; Analytics</v>
      </c>
      <c r="M132" s="12"/>
      <c r="N132" s="7"/>
      <c r="O132" s="7"/>
      <c r="P132" s="7"/>
      <c r="Q132" s="7"/>
    </row>
    <row r="133" spans="1:17">
      <c r="A133" t="s">
        <v>2372</v>
      </c>
      <c r="B133" t="s">
        <v>2112</v>
      </c>
      <c r="C133" t="s">
        <v>72</v>
      </c>
      <c r="D133" t="s">
        <v>72</v>
      </c>
      <c r="E133" t="s">
        <v>2287</v>
      </c>
      <c r="F133" t="s">
        <v>2114</v>
      </c>
      <c r="G133">
        <v>187.5</v>
      </c>
      <c r="H133">
        <v>185.89</v>
      </c>
      <c r="I133" t="s">
        <v>2118</v>
      </c>
      <c r="K133" t="str">
        <f>_xlfn.XLOOKUP(Table4[[#This Row],[ProductID_Clean]],Table3[ProductID],Table3[BU],"Missing Value",0)</f>
        <v>Sensors &amp; Instruments</v>
      </c>
    </row>
    <row r="134" spans="1:17">
      <c r="A134" t="s">
        <v>2373</v>
      </c>
      <c r="B134" t="s">
        <v>2112</v>
      </c>
      <c r="C134" t="s">
        <v>72</v>
      </c>
      <c r="D134" t="s">
        <v>72</v>
      </c>
      <c r="E134" t="s">
        <v>2123</v>
      </c>
      <c r="F134" t="s">
        <v>2124</v>
      </c>
      <c r="G134">
        <v>42</v>
      </c>
      <c r="H134">
        <v>42.81</v>
      </c>
      <c r="I134" t="s">
        <v>2118</v>
      </c>
      <c r="K134" t="str">
        <f>_xlfn.XLOOKUP(Table4[[#This Row],[ProductID_Clean]],Table3[ProductID],Table3[BU],"Missing Value",0)</f>
        <v>Sensors &amp; Instruments</v>
      </c>
    </row>
    <row r="135" spans="1:17">
      <c r="A135" t="s">
        <v>2374</v>
      </c>
      <c r="B135" t="s">
        <v>2117</v>
      </c>
      <c r="C135" t="s">
        <v>72</v>
      </c>
      <c r="D135" t="s">
        <v>72</v>
      </c>
      <c r="E135" t="s">
        <v>2123</v>
      </c>
      <c r="F135" t="s">
        <v>2124</v>
      </c>
      <c r="G135">
        <v>42</v>
      </c>
      <c r="H135">
        <v>42.48</v>
      </c>
      <c r="I135" t="s">
        <v>2118</v>
      </c>
      <c r="K135" t="str">
        <f>_xlfn.XLOOKUP(Table4[[#This Row],[ProductID_Clean]],Table3[ProductID],Table3[BU],"Missing Value",0)</f>
        <v>Sensors &amp; Instruments</v>
      </c>
    </row>
    <row r="136" spans="1:17">
      <c r="A136" t="s">
        <v>2375</v>
      </c>
      <c r="B136" t="s">
        <v>2170</v>
      </c>
      <c r="C136" t="s">
        <v>72</v>
      </c>
      <c r="D136" t="s">
        <v>72</v>
      </c>
      <c r="E136" t="s">
        <v>2113</v>
      </c>
      <c r="F136" t="s">
        <v>2114</v>
      </c>
      <c r="G136">
        <v>187.5</v>
      </c>
      <c r="H136">
        <v>195.26</v>
      </c>
      <c r="I136" t="s">
        <v>2118</v>
      </c>
      <c r="K136" t="str">
        <f>_xlfn.XLOOKUP(Table4[[#This Row],[ProductID_Clean]],Table3[ProductID],Table3[BU],"Missing Value",0)</f>
        <v>Sensors &amp; Instruments</v>
      </c>
    </row>
    <row r="137" spans="1:17">
      <c r="A137" t="s">
        <v>2376</v>
      </c>
      <c r="B137" t="s">
        <v>2170</v>
      </c>
      <c r="C137" t="s">
        <v>72</v>
      </c>
      <c r="D137" t="s">
        <v>72</v>
      </c>
      <c r="E137" t="s">
        <v>2123</v>
      </c>
      <c r="F137" t="s">
        <v>2124</v>
      </c>
      <c r="G137">
        <v>42</v>
      </c>
      <c r="H137">
        <v>40.03</v>
      </c>
      <c r="I137" t="s">
        <v>2118</v>
      </c>
      <c r="K137" t="str">
        <f>_xlfn.XLOOKUP(Table4[[#This Row],[ProductID_Clean]],Table3[ProductID],Table3[BU],"Missing Value",0)</f>
        <v>Sensors &amp; Instruments</v>
      </c>
    </row>
    <row r="138" spans="1:17">
      <c r="A138" t="s">
        <v>2377</v>
      </c>
      <c r="B138" t="s">
        <v>2120</v>
      </c>
      <c r="C138" t="s">
        <v>72</v>
      </c>
      <c r="D138" t="s">
        <v>72</v>
      </c>
      <c r="E138" t="s">
        <v>2113</v>
      </c>
      <c r="F138" t="s">
        <v>2114</v>
      </c>
      <c r="G138">
        <v>187.5</v>
      </c>
      <c r="H138">
        <v>185.52</v>
      </c>
      <c r="I138" t="s">
        <v>2118</v>
      </c>
      <c r="K138" t="str">
        <f>_xlfn.XLOOKUP(Table4[[#This Row],[ProductID_Clean]],Table3[ProductID],Table3[BU],"Missing Value",0)</f>
        <v>Sensors &amp; Instruments</v>
      </c>
    </row>
    <row r="139" spans="1:17">
      <c r="A139" t="s">
        <v>2378</v>
      </c>
      <c r="B139" t="s">
        <v>2120</v>
      </c>
      <c r="C139" t="s">
        <v>72</v>
      </c>
      <c r="D139" t="s">
        <v>72</v>
      </c>
      <c r="E139" t="s">
        <v>2123</v>
      </c>
      <c r="F139" t="s">
        <v>2124</v>
      </c>
      <c r="G139">
        <v>42</v>
      </c>
      <c r="H139">
        <v>41.53</v>
      </c>
      <c r="I139" t="s">
        <v>2118</v>
      </c>
      <c r="K139" t="str">
        <f>_xlfn.XLOOKUP(Table4[[#This Row],[ProductID_Clean]],Table3[ProductID],Table3[BU],"Missing Value",0)</f>
        <v>Sensors &amp; Instruments</v>
      </c>
    </row>
    <row r="140" spans="1:17">
      <c r="A140" t="s">
        <v>2379</v>
      </c>
      <c r="B140" t="s">
        <v>2206</v>
      </c>
      <c r="C140" t="s">
        <v>72</v>
      </c>
      <c r="D140" t="s">
        <v>72</v>
      </c>
      <c r="E140" t="s">
        <v>2113</v>
      </c>
      <c r="F140" t="s">
        <v>2114</v>
      </c>
      <c r="G140">
        <v>187.5</v>
      </c>
      <c r="H140">
        <v>188.04</v>
      </c>
      <c r="I140" t="s">
        <v>2118</v>
      </c>
      <c r="K140" t="str">
        <f>_xlfn.XLOOKUP(Table4[[#This Row],[ProductID_Clean]],Table3[ProductID],Table3[BU],"Missing Value",0)</f>
        <v>Sensors &amp; Instruments</v>
      </c>
    </row>
    <row r="141" spans="1:17">
      <c r="A141" t="s">
        <v>2380</v>
      </c>
      <c r="B141" t="s">
        <v>2206</v>
      </c>
      <c r="C141" t="s">
        <v>72</v>
      </c>
      <c r="D141" t="s">
        <v>72</v>
      </c>
      <c r="E141" t="s">
        <v>2123</v>
      </c>
      <c r="F141" t="s">
        <v>2124</v>
      </c>
      <c r="G141">
        <v>42</v>
      </c>
      <c r="H141">
        <v>44.88</v>
      </c>
      <c r="I141" t="s">
        <v>2118</v>
      </c>
      <c r="K141" t="str">
        <f>_xlfn.XLOOKUP(Table4[[#This Row],[ProductID_Clean]],Table3[ProductID],Table3[BU],"Missing Value",0)</f>
        <v>Sensors &amp; Instruments</v>
      </c>
    </row>
    <row r="142" spans="1:17">
      <c r="A142" t="s">
        <v>2381</v>
      </c>
      <c r="B142" t="s">
        <v>2122</v>
      </c>
      <c r="C142" t="s">
        <v>72</v>
      </c>
      <c r="D142" t="s">
        <v>72</v>
      </c>
      <c r="E142" t="s">
        <v>2113</v>
      </c>
      <c r="F142" t="s">
        <v>2114</v>
      </c>
      <c r="G142">
        <v>187.5</v>
      </c>
      <c r="H142">
        <v>181.78</v>
      </c>
      <c r="I142" t="s">
        <v>2118</v>
      </c>
      <c r="K142" t="str">
        <f>_xlfn.XLOOKUP(Table4[[#This Row],[ProductID_Clean]],Table3[ProductID],Table3[BU],"Missing Value",0)</f>
        <v>Sensors &amp; Instruments</v>
      </c>
    </row>
    <row r="143" spans="1:17">
      <c r="A143" t="s">
        <v>2382</v>
      </c>
      <c r="B143" t="s">
        <v>2122</v>
      </c>
      <c r="C143" t="s">
        <v>72</v>
      </c>
      <c r="D143" t="s">
        <v>72</v>
      </c>
      <c r="E143" t="s">
        <v>2123</v>
      </c>
      <c r="F143" t="s">
        <v>2124</v>
      </c>
      <c r="G143">
        <v>42</v>
      </c>
      <c r="H143">
        <v>43.91</v>
      </c>
      <c r="I143" t="s">
        <v>2118</v>
      </c>
      <c r="K143" t="str">
        <f>_xlfn.XLOOKUP(Table4[[#This Row],[ProductID_Clean]],Table3[ProductID],Table3[BU],"Missing Value",0)</f>
        <v>Sensors &amp; Instruments</v>
      </c>
    </row>
    <row r="144" spans="1:17">
      <c r="A144" t="s">
        <v>2383</v>
      </c>
      <c r="B144" t="s">
        <v>2112</v>
      </c>
      <c r="C144" t="s">
        <v>31</v>
      </c>
      <c r="D144" t="s">
        <v>31</v>
      </c>
      <c r="E144" t="s">
        <v>2113</v>
      </c>
      <c r="F144" t="s">
        <v>2114</v>
      </c>
      <c r="G144">
        <v>298</v>
      </c>
      <c r="H144">
        <v>304.11</v>
      </c>
      <c r="I144" t="s">
        <v>2118</v>
      </c>
      <c r="K144" t="str">
        <f>_xlfn.XLOOKUP(Table4[[#This Row],[ProductID_Clean]],Table3[ProductID],Table3[BU],"Missing Value",0)</f>
        <v>Sensors &amp; Instruments</v>
      </c>
    </row>
    <row r="145" spans="1:11">
      <c r="A145" t="s">
        <v>2384</v>
      </c>
      <c r="B145" t="s">
        <v>2112</v>
      </c>
      <c r="C145" t="s">
        <v>31</v>
      </c>
      <c r="D145" t="s">
        <v>31</v>
      </c>
      <c r="E145" t="s">
        <v>2123</v>
      </c>
      <c r="F145" t="s">
        <v>2124</v>
      </c>
      <c r="G145">
        <v>55</v>
      </c>
      <c r="H145">
        <v>58.88</v>
      </c>
      <c r="I145" t="s">
        <v>2118</v>
      </c>
      <c r="K145" t="str">
        <f>_xlfn.XLOOKUP(Table4[[#This Row],[ProductID_Clean]],Table3[ProductID],Table3[BU],"Missing Value",0)</f>
        <v>Sensors &amp; Instruments</v>
      </c>
    </row>
    <row r="146" spans="1:11">
      <c r="A146" t="s">
        <v>2385</v>
      </c>
      <c r="B146" t="s">
        <v>2117</v>
      </c>
      <c r="C146" t="s">
        <v>31</v>
      </c>
      <c r="D146" t="s">
        <v>31</v>
      </c>
      <c r="E146" t="s">
        <v>2113</v>
      </c>
      <c r="F146" t="s">
        <v>2114</v>
      </c>
      <c r="G146">
        <v>298</v>
      </c>
      <c r="H146">
        <v>285.66000000000003</v>
      </c>
      <c r="I146" t="s">
        <v>2118</v>
      </c>
      <c r="K146" t="str">
        <f>_xlfn.XLOOKUP(Table4[[#This Row],[ProductID_Clean]],Table3[ProductID],Table3[BU],"Missing Value",0)</f>
        <v>Sensors &amp; Instruments</v>
      </c>
    </row>
    <row r="147" spans="1:11">
      <c r="A147" t="s">
        <v>2386</v>
      </c>
      <c r="B147" t="s">
        <v>2117</v>
      </c>
      <c r="C147" t="s">
        <v>31</v>
      </c>
      <c r="D147" t="s">
        <v>31</v>
      </c>
      <c r="E147" t="s">
        <v>2123</v>
      </c>
      <c r="F147" t="s">
        <v>2124</v>
      </c>
      <c r="G147">
        <v>55</v>
      </c>
      <c r="H147">
        <v>53.16</v>
      </c>
      <c r="I147" t="s">
        <v>2118</v>
      </c>
      <c r="K147" t="str">
        <f>_xlfn.XLOOKUP(Table4[[#This Row],[ProductID_Clean]],Table3[ProductID],Table3[BU],"Missing Value",0)</f>
        <v>Sensors &amp; Instruments</v>
      </c>
    </row>
    <row r="148" spans="1:11">
      <c r="A148" t="s">
        <v>2387</v>
      </c>
      <c r="B148" t="s">
        <v>2170</v>
      </c>
      <c r="C148" t="s">
        <v>31</v>
      </c>
      <c r="D148" t="s">
        <v>31</v>
      </c>
      <c r="E148" t="s">
        <v>2113</v>
      </c>
      <c r="F148" t="s">
        <v>2114</v>
      </c>
      <c r="G148">
        <v>298</v>
      </c>
      <c r="H148">
        <v>288.19</v>
      </c>
      <c r="I148" t="s">
        <v>2118</v>
      </c>
      <c r="K148" t="str">
        <f>_xlfn.XLOOKUP(Table4[[#This Row],[ProductID_Clean]],Table3[ProductID],Table3[BU],"Missing Value",0)</f>
        <v>Sensors &amp; Instruments</v>
      </c>
    </row>
    <row r="149" spans="1:11">
      <c r="A149" t="s">
        <v>2388</v>
      </c>
      <c r="B149" t="s">
        <v>2170</v>
      </c>
      <c r="C149" t="s">
        <v>31</v>
      </c>
      <c r="D149" t="s">
        <v>31</v>
      </c>
      <c r="E149" t="s">
        <v>2123</v>
      </c>
      <c r="F149" t="s">
        <v>2124</v>
      </c>
      <c r="G149">
        <v>55</v>
      </c>
      <c r="H149">
        <v>55</v>
      </c>
      <c r="I149" t="s">
        <v>2118</v>
      </c>
      <c r="K149" t="str">
        <f>_xlfn.XLOOKUP(Table4[[#This Row],[ProductID_Clean]],Table3[ProductID],Table3[BU],"Missing Value",0)</f>
        <v>Sensors &amp; Instruments</v>
      </c>
    </row>
    <row r="150" spans="1:11">
      <c r="A150" t="s">
        <v>2389</v>
      </c>
      <c r="B150" t="s">
        <v>2120</v>
      </c>
      <c r="C150" t="s">
        <v>31</v>
      </c>
      <c r="D150" t="s">
        <v>31</v>
      </c>
      <c r="E150" t="s">
        <v>2113</v>
      </c>
      <c r="F150" t="s">
        <v>2114</v>
      </c>
      <c r="G150">
        <v>298</v>
      </c>
      <c r="H150">
        <v>308.39</v>
      </c>
      <c r="I150" t="s">
        <v>2118</v>
      </c>
      <c r="K150" t="str">
        <f>_xlfn.XLOOKUP(Table4[[#This Row],[ProductID_Clean]],Table3[ProductID],Table3[BU],"Missing Value",0)</f>
        <v>Sensors &amp; Instruments</v>
      </c>
    </row>
    <row r="151" spans="1:11">
      <c r="A151" t="s">
        <v>2390</v>
      </c>
      <c r="B151" t="s">
        <v>2120</v>
      </c>
      <c r="C151" t="s">
        <v>31</v>
      </c>
      <c r="D151" t="s">
        <v>31</v>
      </c>
      <c r="E151" t="s">
        <v>2123</v>
      </c>
      <c r="F151" t="s">
        <v>2124</v>
      </c>
      <c r="G151">
        <v>55</v>
      </c>
      <c r="H151">
        <v>54.69</v>
      </c>
      <c r="I151" t="s">
        <v>2118</v>
      </c>
      <c r="K151" t="str">
        <f>_xlfn.XLOOKUP(Table4[[#This Row],[ProductID_Clean]],Table3[ProductID],Table3[BU],"Missing Value",0)</f>
        <v>Sensors &amp; Instruments</v>
      </c>
    </row>
    <row r="152" spans="1:11">
      <c r="A152" t="s">
        <v>2391</v>
      </c>
      <c r="B152" t="s">
        <v>2206</v>
      </c>
      <c r="C152" t="s">
        <v>31</v>
      </c>
      <c r="D152" t="s">
        <v>31</v>
      </c>
      <c r="E152" t="s">
        <v>2113</v>
      </c>
      <c r="F152" t="s">
        <v>2114</v>
      </c>
      <c r="G152">
        <v>298</v>
      </c>
      <c r="H152">
        <v>312.18</v>
      </c>
      <c r="I152" t="s">
        <v>2118</v>
      </c>
      <c r="K152" t="str">
        <f>_xlfn.XLOOKUP(Table4[[#This Row],[ProductID_Clean]],Table3[ProductID],Table3[BU],"Missing Value",0)</f>
        <v>Sensors &amp; Instruments</v>
      </c>
    </row>
    <row r="153" spans="1:11">
      <c r="A153" t="s">
        <v>2392</v>
      </c>
      <c r="B153" t="s">
        <v>2206</v>
      </c>
      <c r="C153" t="s">
        <v>31</v>
      </c>
      <c r="D153" t="s">
        <v>31</v>
      </c>
      <c r="E153" t="s">
        <v>2123</v>
      </c>
      <c r="F153" t="s">
        <v>2124</v>
      </c>
      <c r="G153">
        <v>55</v>
      </c>
      <c r="H153">
        <v>54.68</v>
      </c>
      <c r="I153" t="s">
        <v>2118</v>
      </c>
      <c r="K153" t="str">
        <f>_xlfn.XLOOKUP(Table4[[#This Row],[ProductID_Clean]],Table3[ProductID],Table3[BU],"Missing Value",0)</f>
        <v>Sensors &amp; Instruments</v>
      </c>
    </row>
    <row r="154" spans="1:11">
      <c r="A154" t="s">
        <v>2393</v>
      </c>
      <c r="B154" t="s">
        <v>2122</v>
      </c>
      <c r="C154" t="s">
        <v>31</v>
      </c>
      <c r="D154" t="s">
        <v>31</v>
      </c>
      <c r="E154" t="s">
        <v>2113</v>
      </c>
      <c r="F154" t="s">
        <v>2114</v>
      </c>
      <c r="G154">
        <v>298</v>
      </c>
      <c r="H154">
        <v>316.85000000000002</v>
      </c>
      <c r="I154" t="s">
        <v>2118</v>
      </c>
      <c r="K154" t="str">
        <f>_xlfn.XLOOKUP(Table4[[#This Row],[ProductID_Clean]],Table3[ProductID],Table3[BU],"Missing Value",0)</f>
        <v>Sensors &amp; Instruments</v>
      </c>
    </row>
    <row r="155" spans="1:11">
      <c r="A155" t="s">
        <v>2394</v>
      </c>
      <c r="B155" t="s">
        <v>2122</v>
      </c>
      <c r="C155" t="s">
        <v>31</v>
      </c>
      <c r="D155" t="s">
        <v>31</v>
      </c>
      <c r="E155" t="s">
        <v>2123</v>
      </c>
      <c r="F155" t="s">
        <v>2124</v>
      </c>
      <c r="G155">
        <v>55</v>
      </c>
      <c r="H155">
        <v>52.52</v>
      </c>
      <c r="I155" t="s">
        <v>2118</v>
      </c>
      <c r="K155" t="str">
        <f>_xlfn.XLOOKUP(Table4[[#This Row],[ProductID_Clean]],Table3[ProductID],Table3[BU],"Missing Value",0)</f>
        <v>Sensors &amp; Instruments</v>
      </c>
    </row>
    <row r="156" spans="1:11">
      <c r="A156" t="s">
        <v>2395</v>
      </c>
      <c r="B156" t="s">
        <v>2112</v>
      </c>
      <c r="C156" t="s">
        <v>39</v>
      </c>
      <c r="D156" t="s">
        <v>39</v>
      </c>
      <c r="E156" t="s">
        <v>2113</v>
      </c>
      <c r="F156" t="s">
        <v>2114</v>
      </c>
      <c r="G156">
        <v>712</v>
      </c>
      <c r="H156">
        <v>794.9</v>
      </c>
      <c r="I156" t="s">
        <v>2118</v>
      </c>
      <c r="K156" t="str">
        <f>_xlfn.XLOOKUP(Table4[[#This Row],[ProductID_Clean]],Table3[ProductID],Table3[BU],"Missing Value",0)</f>
        <v>Sensors &amp; Instruments</v>
      </c>
    </row>
    <row r="157" spans="1:11">
      <c r="A157" t="s">
        <v>2396</v>
      </c>
      <c r="B157" t="s">
        <v>2112</v>
      </c>
      <c r="C157" t="s">
        <v>39</v>
      </c>
      <c r="D157" t="s">
        <v>39</v>
      </c>
      <c r="E157" t="s">
        <v>2123</v>
      </c>
      <c r="F157" t="s">
        <v>2124</v>
      </c>
      <c r="G157">
        <v>125</v>
      </c>
      <c r="H157">
        <v>123.14</v>
      </c>
      <c r="I157" t="s">
        <v>2118</v>
      </c>
      <c r="K157" t="str">
        <f>_xlfn.XLOOKUP(Table4[[#This Row],[ProductID_Clean]],Table3[ProductID],Table3[BU],"Missing Value",0)</f>
        <v>Sensors &amp; Instruments</v>
      </c>
    </row>
    <row r="158" spans="1:11">
      <c r="A158" t="s">
        <v>2397</v>
      </c>
      <c r="B158" t="s">
        <v>2117</v>
      </c>
      <c r="C158" t="s">
        <v>39</v>
      </c>
      <c r="D158" t="s">
        <v>39</v>
      </c>
      <c r="E158" t="s">
        <v>2113</v>
      </c>
      <c r="F158" t="s">
        <v>2114</v>
      </c>
      <c r="G158">
        <v>712</v>
      </c>
      <c r="H158">
        <v>811.01</v>
      </c>
      <c r="I158" t="s">
        <v>2118</v>
      </c>
      <c r="K158" t="str">
        <f>_xlfn.XLOOKUP(Table4[[#This Row],[ProductID_Clean]],Table3[ProductID],Table3[BU],"Missing Value",0)</f>
        <v>Sensors &amp; Instruments</v>
      </c>
    </row>
    <row r="159" spans="1:11">
      <c r="A159" t="s">
        <v>2398</v>
      </c>
      <c r="B159" t="s">
        <v>2117</v>
      </c>
      <c r="C159" t="s">
        <v>39</v>
      </c>
      <c r="D159" t="s">
        <v>39</v>
      </c>
      <c r="E159" t="s">
        <v>2123</v>
      </c>
      <c r="F159" t="s">
        <v>2124</v>
      </c>
      <c r="G159">
        <v>125</v>
      </c>
      <c r="H159">
        <v>127.83</v>
      </c>
      <c r="I159" t="s">
        <v>2118</v>
      </c>
      <c r="K159" t="str">
        <f>_xlfn.XLOOKUP(Table4[[#This Row],[ProductID_Clean]],Table3[ProductID],Table3[BU],"Missing Value",0)</f>
        <v>Sensors &amp; Instruments</v>
      </c>
    </row>
    <row r="160" spans="1:11">
      <c r="A160" t="s">
        <v>2399</v>
      </c>
      <c r="B160" t="s">
        <v>2170</v>
      </c>
      <c r="C160" t="s">
        <v>39</v>
      </c>
      <c r="D160" t="s">
        <v>39</v>
      </c>
      <c r="E160" t="s">
        <v>2113</v>
      </c>
      <c r="F160" t="s">
        <v>2114</v>
      </c>
      <c r="G160">
        <v>712</v>
      </c>
      <c r="H160">
        <v>782.95</v>
      </c>
      <c r="I160" t="s">
        <v>2118</v>
      </c>
      <c r="K160" t="str">
        <f>_xlfn.XLOOKUP(Table4[[#This Row],[ProductID_Clean]],Table3[ProductID],Table3[BU],"Missing Value",0)</f>
        <v>Sensors &amp; Instruments</v>
      </c>
    </row>
    <row r="161" spans="1:11">
      <c r="A161" t="s">
        <v>2400</v>
      </c>
      <c r="B161" t="s">
        <v>2170</v>
      </c>
      <c r="C161" t="s">
        <v>39</v>
      </c>
      <c r="D161" t="s">
        <v>39</v>
      </c>
      <c r="E161" t="s">
        <v>2123</v>
      </c>
      <c r="F161" t="s">
        <v>2124</v>
      </c>
      <c r="G161">
        <v>125</v>
      </c>
      <c r="H161">
        <v>133.09</v>
      </c>
      <c r="I161" t="s">
        <v>2118</v>
      </c>
      <c r="K161" t="str">
        <f>_xlfn.XLOOKUP(Table4[[#This Row],[ProductID_Clean]],Table3[ProductID],Table3[BU],"Missing Value",0)</f>
        <v>Sensors &amp; Instruments</v>
      </c>
    </row>
    <row r="162" spans="1:11">
      <c r="A162" t="s">
        <v>2401</v>
      </c>
      <c r="B162" t="s">
        <v>2120</v>
      </c>
      <c r="C162" t="s">
        <v>39</v>
      </c>
      <c r="D162" t="s">
        <v>39</v>
      </c>
      <c r="E162" t="s">
        <v>2113</v>
      </c>
      <c r="F162" t="s">
        <v>2114</v>
      </c>
      <c r="G162">
        <v>712</v>
      </c>
      <c r="H162">
        <v>784.39</v>
      </c>
      <c r="I162" t="s">
        <v>2118</v>
      </c>
      <c r="K162" t="str">
        <f>_xlfn.XLOOKUP(Table4[[#This Row],[ProductID_Clean]],Table3[ProductID],Table3[BU],"Missing Value",0)</f>
        <v>Sensors &amp; Instruments</v>
      </c>
    </row>
    <row r="163" spans="1:11">
      <c r="A163" t="s">
        <v>2402</v>
      </c>
      <c r="B163" t="s">
        <v>2120</v>
      </c>
      <c r="C163" t="s">
        <v>39</v>
      </c>
      <c r="D163" t="s">
        <v>39</v>
      </c>
      <c r="E163" t="s">
        <v>2123</v>
      </c>
      <c r="F163" t="s">
        <v>2124</v>
      </c>
      <c r="G163">
        <v>125</v>
      </c>
      <c r="H163">
        <v>131.94</v>
      </c>
      <c r="I163" t="s">
        <v>2118</v>
      </c>
      <c r="K163" t="str">
        <f>_xlfn.XLOOKUP(Table4[[#This Row],[ProductID_Clean]],Table3[ProductID],Table3[BU],"Missing Value",0)</f>
        <v>Sensors &amp; Instruments</v>
      </c>
    </row>
    <row r="164" spans="1:11">
      <c r="A164" t="s">
        <v>2403</v>
      </c>
      <c r="B164" t="s">
        <v>2206</v>
      </c>
      <c r="C164" t="s">
        <v>39</v>
      </c>
      <c r="D164" t="s">
        <v>39</v>
      </c>
      <c r="E164" t="s">
        <v>2113</v>
      </c>
      <c r="F164" t="s">
        <v>2114</v>
      </c>
      <c r="G164">
        <v>712</v>
      </c>
      <c r="H164">
        <v>799.24</v>
      </c>
      <c r="I164" t="s">
        <v>2118</v>
      </c>
      <c r="K164" t="str">
        <f>_xlfn.XLOOKUP(Table4[[#This Row],[ProductID_Clean]],Table3[ProductID],Table3[BU],"Missing Value",0)</f>
        <v>Sensors &amp; Instruments</v>
      </c>
    </row>
    <row r="165" spans="1:11">
      <c r="A165" t="s">
        <v>2404</v>
      </c>
      <c r="B165" t="s">
        <v>2206</v>
      </c>
      <c r="C165" t="s">
        <v>39</v>
      </c>
      <c r="D165" t="s">
        <v>39</v>
      </c>
      <c r="E165" t="s">
        <v>2123</v>
      </c>
      <c r="F165" t="s">
        <v>2124</v>
      </c>
      <c r="G165">
        <v>125</v>
      </c>
      <c r="H165">
        <v>118.81</v>
      </c>
      <c r="I165" t="s">
        <v>2118</v>
      </c>
      <c r="K165" t="str">
        <f>_xlfn.XLOOKUP(Table4[[#This Row],[ProductID_Clean]],Table3[ProductID],Table3[BU],"Missing Value",0)</f>
        <v>Sensors &amp; Instruments</v>
      </c>
    </row>
    <row r="166" spans="1:11">
      <c r="A166" t="s">
        <v>2405</v>
      </c>
      <c r="B166" t="s">
        <v>2122</v>
      </c>
      <c r="C166" t="s">
        <v>39</v>
      </c>
      <c r="D166" t="s">
        <v>39</v>
      </c>
      <c r="E166" t="s">
        <v>2113</v>
      </c>
      <c r="F166" t="s">
        <v>2114</v>
      </c>
      <c r="G166">
        <v>712</v>
      </c>
      <c r="H166">
        <v>820.79</v>
      </c>
      <c r="I166" t="s">
        <v>2118</v>
      </c>
      <c r="K166" t="str">
        <f>_xlfn.XLOOKUP(Table4[[#This Row],[ProductID_Clean]],Table3[ProductID],Table3[BU],"Missing Value",0)</f>
        <v>Sensors &amp; Instruments</v>
      </c>
    </row>
    <row r="167" spans="1:11">
      <c r="A167" t="s">
        <v>2406</v>
      </c>
      <c r="B167" t="s">
        <v>2122</v>
      </c>
      <c r="C167" t="s">
        <v>39</v>
      </c>
      <c r="D167" t="s">
        <v>39</v>
      </c>
      <c r="E167" t="s">
        <v>2123</v>
      </c>
      <c r="F167" t="s">
        <v>2124</v>
      </c>
      <c r="G167">
        <v>125</v>
      </c>
      <c r="H167">
        <v>121.28</v>
      </c>
      <c r="I167" t="s">
        <v>2118</v>
      </c>
      <c r="K167" t="str">
        <f>_xlfn.XLOOKUP(Table4[[#This Row],[ProductID_Clean]],Table3[ProductID],Table3[BU],"Missing Value",0)</f>
        <v>Sensors &amp; Instruments</v>
      </c>
    </row>
    <row r="168" spans="1:11">
      <c r="A168" t="s">
        <v>2407</v>
      </c>
      <c r="B168" t="s">
        <v>2112</v>
      </c>
      <c r="C168" t="s">
        <v>22</v>
      </c>
      <c r="D168" t="s">
        <v>22</v>
      </c>
      <c r="E168" t="s">
        <v>2113</v>
      </c>
      <c r="F168" t="s">
        <v>2114</v>
      </c>
      <c r="G168">
        <v>980</v>
      </c>
      <c r="H168">
        <v>1136.02</v>
      </c>
      <c r="I168" t="s">
        <v>2118</v>
      </c>
      <c r="K168" t="str">
        <f>_xlfn.XLOOKUP(Table4[[#This Row],[ProductID_Clean]],Table3[ProductID],Table3[BU],"Missing Value",0)</f>
        <v>Sensors &amp; Instruments</v>
      </c>
    </row>
    <row r="169" spans="1:11">
      <c r="A169" t="s">
        <v>2408</v>
      </c>
      <c r="B169" t="s">
        <v>2112</v>
      </c>
      <c r="C169" t="s">
        <v>22</v>
      </c>
      <c r="D169" t="s">
        <v>22</v>
      </c>
      <c r="E169" t="s">
        <v>2261</v>
      </c>
      <c r="F169" t="s">
        <v>2124</v>
      </c>
      <c r="G169">
        <v>145</v>
      </c>
      <c r="H169">
        <v>141.09</v>
      </c>
      <c r="I169" t="s">
        <v>2118</v>
      </c>
      <c r="K169" t="str">
        <f>_xlfn.XLOOKUP(Table4[[#This Row],[ProductID_Clean]],Table3[ProductID],Table3[BU],"Missing Value",0)</f>
        <v>Sensors &amp; Instruments</v>
      </c>
    </row>
    <row r="170" spans="1:11">
      <c r="A170" t="s">
        <v>2409</v>
      </c>
      <c r="B170" t="s">
        <v>2117</v>
      </c>
      <c r="C170" t="s">
        <v>22</v>
      </c>
      <c r="D170" t="s">
        <v>22</v>
      </c>
      <c r="E170" t="s">
        <v>2113</v>
      </c>
      <c r="F170" t="s">
        <v>2114</v>
      </c>
      <c r="G170">
        <v>980</v>
      </c>
      <c r="H170">
        <v>1134.42</v>
      </c>
      <c r="I170" t="s">
        <v>2118</v>
      </c>
      <c r="K170" t="str">
        <f>_xlfn.XLOOKUP(Table4[[#This Row],[ProductID_Clean]],Table3[ProductID],Table3[BU],"Missing Value",0)</f>
        <v>Sensors &amp; Instruments</v>
      </c>
    </row>
    <row r="171" spans="1:11">
      <c r="A171" t="s">
        <v>2410</v>
      </c>
      <c r="B171" t="s">
        <v>2117</v>
      </c>
      <c r="C171" t="s">
        <v>22</v>
      </c>
      <c r="D171" t="s">
        <v>22</v>
      </c>
      <c r="E171" t="s">
        <v>2123</v>
      </c>
      <c r="F171" t="s">
        <v>2124</v>
      </c>
      <c r="G171">
        <v>145</v>
      </c>
      <c r="H171">
        <v>142.75</v>
      </c>
      <c r="I171" t="s">
        <v>2118</v>
      </c>
      <c r="K171" t="str">
        <f>_xlfn.XLOOKUP(Table4[[#This Row],[ProductID_Clean]],Table3[ProductID],Table3[BU],"Missing Value",0)</f>
        <v>Sensors &amp; Instruments</v>
      </c>
    </row>
    <row r="172" spans="1:11">
      <c r="A172" t="s">
        <v>2411</v>
      </c>
      <c r="B172" t="s">
        <v>2170</v>
      </c>
      <c r="C172" t="s">
        <v>22</v>
      </c>
      <c r="D172" t="s">
        <v>22</v>
      </c>
      <c r="E172" t="s">
        <v>2113</v>
      </c>
      <c r="F172" t="s">
        <v>2114</v>
      </c>
      <c r="G172">
        <v>980</v>
      </c>
      <c r="H172">
        <v>1148.77</v>
      </c>
      <c r="I172" t="s">
        <v>2118</v>
      </c>
      <c r="K172" t="str">
        <f>_xlfn.XLOOKUP(Table4[[#This Row],[ProductID_Clean]],Table3[ProductID],Table3[BU],"Missing Value",0)</f>
        <v>Sensors &amp; Instruments</v>
      </c>
    </row>
    <row r="173" spans="1:11">
      <c r="A173" t="s">
        <v>2412</v>
      </c>
      <c r="B173" t="s">
        <v>2170</v>
      </c>
      <c r="C173" t="s">
        <v>22</v>
      </c>
      <c r="D173" t="s">
        <v>22</v>
      </c>
      <c r="E173" t="s">
        <v>2123</v>
      </c>
      <c r="F173" t="s">
        <v>2124</v>
      </c>
      <c r="G173">
        <v>145</v>
      </c>
      <c r="H173">
        <v>142.59</v>
      </c>
      <c r="I173" t="s">
        <v>2118</v>
      </c>
      <c r="K173" t="str">
        <f>_xlfn.XLOOKUP(Table4[[#This Row],[ProductID_Clean]],Table3[ProductID],Table3[BU],"Missing Value",0)</f>
        <v>Sensors &amp; Instruments</v>
      </c>
    </row>
    <row r="174" spans="1:11">
      <c r="A174" t="s">
        <v>2413</v>
      </c>
      <c r="B174" t="s">
        <v>2120</v>
      </c>
      <c r="C174" t="s">
        <v>22</v>
      </c>
      <c r="D174" t="s">
        <v>22</v>
      </c>
      <c r="E174" t="s">
        <v>2123</v>
      </c>
      <c r="F174" t="s">
        <v>2124</v>
      </c>
      <c r="G174">
        <v>145</v>
      </c>
      <c r="H174">
        <v>148.06</v>
      </c>
      <c r="I174" t="s">
        <v>2118</v>
      </c>
      <c r="K174" t="str">
        <f>_xlfn.XLOOKUP(Table4[[#This Row],[ProductID_Clean]],Table3[ProductID],Table3[BU],"Missing Value",0)</f>
        <v>Sensors &amp; Instruments</v>
      </c>
    </row>
    <row r="175" spans="1:11">
      <c r="A175" t="s">
        <v>2414</v>
      </c>
      <c r="B175" t="s">
        <v>2206</v>
      </c>
      <c r="C175" t="s">
        <v>22</v>
      </c>
      <c r="D175" t="s">
        <v>22</v>
      </c>
      <c r="E175" t="s">
        <v>2113</v>
      </c>
      <c r="F175" t="s">
        <v>2114</v>
      </c>
      <c r="G175">
        <v>980</v>
      </c>
      <c r="H175">
        <v>1144.29</v>
      </c>
      <c r="I175" t="s">
        <v>2118</v>
      </c>
      <c r="K175" t="str">
        <f>_xlfn.XLOOKUP(Table4[[#This Row],[ProductID_Clean]],Table3[ProductID],Table3[BU],"Missing Value",0)</f>
        <v>Sensors &amp; Instruments</v>
      </c>
    </row>
    <row r="176" spans="1:11" ht="15" customHeight="1">
      <c r="A176" t="s">
        <v>2415</v>
      </c>
      <c r="B176" t="s">
        <v>2206</v>
      </c>
      <c r="C176" t="s">
        <v>22</v>
      </c>
      <c r="D176" t="s">
        <v>22</v>
      </c>
      <c r="E176" t="s">
        <v>2261</v>
      </c>
      <c r="F176" t="s">
        <v>2124</v>
      </c>
      <c r="G176">
        <v>145</v>
      </c>
      <c r="H176">
        <v>147.81</v>
      </c>
      <c r="I176" t="s">
        <v>2118</v>
      </c>
      <c r="K176" t="str">
        <f>_xlfn.XLOOKUP(Table4[[#This Row],[ProductID_Clean]],Table3[ProductID],Table3[BU],"Missing Value",0)</f>
        <v>Sensors &amp; Instruments</v>
      </c>
    </row>
    <row r="177" spans="1:11">
      <c r="A177" t="s">
        <v>2416</v>
      </c>
      <c r="B177" t="s">
        <v>2122</v>
      </c>
      <c r="C177" t="s">
        <v>22</v>
      </c>
      <c r="D177" t="s">
        <v>22</v>
      </c>
      <c r="E177" t="s">
        <v>2113</v>
      </c>
      <c r="F177" t="s">
        <v>2114</v>
      </c>
      <c r="G177">
        <v>980</v>
      </c>
      <c r="H177">
        <v>1179.68</v>
      </c>
      <c r="I177" t="s">
        <v>2118</v>
      </c>
      <c r="K177" t="str">
        <f>_xlfn.XLOOKUP(Table4[[#This Row],[ProductID_Clean]],Table3[ProductID],Table3[BU],"Missing Value",0)</f>
        <v>Sensors &amp; Instruments</v>
      </c>
    </row>
    <row r="178" spans="1:11">
      <c r="A178" t="s">
        <v>2417</v>
      </c>
      <c r="B178" t="s">
        <v>2122</v>
      </c>
      <c r="C178" t="s">
        <v>22</v>
      </c>
      <c r="D178" t="s">
        <v>22</v>
      </c>
      <c r="E178" t="s">
        <v>2123</v>
      </c>
      <c r="F178" t="s">
        <v>2124</v>
      </c>
      <c r="G178">
        <v>145</v>
      </c>
      <c r="H178">
        <v>145.16999999999999</v>
      </c>
      <c r="I178" t="s">
        <v>2118</v>
      </c>
      <c r="K178" t="str">
        <f>_xlfn.XLOOKUP(Table4[[#This Row],[ProductID_Clean]],Table3[ProductID],Table3[BU],"Missing Value",0)</f>
        <v>Sensors &amp; Instruments</v>
      </c>
    </row>
    <row r="179" spans="1:11">
      <c r="A179" t="s">
        <v>2418</v>
      </c>
      <c r="B179" t="s">
        <v>2112</v>
      </c>
      <c r="C179" t="s">
        <v>57</v>
      </c>
      <c r="D179" t="s">
        <v>57</v>
      </c>
      <c r="E179" t="s">
        <v>2287</v>
      </c>
      <c r="F179" t="s">
        <v>2114</v>
      </c>
      <c r="G179">
        <v>445</v>
      </c>
      <c r="H179">
        <v>442.85</v>
      </c>
      <c r="I179" t="s">
        <v>2118</v>
      </c>
      <c r="K179" t="str">
        <f>_xlfn.XLOOKUP(Table4[[#This Row],[ProductID_Clean]],Table3[ProductID],Table3[BU],"Missing Value",0)</f>
        <v>Sensors &amp; Instruments</v>
      </c>
    </row>
    <row r="180" spans="1:11">
      <c r="A180" t="s">
        <v>2419</v>
      </c>
      <c r="B180" t="s">
        <v>2112</v>
      </c>
      <c r="C180" t="s">
        <v>57</v>
      </c>
      <c r="D180" t="s">
        <v>57</v>
      </c>
      <c r="E180" t="s">
        <v>2123</v>
      </c>
      <c r="F180" t="s">
        <v>2124</v>
      </c>
      <c r="G180">
        <v>78</v>
      </c>
      <c r="H180">
        <v>75.209999999999994</v>
      </c>
      <c r="I180" t="s">
        <v>2118</v>
      </c>
      <c r="K180" t="str">
        <f>_xlfn.XLOOKUP(Table4[[#This Row],[ProductID_Clean]],Table3[ProductID],Table3[BU],"Missing Value",0)</f>
        <v>Sensors &amp; Instruments</v>
      </c>
    </row>
    <row r="181" spans="1:11">
      <c r="A181" t="s">
        <v>2420</v>
      </c>
      <c r="B181" t="s">
        <v>2117</v>
      </c>
      <c r="C181" t="s">
        <v>57</v>
      </c>
      <c r="D181" t="s">
        <v>57</v>
      </c>
      <c r="E181" t="s">
        <v>2113</v>
      </c>
      <c r="F181" t="s">
        <v>2114</v>
      </c>
      <c r="G181">
        <v>445</v>
      </c>
      <c r="H181">
        <v>448.54</v>
      </c>
      <c r="I181" t="s">
        <v>2118</v>
      </c>
      <c r="K181" t="str">
        <f>_xlfn.XLOOKUP(Table4[[#This Row],[ProductID_Clean]],Table3[ProductID],Table3[BU],"Missing Value",0)</f>
        <v>Sensors &amp; Instruments</v>
      </c>
    </row>
    <row r="182" spans="1:11">
      <c r="A182" t="s">
        <v>2421</v>
      </c>
      <c r="B182" t="s">
        <v>2117</v>
      </c>
      <c r="C182" t="s">
        <v>57</v>
      </c>
      <c r="D182" t="s">
        <v>57</v>
      </c>
      <c r="E182" t="s">
        <v>2123</v>
      </c>
      <c r="F182" t="s">
        <v>2124</v>
      </c>
      <c r="G182">
        <v>78</v>
      </c>
      <c r="H182">
        <v>74.64</v>
      </c>
      <c r="I182" t="s">
        <v>2118</v>
      </c>
      <c r="K182" t="str">
        <f>_xlfn.XLOOKUP(Table4[[#This Row],[ProductID_Clean]],Table3[ProductID],Table3[BU],"Missing Value",0)</f>
        <v>Sensors &amp; Instruments</v>
      </c>
    </row>
    <row r="183" spans="1:11">
      <c r="A183" t="s">
        <v>2422</v>
      </c>
      <c r="B183" t="s">
        <v>2170</v>
      </c>
      <c r="C183" t="s">
        <v>57</v>
      </c>
      <c r="D183" t="s">
        <v>57</v>
      </c>
      <c r="E183" t="s">
        <v>2113</v>
      </c>
      <c r="F183" t="s">
        <v>2114</v>
      </c>
      <c r="G183">
        <v>445</v>
      </c>
      <c r="H183">
        <v>432.66</v>
      </c>
      <c r="I183" t="s">
        <v>2118</v>
      </c>
      <c r="K183" t="str">
        <f>_xlfn.XLOOKUP(Table4[[#This Row],[ProductID_Clean]],Table3[ProductID],Table3[BU],"Missing Value",0)</f>
        <v>Sensors &amp; Instruments</v>
      </c>
    </row>
    <row r="184" spans="1:11">
      <c r="A184" t="s">
        <v>2423</v>
      </c>
      <c r="B184" t="s">
        <v>2170</v>
      </c>
      <c r="C184" t="s">
        <v>57</v>
      </c>
      <c r="D184" t="s">
        <v>57</v>
      </c>
      <c r="E184" t="s">
        <v>2123</v>
      </c>
      <c r="F184" t="s">
        <v>2124</v>
      </c>
      <c r="G184">
        <v>78</v>
      </c>
      <c r="H184">
        <v>76.680000000000007</v>
      </c>
      <c r="I184" t="s">
        <v>2118</v>
      </c>
      <c r="K184" t="str">
        <f>_xlfn.XLOOKUP(Table4[[#This Row],[ProductID_Clean]],Table3[ProductID],Table3[BU],"Missing Value",0)</f>
        <v>Sensors &amp; Instruments</v>
      </c>
    </row>
    <row r="185" spans="1:11">
      <c r="A185" t="s">
        <v>2424</v>
      </c>
      <c r="B185" t="s">
        <v>2120</v>
      </c>
      <c r="C185" t="s">
        <v>57</v>
      </c>
      <c r="D185" t="s">
        <v>57</v>
      </c>
      <c r="E185" t="s">
        <v>2113</v>
      </c>
      <c r="F185" t="s">
        <v>2114</v>
      </c>
      <c r="G185">
        <v>445</v>
      </c>
      <c r="H185">
        <v>432.36</v>
      </c>
      <c r="I185" t="s">
        <v>2118</v>
      </c>
      <c r="K185" t="str">
        <f>_xlfn.XLOOKUP(Table4[[#This Row],[ProductID_Clean]],Table3[ProductID],Table3[BU],"Missing Value",0)</f>
        <v>Sensors &amp; Instruments</v>
      </c>
    </row>
    <row r="186" spans="1:11">
      <c r="A186" t="s">
        <v>2425</v>
      </c>
      <c r="B186" t="s">
        <v>2120</v>
      </c>
      <c r="C186" t="s">
        <v>57</v>
      </c>
      <c r="D186" t="s">
        <v>57</v>
      </c>
      <c r="E186" t="s">
        <v>2123</v>
      </c>
      <c r="F186" t="s">
        <v>2124</v>
      </c>
      <c r="G186">
        <v>78</v>
      </c>
      <c r="H186">
        <v>81.91</v>
      </c>
      <c r="I186" t="s">
        <v>2118</v>
      </c>
      <c r="K186" t="str">
        <f>_xlfn.XLOOKUP(Table4[[#This Row],[ProductID_Clean]],Table3[ProductID],Table3[BU],"Missing Value",0)</f>
        <v>Sensors &amp; Instruments</v>
      </c>
    </row>
    <row r="187" spans="1:11">
      <c r="A187" t="s">
        <v>2426</v>
      </c>
      <c r="B187" t="s">
        <v>2206</v>
      </c>
      <c r="C187" t="s">
        <v>57</v>
      </c>
      <c r="D187" t="s">
        <v>57</v>
      </c>
      <c r="E187" t="s">
        <v>2113</v>
      </c>
      <c r="F187" t="s">
        <v>2114</v>
      </c>
      <c r="G187">
        <v>445</v>
      </c>
      <c r="H187">
        <v>460.77</v>
      </c>
      <c r="I187" t="s">
        <v>2118</v>
      </c>
      <c r="K187" t="str">
        <f>_xlfn.XLOOKUP(Table4[[#This Row],[ProductID_Clean]],Table3[ProductID],Table3[BU],"Missing Value",0)</f>
        <v>Sensors &amp; Instruments</v>
      </c>
    </row>
    <row r="188" spans="1:11">
      <c r="A188" t="s">
        <v>2427</v>
      </c>
      <c r="B188" t="s">
        <v>2206</v>
      </c>
      <c r="C188" t="s">
        <v>57</v>
      </c>
      <c r="D188" t="s">
        <v>57</v>
      </c>
      <c r="E188" t="s">
        <v>2123</v>
      </c>
      <c r="F188" t="s">
        <v>2124</v>
      </c>
      <c r="G188">
        <v>78</v>
      </c>
      <c r="H188">
        <v>76.5</v>
      </c>
      <c r="I188" t="s">
        <v>2118</v>
      </c>
      <c r="K188" t="str">
        <f>_xlfn.XLOOKUP(Table4[[#This Row],[ProductID_Clean]],Table3[ProductID],Table3[BU],"Missing Value",0)</f>
        <v>Sensors &amp; Instruments</v>
      </c>
    </row>
    <row r="189" spans="1:11">
      <c r="A189" t="s">
        <v>2428</v>
      </c>
      <c r="B189" t="s">
        <v>2122</v>
      </c>
      <c r="C189" t="s">
        <v>57</v>
      </c>
      <c r="D189" t="s">
        <v>57</v>
      </c>
      <c r="E189" t="s">
        <v>2113</v>
      </c>
      <c r="F189" t="s">
        <v>2114</v>
      </c>
      <c r="G189">
        <v>445</v>
      </c>
      <c r="H189">
        <v>430.31</v>
      </c>
      <c r="I189" t="s">
        <v>2118</v>
      </c>
      <c r="K189" t="str">
        <f>_xlfn.XLOOKUP(Table4[[#This Row],[ProductID_Clean]],Table3[ProductID],Table3[BU],"Missing Value",0)</f>
        <v>Sensors &amp; Instruments</v>
      </c>
    </row>
    <row r="190" spans="1:11">
      <c r="A190" t="s">
        <v>2429</v>
      </c>
      <c r="B190" t="s">
        <v>2112</v>
      </c>
      <c r="C190" t="s">
        <v>43</v>
      </c>
      <c r="D190" t="s">
        <v>43</v>
      </c>
      <c r="E190" t="s">
        <v>2113</v>
      </c>
      <c r="F190" t="s">
        <v>2114</v>
      </c>
      <c r="G190">
        <v>92</v>
      </c>
      <c r="H190">
        <v>97.08</v>
      </c>
      <c r="I190" t="s">
        <v>2118</v>
      </c>
      <c r="K190" t="str">
        <f>_xlfn.XLOOKUP(Table4[[#This Row],[ProductID_Clean]],Table3[ProductID],Table3[BU],"Missing Value",0)</f>
        <v>Sensors &amp; Instruments</v>
      </c>
    </row>
    <row r="191" spans="1:11">
      <c r="A191" t="s">
        <v>2430</v>
      </c>
      <c r="B191" t="s">
        <v>2112</v>
      </c>
      <c r="C191" t="s">
        <v>43</v>
      </c>
      <c r="D191" t="s">
        <v>43</v>
      </c>
      <c r="E191" t="s">
        <v>2123</v>
      </c>
      <c r="F191" t="s">
        <v>2124</v>
      </c>
      <c r="G191">
        <v>28</v>
      </c>
      <c r="H191">
        <v>28.65</v>
      </c>
      <c r="I191" t="s">
        <v>2118</v>
      </c>
      <c r="K191" t="str">
        <f>_xlfn.XLOOKUP(Table4[[#This Row],[ProductID_Clean]],Table3[ProductID],Table3[BU],"Missing Value",0)</f>
        <v>Sensors &amp; Instruments</v>
      </c>
    </row>
    <row r="192" spans="1:11">
      <c r="A192" t="s">
        <v>2431</v>
      </c>
      <c r="B192" t="s">
        <v>2117</v>
      </c>
      <c r="C192" t="s">
        <v>43</v>
      </c>
      <c r="D192" t="s">
        <v>43</v>
      </c>
      <c r="E192" t="s">
        <v>2113</v>
      </c>
      <c r="F192" t="s">
        <v>2114</v>
      </c>
      <c r="G192">
        <v>92</v>
      </c>
      <c r="H192">
        <v>92.95</v>
      </c>
      <c r="I192" t="s">
        <v>2118</v>
      </c>
      <c r="K192" t="str">
        <f>_xlfn.XLOOKUP(Table4[[#This Row],[ProductID_Clean]],Table3[ProductID],Table3[BU],"Missing Value",0)</f>
        <v>Sensors &amp; Instruments</v>
      </c>
    </row>
    <row r="193" spans="1:11">
      <c r="A193" t="s">
        <v>2432</v>
      </c>
      <c r="B193" t="s">
        <v>2117</v>
      </c>
      <c r="C193" t="s">
        <v>43</v>
      </c>
      <c r="D193" t="s">
        <v>43</v>
      </c>
      <c r="E193" t="s">
        <v>2261</v>
      </c>
      <c r="F193" t="s">
        <v>2124</v>
      </c>
      <c r="G193">
        <v>28</v>
      </c>
      <c r="H193">
        <v>27.3</v>
      </c>
      <c r="I193" t="s">
        <v>2118</v>
      </c>
      <c r="K193" t="str">
        <f>_xlfn.XLOOKUP(Table4[[#This Row],[ProductID_Clean]],Table3[ProductID],Table3[BU],"Missing Value",0)</f>
        <v>Sensors &amp; Instruments</v>
      </c>
    </row>
    <row r="194" spans="1:11">
      <c r="A194" t="s">
        <v>2433</v>
      </c>
      <c r="B194" t="s">
        <v>2170</v>
      </c>
      <c r="C194" t="s">
        <v>43</v>
      </c>
      <c r="D194" t="s">
        <v>43</v>
      </c>
      <c r="E194" t="s">
        <v>2113</v>
      </c>
      <c r="F194" t="s">
        <v>2114</v>
      </c>
      <c r="G194">
        <v>92</v>
      </c>
      <c r="H194">
        <v>95.06</v>
      </c>
      <c r="I194" t="s">
        <v>2118</v>
      </c>
      <c r="K194" t="str">
        <f>_xlfn.XLOOKUP(Table4[[#This Row],[ProductID_Clean]],Table3[ProductID],Table3[BU],"Missing Value",0)</f>
        <v>Sensors &amp; Instruments</v>
      </c>
    </row>
    <row r="195" spans="1:11">
      <c r="A195" t="s">
        <v>2434</v>
      </c>
      <c r="B195" t="s">
        <v>2170</v>
      </c>
      <c r="C195" t="s">
        <v>43</v>
      </c>
      <c r="D195" t="s">
        <v>43</v>
      </c>
      <c r="E195" t="s">
        <v>2123</v>
      </c>
      <c r="F195" t="s">
        <v>2124</v>
      </c>
      <c r="G195">
        <v>28</v>
      </c>
      <c r="H195">
        <v>30.08</v>
      </c>
      <c r="I195" t="s">
        <v>2118</v>
      </c>
      <c r="K195" t="str">
        <f>_xlfn.XLOOKUP(Table4[[#This Row],[ProductID_Clean]],Table3[ProductID],Table3[BU],"Missing Value",0)</f>
        <v>Sensors &amp; Instruments</v>
      </c>
    </row>
    <row r="196" spans="1:11">
      <c r="A196" t="s">
        <v>2435</v>
      </c>
      <c r="B196" t="s">
        <v>2120</v>
      </c>
      <c r="C196" t="s">
        <v>43</v>
      </c>
      <c r="D196" t="s">
        <v>43</v>
      </c>
      <c r="E196" t="s">
        <v>2113</v>
      </c>
      <c r="F196" t="s">
        <v>2114</v>
      </c>
      <c r="G196">
        <v>92</v>
      </c>
      <c r="H196">
        <v>96.12</v>
      </c>
      <c r="I196" t="s">
        <v>2118</v>
      </c>
      <c r="K196" t="str">
        <f>_xlfn.XLOOKUP(Table4[[#This Row],[ProductID_Clean]],Table3[ProductID],Table3[BU],"Missing Value",0)</f>
        <v>Sensors &amp; Instruments</v>
      </c>
    </row>
    <row r="197" spans="1:11">
      <c r="A197" t="s">
        <v>2436</v>
      </c>
      <c r="B197" t="s">
        <v>2120</v>
      </c>
      <c r="C197" t="s">
        <v>43</v>
      </c>
      <c r="D197" t="s">
        <v>43</v>
      </c>
      <c r="E197" t="s">
        <v>2261</v>
      </c>
      <c r="F197" t="s">
        <v>2124</v>
      </c>
      <c r="G197">
        <v>28</v>
      </c>
      <c r="H197">
        <v>28.2</v>
      </c>
      <c r="I197" t="s">
        <v>2118</v>
      </c>
      <c r="K197" t="str">
        <f>_xlfn.XLOOKUP(Table4[[#This Row],[ProductID_Clean]],Table3[ProductID],Table3[BU],"Missing Value",0)</f>
        <v>Sensors &amp; Instruments</v>
      </c>
    </row>
    <row r="198" spans="1:11">
      <c r="A198" t="s">
        <v>2437</v>
      </c>
      <c r="B198" t="s">
        <v>2206</v>
      </c>
      <c r="C198" t="s">
        <v>43</v>
      </c>
      <c r="D198" t="s">
        <v>43</v>
      </c>
      <c r="E198" t="s">
        <v>2113</v>
      </c>
      <c r="F198" t="s">
        <v>2114</v>
      </c>
      <c r="G198">
        <v>92</v>
      </c>
      <c r="H198">
        <v>99.61</v>
      </c>
      <c r="I198" t="s">
        <v>2118</v>
      </c>
      <c r="K198" t="str">
        <f>_xlfn.XLOOKUP(Table4[[#This Row],[ProductID_Clean]],Table3[ProductID],Table3[BU],"Missing Value",0)</f>
        <v>Sensors &amp; Instruments</v>
      </c>
    </row>
    <row r="199" spans="1:11">
      <c r="A199" t="s">
        <v>2438</v>
      </c>
      <c r="B199" t="s">
        <v>2206</v>
      </c>
      <c r="C199" t="s">
        <v>43</v>
      </c>
      <c r="D199" t="s">
        <v>43</v>
      </c>
      <c r="E199" t="s">
        <v>2123</v>
      </c>
      <c r="F199" t="s">
        <v>2124</v>
      </c>
      <c r="G199">
        <v>28</v>
      </c>
      <c r="H199">
        <v>29.64</v>
      </c>
      <c r="I199" t="s">
        <v>2118</v>
      </c>
      <c r="K199" t="str">
        <f>_xlfn.XLOOKUP(Table4[[#This Row],[ProductID_Clean]],Table3[ProductID],Table3[BU],"Missing Value",0)</f>
        <v>Sensors &amp; Instruments</v>
      </c>
    </row>
    <row r="200" spans="1:11">
      <c r="A200" t="s">
        <v>2439</v>
      </c>
      <c r="B200" t="s">
        <v>2122</v>
      </c>
      <c r="C200" t="s">
        <v>43</v>
      </c>
      <c r="D200" t="s">
        <v>43</v>
      </c>
      <c r="E200" t="s">
        <v>2113</v>
      </c>
      <c r="F200" t="s">
        <v>2114</v>
      </c>
      <c r="G200">
        <v>92</v>
      </c>
      <c r="H200">
        <v>91.18</v>
      </c>
      <c r="I200" t="s">
        <v>2118</v>
      </c>
      <c r="K200" t="str">
        <f>_xlfn.XLOOKUP(Table4[[#This Row],[ProductID_Clean]],Table3[ProductID],Table3[BU],"Missing Value",0)</f>
        <v>Sensors &amp; Instruments</v>
      </c>
    </row>
    <row r="201" spans="1:11">
      <c r="A201" t="s">
        <v>2440</v>
      </c>
      <c r="B201" t="s">
        <v>2122</v>
      </c>
      <c r="C201" t="s">
        <v>43</v>
      </c>
      <c r="D201" t="s">
        <v>43</v>
      </c>
      <c r="E201" t="s">
        <v>2123</v>
      </c>
      <c r="F201" t="s">
        <v>2124</v>
      </c>
      <c r="G201">
        <v>28</v>
      </c>
      <c r="H201">
        <v>26.65</v>
      </c>
      <c r="I201" t="s">
        <v>2118</v>
      </c>
      <c r="K201" t="str">
        <f>_xlfn.XLOOKUP(Table4[[#This Row],[ProductID_Clean]],Table3[ProductID],Table3[BU],"Missing Value",0)</f>
        <v>Sensors &amp; Instruments</v>
      </c>
    </row>
    <row r="202" spans="1:11">
      <c r="A202" t="s">
        <v>2441</v>
      </c>
      <c r="B202" t="s">
        <v>2112</v>
      </c>
      <c r="C202" t="s">
        <v>97</v>
      </c>
      <c r="D202" t="s">
        <v>97</v>
      </c>
      <c r="E202" t="s">
        <v>2287</v>
      </c>
      <c r="F202" t="s">
        <v>2114</v>
      </c>
      <c r="G202">
        <v>410</v>
      </c>
      <c r="H202">
        <v>444.44</v>
      </c>
      <c r="I202" t="s">
        <v>2118</v>
      </c>
      <c r="K202" t="str">
        <f>_xlfn.XLOOKUP(Table4[[#This Row],[ProductID_Clean]],Table3[ProductID],Table3[BU],"Missing Value",0)</f>
        <v>Sensors &amp; Instruments</v>
      </c>
    </row>
    <row r="203" spans="1:11">
      <c r="A203" t="s">
        <v>2442</v>
      </c>
      <c r="B203" t="s">
        <v>2112</v>
      </c>
      <c r="C203" t="s">
        <v>97</v>
      </c>
      <c r="D203" t="s">
        <v>97</v>
      </c>
      <c r="E203" t="s">
        <v>2123</v>
      </c>
      <c r="F203" t="s">
        <v>2124</v>
      </c>
      <c r="G203">
        <v>68</v>
      </c>
      <c r="H203">
        <v>72.89</v>
      </c>
      <c r="I203" t="s">
        <v>2118</v>
      </c>
      <c r="K203" t="str">
        <f>_xlfn.XLOOKUP(Table4[[#This Row],[ProductID_Clean]],Table3[ProductID],Table3[BU],"Missing Value",0)</f>
        <v>Sensors &amp; Instruments</v>
      </c>
    </row>
    <row r="204" spans="1:11">
      <c r="A204" t="s">
        <v>2443</v>
      </c>
      <c r="B204" t="s">
        <v>2117</v>
      </c>
      <c r="C204" t="s">
        <v>97</v>
      </c>
      <c r="D204" t="s">
        <v>97</v>
      </c>
      <c r="E204" t="s">
        <v>2113</v>
      </c>
      <c r="F204" t="s">
        <v>2114</v>
      </c>
      <c r="G204">
        <v>410</v>
      </c>
      <c r="H204">
        <v>439.84</v>
      </c>
      <c r="I204" t="s">
        <v>2118</v>
      </c>
      <c r="K204" t="str">
        <f>_xlfn.XLOOKUP(Table4[[#This Row],[ProductID_Clean]],Table3[ProductID],Table3[BU],"Missing Value",0)</f>
        <v>Sensors &amp; Instruments</v>
      </c>
    </row>
    <row r="205" spans="1:11">
      <c r="A205" t="s">
        <v>2444</v>
      </c>
      <c r="B205" t="s">
        <v>2117</v>
      </c>
      <c r="C205" t="s">
        <v>97</v>
      </c>
      <c r="D205" t="s">
        <v>97</v>
      </c>
      <c r="E205" t="s">
        <v>2123</v>
      </c>
      <c r="F205" t="s">
        <v>2124</v>
      </c>
      <c r="G205">
        <v>68</v>
      </c>
      <c r="H205">
        <v>72.260000000000005</v>
      </c>
      <c r="I205" t="s">
        <v>2118</v>
      </c>
      <c r="K205" t="str">
        <f>_xlfn.XLOOKUP(Table4[[#This Row],[ProductID_Clean]],Table3[ProductID],Table3[BU],"Missing Value",0)</f>
        <v>Sensors &amp; Instruments</v>
      </c>
    </row>
    <row r="206" spans="1:11">
      <c r="A206" t="s">
        <v>2445</v>
      </c>
      <c r="B206" t="s">
        <v>2170</v>
      </c>
      <c r="C206" t="s">
        <v>97</v>
      </c>
      <c r="D206" t="s">
        <v>97</v>
      </c>
      <c r="E206" t="s">
        <v>2113</v>
      </c>
      <c r="F206" t="s">
        <v>2114</v>
      </c>
      <c r="G206">
        <v>410</v>
      </c>
      <c r="H206">
        <v>439.77</v>
      </c>
      <c r="I206" t="s">
        <v>2118</v>
      </c>
      <c r="K206" t="str">
        <f>_xlfn.XLOOKUP(Table4[[#This Row],[ProductID_Clean]],Table3[ProductID],Table3[BU],"Missing Value",0)</f>
        <v>Sensors &amp; Instruments</v>
      </c>
    </row>
    <row r="207" spans="1:11">
      <c r="A207" t="s">
        <v>2446</v>
      </c>
      <c r="B207" t="s">
        <v>2170</v>
      </c>
      <c r="C207" t="s">
        <v>97</v>
      </c>
      <c r="D207" t="s">
        <v>97</v>
      </c>
      <c r="E207" t="s">
        <v>2123</v>
      </c>
      <c r="F207" t="s">
        <v>2124</v>
      </c>
      <c r="G207">
        <v>68</v>
      </c>
      <c r="H207">
        <v>70.83</v>
      </c>
      <c r="I207" t="s">
        <v>2118</v>
      </c>
      <c r="K207" t="str">
        <f>_xlfn.XLOOKUP(Table4[[#This Row],[ProductID_Clean]],Table3[ProductID],Table3[BU],"Missing Value",0)</f>
        <v>Sensors &amp; Instruments</v>
      </c>
    </row>
    <row r="208" spans="1:11">
      <c r="A208" t="s">
        <v>2447</v>
      </c>
      <c r="B208" t="s">
        <v>2120</v>
      </c>
      <c r="C208" t="s">
        <v>97</v>
      </c>
      <c r="D208" t="s">
        <v>97</v>
      </c>
      <c r="E208" t="s">
        <v>2113</v>
      </c>
      <c r="F208" t="s">
        <v>2114</v>
      </c>
      <c r="G208">
        <v>410</v>
      </c>
      <c r="H208">
        <v>447.5</v>
      </c>
      <c r="I208" t="s">
        <v>2118</v>
      </c>
      <c r="K208" t="str">
        <f>_xlfn.XLOOKUP(Table4[[#This Row],[ProductID_Clean]],Table3[ProductID],Table3[BU],"Missing Value",0)</f>
        <v>Sensors &amp; Instruments</v>
      </c>
    </row>
    <row r="209" spans="1:11">
      <c r="A209" t="s">
        <v>2448</v>
      </c>
      <c r="B209" t="s">
        <v>2120</v>
      </c>
      <c r="C209" t="s">
        <v>97</v>
      </c>
      <c r="D209" t="s">
        <v>97</v>
      </c>
      <c r="E209" t="s">
        <v>2123</v>
      </c>
      <c r="F209" t="s">
        <v>2124</v>
      </c>
      <c r="G209">
        <v>68</v>
      </c>
      <c r="H209">
        <v>65.17</v>
      </c>
      <c r="I209" t="s">
        <v>2118</v>
      </c>
      <c r="K209" t="str">
        <f>_xlfn.XLOOKUP(Table4[[#This Row],[ProductID_Clean]],Table3[ProductID],Table3[BU],"Missing Value",0)</f>
        <v>Sensors &amp; Instruments</v>
      </c>
    </row>
    <row r="210" spans="1:11">
      <c r="A210" t="s">
        <v>2449</v>
      </c>
      <c r="B210" t="s">
        <v>2206</v>
      </c>
      <c r="C210" t="s">
        <v>97</v>
      </c>
      <c r="D210" t="s">
        <v>97</v>
      </c>
      <c r="E210" t="s">
        <v>2113</v>
      </c>
      <c r="F210" t="s">
        <v>2114</v>
      </c>
      <c r="G210">
        <v>410</v>
      </c>
      <c r="H210">
        <v>452.35</v>
      </c>
      <c r="I210" t="s">
        <v>2118</v>
      </c>
      <c r="K210" t="str">
        <f>_xlfn.XLOOKUP(Table4[[#This Row],[ProductID_Clean]],Table3[ProductID],Table3[BU],"Missing Value",0)</f>
        <v>Sensors &amp; Instruments</v>
      </c>
    </row>
    <row r="211" spans="1:11">
      <c r="A211" t="s">
        <v>2450</v>
      </c>
      <c r="B211" t="s">
        <v>2206</v>
      </c>
      <c r="C211" t="s">
        <v>97</v>
      </c>
      <c r="D211" t="s">
        <v>97</v>
      </c>
      <c r="E211" t="s">
        <v>2123</v>
      </c>
      <c r="F211" t="s">
        <v>2124</v>
      </c>
      <c r="G211">
        <v>68</v>
      </c>
      <c r="H211">
        <v>66.400000000000006</v>
      </c>
      <c r="I211" t="s">
        <v>2118</v>
      </c>
      <c r="K211" t="str">
        <f>_xlfn.XLOOKUP(Table4[[#This Row],[ProductID_Clean]],Table3[ProductID],Table3[BU],"Missing Value",0)</f>
        <v>Sensors &amp; Instruments</v>
      </c>
    </row>
    <row r="212" spans="1:11">
      <c r="A212" t="s">
        <v>2451</v>
      </c>
      <c r="B212" t="s">
        <v>2122</v>
      </c>
      <c r="C212" t="s">
        <v>97</v>
      </c>
      <c r="D212" t="s">
        <v>97</v>
      </c>
      <c r="E212" t="s">
        <v>2113</v>
      </c>
      <c r="F212" t="s">
        <v>2114</v>
      </c>
      <c r="G212">
        <v>410</v>
      </c>
      <c r="H212">
        <v>458.23</v>
      </c>
      <c r="I212" t="s">
        <v>2118</v>
      </c>
      <c r="K212" t="str">
        <f>_xlfn.XLOOKUP(Table4[[#This Row],[ProductID_Clean]],Table3[ProductID],Table3[BU],"Missing Value",0)</f>
        <v>Sensors &amp; Instruments</v>
      </c>
    </row>
    <row r="213" spans="1:11">
      <c r="A213" t="s">
        <v>2452</v>
      </c>
      <c r="B213" t="s">
        <v>2122</v>
      </c>
      <c r="C213" t="s">
        <v>97</v>
      </c>
      <c r="D213" t="s">
        <v>97</v>
      </c>
      <c r="E213" t="s">
        <v>2123</v>
      </c>
      <c r="F213" t="s">
        <v>2124</v>
      </c>
      <c r="G213">
        <v>68</v>
      </c>
      <c r="H213">
        <v>72.349999999999994</v>
      </c>
      <c r="I213" t="s">
        <v>2118</v>
      </c>
      <c r="K213" t="str">
        <f>_xlfn.XLOOKUP(Table4[[#This Row],[ProductID_Clean]],Table3[ProductID],Table3[BU],"Missing Value",0)</f>
        <v>Sensors &amp; Instruments</v>
      </c>
    </row>
    <row r="214" spans="1:11">
      <c r="A214" t="s">
        <v>2453</v>
      </c>
      <c r="B214" t="s">
        <v>2112</v>
      </c>
      <c r="C214" t="s">
        <v>152</v>
      </c>
      <c r="D214" t="s">
        <v>152</v>
      </c>
      <c r="E214" t="s">
        <v>2113</v>
      </c>
      <c r="F214" t="s">
        <v>2114</v>
      </c>
      <c r="G214">
        <v>385</v>
      </c>
      <c r="H214">
        <v>386.6</v>
      </c>
      <c r="I214" t="s">
        <v>2118</v>
      </c>
      <c r="K214" t="str">
        <f>_xlfn.XLOOKUP(Table4[[#This Row],[ProductID_Clean]],Table3[ProductID],Table3[BU],"Missing Value",0)</f>
        <v>Sensors &amp; Instruments</v>
      </c>
    </row>
    <row r="215" spans="1:11">
      <c r="A215" t="s">
        <v>2454</v>
      </c>
      <c r="B215" t="s">
        <v>2112</v>
      </c>
      <c r="C215" t="s">
        <v>152</v>
      </c>
      <c r="D215" t="s">
        <v>152</v>
      </c>
      <c r="E215" t="s">
        <v>2123</v>
      </c>
      <c r="F215" t="s">
        <v>2124</v>
      </c>
      <c r="G215">
        <v>72</v>
      </c>
      <c r="H215">
        <v>70.77</v>
      </c>
      <c r="I215" t="s">
        <v>2118</v>
      </c>
      <c r="K215" t="str">
        <f>_xlfn.XLOOKUP(Table4[[#This Row],[ProductID_Clean]],Table3[ProductID],Table3[BU],"Missing Value",0)</f>
        <v>Sensors &amp; Instruments</v>
      </c>
    </row>
    <row r="216" spans="1:11">
      <c r="A216" t="s">
        <v>2455</v>
      </c>
      <c r="B216" t="s">
        <v>2117</v>
      </c>
      <c r="C216" t="s">
        <v>152</v>
      </c>
      <c r="D216" t="s">
        <v>152</v>
      </c>
      <c r="E216" t="s">
        <v>2287</v>
      </c>
      <c r="F216" t="s">
        <v>2114</v>
      </c>
      <c r="G216">
        <v>385</v>
      </c>
      <c r="H216">
        <v>403.12</v>
      </c>
      <c r="I216" t="s">
        <v>2118</v>
      </c>
      <c r="K216" t="str">
        <f>_xlfn.XLOOKUP(Table4[[#This Row],[ProductID_Clean]],Table3[ProductID],Table3[BU],"Missing Value",0)</f>
        <v>Sensors &amp; Instruments</v>
      </c>
    </row>
    <row r="217" spans="1:11">
      <c r="A217" t="s">
        <v>2456</v>
      </c>
      <c r="B217" t="s">
        <v>2117</v>
      </c>
      <c r="C217" t="s">
        <v>152</v>
      </c>
      <c r="D217" t="s">
        <v>152</v>
      </c>
      <c r="E217" t="s">
        <v>2123</v>
      </c>
      <c r="F217" t="s">
        <v>2124</v>
      </c>
      <c r="G217">
        <v>72</v>
      </c>
      <c r="H217">
        <v>77.64</v>
      </c>
      <c r="I217" t="s">
        <v>2118</v>
      </c>
      <c r="K217" t="str">
        <f>_xlfn.XLOOKUP(Table4[[#This Row],[ProductID_Clean]],Table3[ProductID],Table3[BU],"Missing Value",0)</f>
        <v>Sensors &amp; Instruments</v>
      </c>
    </row>
    <row r="218" spans="1:11">
      <c r="A218" t="s">
        <v>2457</v>
      </c>
      <c r="B218" t="s">
        <v>2170</v>
      </c>
      <c r="C218" t="s">
        <v>152</v>
      </c>
      <c r="D218" t="s">
        <v>152</v>
      </c>
      <c r="E218" t="s">
        <v>2113</v>
      </c>
      <c r="F218" t="s">
        <v>2114</v>
      </c>
      <c r="G218">
        <v>385</v>
      </c>
      <c r="H218">
        <v>375.71</v>
      </c>
      <c r="I218" t="s">
        <v>2118</v>
      </c>
      <c r="K218" t="str">
        <f>_xlfn.XLOOKUP(Table4[[#This Row],[ProductID_Clean]],Table3[ProductID],Table3[BU],"Missing Value",0)</f>
        <v>Sensors &amp; Instruments</v>
      </c>
    </row>
    <row r="219" spans="1:11">
      <c r="A219" t="s">
        <v>2458</v>
      </c>
      <c r="B219" t="s">
        <v>2170</v>
      </c>
      <c r="C219" t="s">
        <v>152</v>
      </c>
      <c r="D219" t="s">
        <v>152</v>
      </c>
      <c r="E219" t="s">
        <v>2123</v>
      </c>
      <c r="F219" t="s">
        <v>2124</v>
      </c>
      <c r="G219">
        <v>72</v>
      </c>
      <c r="H219">
        <v>73.59</v>
      </c>
      <c r="I219" t="s">
        <v>2118</v>
      </c>
      <c r="K219" t="str">
        <f>_xlfn.XLOOKUP(Table4[[#This Row],[ProductID_Clean]],Table3[ProductID],Table3[BU],"Missing Value",0)</f>
        <v>Sensors &amp; Instruments</v>
      </c>
    </row>
    <row r="220" spans="1:11">
      <c r="A220" t="s">
        <v>2459</v>
      </c>
      <c r="B220" t="s">
        <v>2120</v>
      </c>
      <c r="C220" t="s">
        <v>152</v>
      </c>
      <c r="D220" t="s">
        <v>152</v>
      </c>
      <c r="E220" t="s">
        <v>2113</v>
      </c>
      <c r="F220" t="s">
        <v>2114</v>
      </c>
      <c r="G220">
        <v>385</v>
      </c>
      <c r="H220">
        <v>381.31</v>
      </c>
      <c r="I220" t="s">
        <v>2118</v>
      </c>
      <c r="K220" t="str">
        <f>_xlfn.XLOOKUP(Table4[[#This Row],[ProductID_Clean]],Table3[ProductID],Table3[BU],"Missing Value",0)</f>
        <v>Sensors &amp; Instruments</v>
      </c>
    </row>
    <row r="221" spans="1:11">
      <c r="A221" t="s">
        <v>2460</v>
      </c>
      <c r="B221" t="s">
        <v>2120</v>
      </c>
      <c r="C221" t="s">
        <v>152</v>
      </c>
      <c r="D221" t="s">
        <v>152</v>
      </c>
      <c r="E221" t="s">
        <v>2123</v>
      </c>
      <c r="F221" t="s">
        <v>2124</v>
      </c>
      <c r="G221">
        <v>72</v>
      </c>
      <c r="H221">
        <v>75.09</v>
      </c>
      <c r="I221" t="s">
        <v>2118</v>
      </c>
      <c r="K221" t="str">
        <f>_xlfn.XLOOKUP(Table4[[#This Row],[ProductID_Clean]],Table3[ProductID],Table3[BU],"Missing Value",0)</f>
        <v>Sensors &amp; Instruments</v>
      </c>
    </row>
    <row r="222" spans="1:11">
      <c r="A222" t="s">
        <v>2461</v>
      </c>
      <c r="B222" t="s">
        <v>2206</v>
      </c>
      <c r="C222" t="s">
        <v>152</v>
      </c>
      <c r="D222" t="s">
        <v>152</v>
      </c>
      <c r="E222" t="s">
        <v>2113</v>
      </c>
      <c r="F222" t="s">
        <v>2114</v>
      </c>
      <c r="G222">
        <v>385</v>
      </c>
      <c r="H222">
        <v>396.55</v>
      </c>
      <c r="I222" t="s">
        <v>2118</v>
      </c>
      <c r="K222" t="str">
        <f>_xlfn.XLOOKUP(Table4[[#This Row],[ProductID_Clean]],Table3[ProductID],Table3[BU],"Missing Value",0)</f>
        <v>Sensors &amp; Instruments</v>
      </c>
    </row>
    <row r="223" spans="1:11">
      <c r="A223" t="s">
        <v>2462</v>
      </c>
      <c r="B223" t="s">
        <v>2206</v>
      </c>
      <c r="C223" t="s">
        <v>152</v>
      </c>
      <c r="D223" t="s">
        <v>152</v>
      </c>
      <c r="E223" t="s">
        <v>2123</v>
      </c>
      <c r="F223" t="s">
        <v>2124</v>
      </c>
      <c r="G223">
        <v>72</v>
      </c>
      <c r="H223">
        <v>74.349999999999994</v>
      </c>
      <c r="I223" t="s">
        <v>2118</v>
      </c>
      <c r="K223" t="str">
        <f>_xlfn.XLOOKUP(Table4[[#This Row],[ProductID_Clean]],Table3[ProductID],Table3[BU],"Missing Value",0)</f>
        <v>Sensors &amp; Instruments</v>
      </c>
    </row>
    <row r="224" spans="1:11">
      <c r="A224" t="s">
        <v>2463</v>
      </c>
      <c r="B224" t="s">
        <v>2122</v>
      </c>
      <c r="C224" t="s">
        <v>152</v>
      </c>
      <c r="D224" t="s">
        <v>152</v>
      </c>
      <c r="E224" t="s">
        <v>2113</v>
      </c>
      <c r="F224" t="s">
        <v>2114</v>
      </c>
      <c r="G224">
        <v>385</v>
      </c>
      <c r="H224">
        <v>408.48</v>
      </c>
      <c r="I224" t="s">
        <v>2118</v>
      </c>
      <c r="K224" t="str">
        <f>_xlfn.XLOOKUP(Table4[[#This Row],[ProductID_Clean]],Table3[ProductID],Table3[BU],"Missing Value",0)</f>
        <v>Sensors &amp; Instruments</v>
      </c>
    </row>
    <row r="225" spans="1:18">
      <c r="A225" t="s">
        <v>2464</v>
      </c>
      <c r="B225" t="s">
        <v>2122</v>
      </c>
      <c r="C225" t="s">
        <v>152</v>
      </c>
      <c r="D225" t="s">
        <v>152</v>
      </c>
      <c r="E225" t="s">
        <v>2261</v>
      </c>
      <c r="F225" t="s">
        <v>2124</v>
      </c>
      <c r="G225">
        <v>72</v>
      </c>
      <c r="H225">
        <v>74.59</v>
      </c>
      <c r="I225" t="s">
        <v>2118</v>
      </c>
      <c r="K225" t="str">
        <f>_xlfn.XLOOKUP(Table4[[#This Row],[ProductID_Clean]],Table3[ProductID],Table3[BU],"Missing Value",0)</f>
        <v>Sensors &amp; Instruments</v>
      </c>
    </row>
    <row r="226" spans="1:18">
      <c r="A226" t="s">
        <v>2121</v>
      </c>
      <c r="B226" t="s">
        <v>2122</v>
      </c>
      <c r="D226" t="s">
        <v>40</v>
      </c>
      <c r="E226" t="s">
        <v>2123</v>
      </c>
      <c r="F226" t="s">
        <v>2124</v>
      </c>
      <c r="G226">
        <v>78</v>
      </c>
      <c r="H226">
        <v>74.95</v>
      </c>
      <c r="I226" t="s">
        <v>2118</v>
      </c>
      <c r="K226" t="str">
        <f>_xlfn.XLOOKUP(Table4[[#This Row],[ProductID_Clean]],Table3[ProductID],Table3[BU],"Missing Value",0)</f>
        <v>Missing Value</v>
      </c>
    </row>
    <row r="227" spans="1:18">
      <c r="A227" t="s">
        <v>2130</v>
      </c>
      <c r="B227" t="s">
        <v>2112</v>
      </c>
      <c r="D227" t="s">
        <v>40</v>
      </c>
      <c r="E227" t="s">
        <v>2131</v>
      </c>
      <c r="F227" t="s">
        <v>2114</v>
      </c>
      <c r="G227">
        <v>35630.75</v>
      </c>
      <c r="H227">
        <v>36732.730000000003</v>
      </c>
      <c r="I227" t="s">
        <v>40</v>
      </c>
      <c r="J227" t="s">
        <v>2127</v>
      </c>
      <c r="K227" t="str">
        <f>_xlfn.XLOOKUP(Table4[[#This Row],[ProductID_Clean]],Table3[ProductID],Table3[BU],"Missing Value",0)</f>
        <v>Missing Value</v>
      </c>
    </row>
    <row r="228" spans="1:18">
      <c r="A228" t="s">
        <v>2138</v>
      </c>
      <c r="B228" t="s">
        <v>2112</v>
      </c>
      <c r="D228" t="s">
        <v>40</v>
      </c>
      <c r="E228" t="s">
        <v>2131</v>
      </c>
      <c r="F228" t="s">
        <v>2114</v>
      </c>
      <c r="G228">
        <v>26061.32</v>
      </c>
      <c r="H228">
        <v>26867.34</v>
      </c>
      <c r="I228" t="s">
        <v>2135</v>
      </c>
      <c r="J228" t="s">
        <v>2136</v>
      </c>
      <c r="K228" t="str">
        <f>_xlfn.XLOOKUP(Table4[[#This Row],[ProductID_Clean]],Table3[ProductID],Table3[BU],"Missing Value",0)</f>
        <v>Missing Value</v>
      </c>
      <c r="M228" s="12"/>
      <c r="N228" s="7"/>
      <c r="O228" s="7"/>
      <c r="P228" s="7"/>
      <c r="Q228" s="7"/>
      <c r="R228" s="7"/>
    </row>
    <row r="229" spans="1:18">
      <c r="A229" t="s">
        <v>2144</v>
      </c>
      <c r="B229" t="s">
        <v>2112</v>
      </c>
      <c r="D229" t="s">
        <v>40</v>
      </c>
      <c r="E229" t="s">
        <v>2131</v>
      </c>
      <c r="F229" t="s">
        <v>2114</v>
      </c>
      <c r="G229">
        <v>21026.97</v>
      </c>
      <c r="H229">
        <v>21677.29</v>
      </c>
      <c r="I229" t="s">
        <v>2141</v>
      </c>
      <c r="J229" t="s">
        <v>2142</v>
      </c>
      <c r="K229" t="str">
        <f>_xlfn.XLOOKUP(Table4[[#This Row],[ProductID_Clean]],Table3[ProductID],Table3[BU],"Missing Value",0)</f>
        <v>Missing Value</v>
      </c>
    </row>
    <row r="230" spans="1:18">
      <c r="A230" t="s">
        <v>2150</v>
      </c>
      <c r="B230" t="s">
        <v>2112</v>
      </c>
      <c r="D230" t="s">
        <v>40</v>
      </c>
      <c r="E230" t="s">
        <v>2131</v>
      </c>
      <c r="F230" t="s">
        <v>2114</v>
      </c>
      <c r="G230">
        <v>12067.01</v>
      </c>
      <c r="H230">
        <v>12440.22</v>
      </c>
      <c r="I230" t="s">
        <v>2147</v>
      </c>
      <c r="J230" t="s">
        <v>2148</v>
      </c>
      <c r="K230" t="str">
        <f>_xlfn.XLOOKUP(Table4[[#This Row],[ProductID_Clean]],Table3[ProductID],Table3[BU],"Missing Value",0)</f>
        <v>Missing Value</v>
      </c>
    </row>
    <row r="231" spans="1:18">
      <c r="A231" t="s">
        <v>2154</v>
      </c>
      <c r="B231" t="s">
        <v>2117</v>
      </c>
      <c r="D231" t="s">
        <v>40</v>
      </c>
      <c r="E231" t="s">
        <v>2131</v>
      </c>
      <c r="F231" t="s">
        <v>2114</v>
      </c>
      <c r="G231">
        <v>23656.1</v>
      </c>
      <c r="H231">
        <v>24387.73</v>
      </c>
      <c r="I231" t="s">
        <v>40</v>
      </c>
      <c r="J231" t="s">
        <v>2127</v>
      </c>
      <c r="K231" t="str">
        <f>_xlfn.XLOOKUP(Table4[[#This Row],[ProductID_Clean]],Table3[ProductID],Table3[BU],"Missing Value",0)</f>
        <v>Missing Value</v>
      </c>
    </row>
    <row r="232" spans="1:18">
      <c r="A232" t="s">
        <v>2158</v>
      </c>
      <c r="B232" t="s">
        <v>2117</v>
      </c>
      <c r="D232" t="s">
        <v>40</v>
      </c>
      <c r="E232" t="s">
        <v>2131</v>
      </c>
      <c r="F232" t="s">
        <v>2114</v>
      </c>
      <c r="G232">
        <v>17650.28</v>
      </c>
      <c r="H232">
        <v>18196.16</v>
      </c>
      <c r="I232" t="s">
        <v>2135</v>
      </c>
      <c r="J232" t="s">
        <v>2136</v>
      </c>
      <c r="K232" t="str">
        <f>_xlfn.XLOOKUP(Table4[[#This Row],[ProductID_Clean]],Table3[ProductID],Table3[BU],"Missing Value",0)</f>
        <v>Missing Value</v>
      </c>
    </row>
    <row r="233" spans="1:18">
      <c r="A233" t="s">
        <v>2162</v>
      </c>
      <c r="B233" t="s">
        <v>2117</v>
      </c>
      <c r="D233" t="s">
        <v>40</v>
      </c>
      <c r="E233" t="s">
        <v>2131</v>
      </c>
      <c r="F233" t="s">
        <v>2114</v>
      </c>
      <c r="G233">
        <v>19300.009999999998</v>
      </c>
      <c r="H233">
        <v>19896.919999999998</v>
      </c>
      <c r="I233" t="s">
        <v>2141</v>
      </c>
      <c r="J233" t="s">
        <v>2142</v>
      </c>
      <c r="K233" t="str">
        <f>_xlfn.XLOOKUP(Table4[[#This Row],[ProductID_Clean]],Table3[ProductID],Table3[BU],"Missing Value",0)</f>
        <v>Missing Value</v>
      </c>
    </row>
    <row r="234" spans="1:18">
      <c r="A234" t="s">
        <v>2167</v>
      </c>
      <c r="B234" t="s">
        <v>2117</v>
      </c>
      <c r="D234" t="s">
        <v>40</v>
      </c>
      <c r="E234" t="s">
        <v>2131</v>
      </c>
      <c r="F234" t="s">
        <v>2114</v>
      </c>
      <c r="G234">
        <v>13273.11</v>
      </c>
      <c r="H234">
        <v>13683.62</v>
      </c>
      <c r="I234" t="s">
        <v>2147</v>
      </c>
      <c r="J234" t="s">
        <v>2148</v>
      </c>
      <c r="K234" t="str">
        <f>_xlfn.XLOOKUP(Table4[[#This Row],[ProductID_Clean]],Table3[ProductID],Table3[BU],"Missing Value",0)</f>
        <v>Missing Value</v>
      </c>
    </row>
    <row r="235" spans="1:18">
      <c r="A235" t="s">
        <v>2172</v>
      </c>
      <c r="B235" t="s">
        <v>2170</v>
      </c>
      <c r="D235" t="s">
        <v>40</v>
      </c>
      <c r="E235" t="s">
        <v>2173</v>
      </c>
      <c r="F235" t="s">
        <v>2114</v>
      </c>
      <c r="G235">
        <v>35121.14</v>
      </c>
      <c r="H235">
        <v>36207.360000000001</v>
      </c>
      <c r="I235" t="s">
        <v>40</v>
      </c>
      <c r="J235" t="s">
        <v>2127</v>
      </c>
      <c r="K235" t="str">
        <f>_xlfn.XLOOKUP(Table4[[#This Row],[ProductID_Clean]],Table3[ProductID],Table3[BU],"Missing Value",0)</f>
        <v>Missing Value</v>
      </c>
    </row>
    <row r="236" spans="1:18">
      <c r="A236" t="s">
        <v>2177</v>
      </c>
      <c r="B236" t="s">
        <v>2170</v>
      </c>
      <c r="D236" t="s">
        <v>40</v>
      </c>
      <c r="E236" t="s">
        <v>2131</v>
      </c>
      <c r="F236" t="s">
        <v>2114</v>
      </c>
      <c r="G236">
        <v>15215.81</v>
      </c>
      <c r="H236">
        <v>15686.4</v>
      </c>
      <c r="I236" t="s">
        <v>2135</v>
      </c>
      <c r="J236" t="s">
        <v>2136</v>
      </c>
      <c r="K236" t="str">
        <f>_xlfn.XLOOKUP(Table4[[#This Row],[ProductID_Clean]],Table3[ProductID],Table3[BU],"Missing Value",0)</f>
        <v>Missing Value</v>
      </c>
    </row>
    <row r="237" spans="1:18">
      <c r="A237" t="s">
        <v>2181</v>
      </c>
      <c r="B237" t="s">
        <v>2170</v>
      </c>
      <c r="D237" t="s">
        <v>40</v>
      </c>
      <c r="E237" t="s">
        <v>2131</v>
      </c>
      <c r="F237" t="s">
        <v>2114</v>
      </c>
      <c r="G237">
        <v>16281.77</v>
      </c>
      <c r="H237">
        <v>16785.330000000002</v>
      </c>
      <c r="I237" t="s">
        <v>2141</v>
      </c>
      <c r="J237" t="s">
        <v>2142</v>
      </c>
      <c r="K237" t="str">
        <f>_xlfn.XLOOKUP(Table4[[#This Row],[ProductID_Clean]],Table3[ProductID],Table3[BU],"Missing Value",0)</f>
        <v>Missing Value</v>
      </c>
    </row>
    <row r="238" spans="1:18">
      <c r="A238" t="s">
        <v>2185</v>
      </c>
      <c r="B238" t="s">
        <v>2170</v>
      </c>
      <c r="D238" t="s">
        <v>40</v>
      </c>
      <c r="E238" t="s">
        <v>2131</v>
      </c>
      <c r="F238" t="s">
        <v>2114</v>
      </c>
      <c r="G238">
        <v>10513.45</v>
      </c>
      <c r="H238">
        <v>10838.61</v>
      </c>
      <c r="I238" t="s">
        <v>2147</v>
      </c>
      <c r="J238" t="s">
        <v>2148</v>
      </c>
      <c r="K238" t="str">
        <f>_xlfn.XLOOKUP(Table4[[#This Row],[ProductID_Clean]],Table3[ProductID],Table3[BU],"Missing Value",0)</f>
        <v>Missing Value</v>
      </c>
    </row>
    <row r="239" spans="1:18">
      <c r="A239" t="s">
        <v>2190</v>
      </c>
      <c r="B239" t="s">
        <v>2120</v>
      </c>
      <c r="D239" t="s">
        <v>40</v>
      </c>
      <c r="E239" t="s">
        <v>2131</v>
      </c>
      <c r="F239" t="s">
        <v>2114</v>
      </c>
      <c r="G239">
        <v>36782.300000000003</v>
      </c>
      <c r="H239">
        <v>37919.9</v>
      </c>
      <c r="I239" t="s">
        <v>40</v>
      </c>
      <c r="J239" t="s">
        <v>2127</v>
      </c>
      <c r="K239" t="str">
        <f>_xlfn.XLOOKUP(Table4[[#This Row],[ProductID_Clean]],Table3[ProductID],Table3[BU],"Missing Value",0)</f>
        <v>Missing Value</v>
      </c>
    </row>
    <row r="240" spans="1:18">
      <c r="A240" t="s">
        <v>2194</v>
      </c>
      <c r="B240" t="s">
        <v>2120</v>
      </c>
      <c r="D240" t="s">
        <v>40</v>
      </c>
      <c r="E240" t="s">
        <v>2131</v>
      </c>
      <c r="F240" t="s">
        <v>2114</v>
      </c>
      <c r="G240">
        <v>27420.46</v>
      </c>
      <c r="H240">
        <v>28268.52</v>
      </c>
      <c r="I240" t="s">
        <v>2135</v>
      </c>
      <c r="J240" t="s">
        <v>2136</v>
      </c>
      <c r="K240" t="str">
        <f>_xlfn.XLOOKUP(Table4[[#This Row],[ProductID_Clean]],Table3[ProductID],Table3[BU],"Missing Value",0)</f>
        <v>Missing Value</v>
      </c>
    </row>
    <row r="241" spans="1:11">
      <c r="A241" t="s">
        <v>2198</v>
      </c>
      <c r="B241" t="s">
        <v>2120</v>
      </c>
      <c r="D241" t="s">
        <v>40</v>
      </c>
      <c r="E241" t="s">
        <v>2131</v>
      </c>
      <c r="F241" t="s">
        <v>2114</v>
      </c>
      <c r="G241">
        <v>16784.72</v>
      </c>
      <c r="H241">
        <v>17303.84</v>
      </c>
      <c r="I241" t="s">
        <v>2141</v>
      </c>
      <c r="J241" t="s">
        <v>2142</v>
      </c>
      <c r="K241" t="str">
        <f>_xlfn.XLOOKUP(Table4[[#This Row],[ProductID_Clean]],Table3[ProductID],Table3[BU],"Missing Value",0)</f>
        <v>Missing Value</v>
      </c>
    </row>
    <row r="242" spans="1:11">
      <c r="A242" t="s">
        <v>2203</v>
      </c>
      <c r="B242" t="s">
        <v>2120</v>
      </c>
      <c r="D242" t="s">
        <v>40</v>
      </c>
      <c r="E242" t="s">
        <v>2131</v>
      </c>
      <c r="F242" t="s">
        <v>2114</v>
      </c>
      <c r="G242">
        <v>10076.31</v>
      </c>
      <c r="H242">
        <v>10387.950000000001</v>
      </c>
      <c r="I242" t="s">
        <v>2147</v>
      </c>
      <c r="J242" t="s">
        <v>2148</v>
      </c>
      <c r="K242" t="str">
        <f>_xlfn.XLOOKUP(Table4[[#This Row],[ProductID_Clean]],Table3[ProductID],Table3[BU],"Missing Value",0)</f>
        <v>Missing Value</v>
      </c>
    </row>
    <row r="243" spans="1:11">
      <c r="A243" t="s">
        <v>2208</v>
      </c>
      <c r="B243" t="s">
        <v>2206</v>
      </c>
      <c r="D243" t="s">
        <v>40</v>
      </c>
      <c r="E243" t="s">
        <v>2131</v>
      </c>
      <c r="F243" t="s">
        <v>2114</v>
      </c>
      <c r="G243">
        <v>21777.16</v>
      </c>
      <c r="H243">
        <v>22450.68</v>
      </c>
      <c r="I243" t="s">
        <v>40</v>
      </c>
      <c r="J243" t="s">
        <v>2127</v>
      </c>
      <c r="K243" t="str">
        <f>_xlfn.XLOOKUP(Table4[[#This Row],[ProductID_Clean]],Table3[ProductID],Table3[BU],"Missing Value",0)</f>
        <v>Missing Value</v>
      </c>
    </row>
    <row r="244" spans="1:11">
      <c r="A244" t="s">
        <v>2212</v>
      </c>
      <c r="B244" t="s">
        <v>2206</v>
      </c>
      <c r="D244" t="s">
        <v>40</v>
      </c>
      <c r="E244" t="s">
        <v>2131</v>
      </c>
      <c r="F244" t="s">
        <v>2114</v>
      </c>
      <c r="G244">
        <v>19587.89</v>
      </c>
      <c r="H244">
        <v>20193.7</v>
      </c>
      <c r="I244" t="s">
        <v>2135</v>
      </c>
      <c r="J244" t="s">
        <v>2136</v>
      </c>
      <c r="K244" t="str">
        <f>_xlfn.XLOOKUP(Table4[[#This Row],[ProductID_Clean]],Table3[ProductID],Table3[BU],"Missing Value",0)</f>
        <v>Missing Value</v>
      </c>
    </row>
    <row r="245" spans="1:11">
      <c r="A245" t="s">
        <v>2216</v>
      </c>
      <c r="B245" t="s">
        <v>2206</v>
      </c>
      <c r="D245" t="s">
        <v>40</v>
      </c>
      <c r="E245" t="s">
        <v>2131</v>
      </c>
      <c r="F245" t="s">
        <v>2114</v>
      </c>
      <c r="G245">
        <v>15523.51</v>
      </c>
      <c r="H245">
        <v>16003.62</v>
      </c>
      <c r="I245" t="s">
        <v>2141</v>
      </c>
      <c r="J245" t="s">
        <v>2142</v>
      </c>
      <c r="K245" t="str">
        <f>_xlfn.XLOOKUP(Table4[[#This Row],[ProductID_Clean]],Table3[ProductID],Table3[BU],"Missing Value",0)</f>
        <v>Missing Value</v>
      </c>
    </row>
    <row r="246" spans="1:11">
      <c r="A246" t="s">
        <v>2220</v>
      </c>
      <c r="B246" t="s">
        <v>2206</v>
      </c>
      <c r="D246" t="s">
        <v>40</v>
      </c>
      <c r="E246" t="s">
        <v>2131</v>
      </c>
      <c r="F246" t="s">
        <v>2114</v>
      </c>
      <c r="G246">
        <v>11345.55</v>
      </c>
      <c r="H246">
        <v>11696.44</v>
      </c>
      <c r="I246" t="s">
        <v>2147</v>
      </c>
      <c r="J246" t="s">
        <v>2148</v>
      </c>
      <c r="K246" t="str">
        <f>_xlfn.XLOOKUP(Table4[[#This Row],[ProductID_Clean]],Table3[ProductID],Table3[BU],"Missing Value",0)</f>
        <v>Missing Value</v>
      </c>
    </row>
    <row r="247" spans="1:11">
      <c r="A247" t="s">
        <v>2224</v>
      </c>
      <c r="B247" t="s">
        <v>2122</v>
      </c>
      <c r="D247" t="s">
        <v>40</v>
      </c>
      <c r="E247" t="s">
        <v>2131</v>
      </c>
      <c r="F247" t="s">
        <v>2114</v>
      </c>
      <c r="G247">
        <v>16609.419999999998</v>
      </c>
      <c r="H247">
        <v>17123.11</v>
      </c>
      <c r="I247" t="s">
        <v>40</v>
      </c>
      <c r="J247" t="s">
        <v>2127</v>
      </c>
      <c r="K247" t="str">
        <f>_xlfn.XLOOKUP(Table4[[#This Row],[ProductID_Clean]],Table3[ProductID],Table3[BU],"Missing Value",0)</f>
        <v>Missing Value</v>
      </c>
    </row>
    <row r="248" spans="1:11">
      <c r="A248" t="s">
        <v>2228</v>
      </c>
      <c r="B248" t="s">
        <v>2122</v>
      </c>
      <c r="D248" t="s">
        <v>40</v>
      </c>
      <c r="E248" t="s">
        <v>2131</v>
      </c>
      <c r="F248" t="s">
        <v>2114</v>
      </c>
      <c r="G248">
        <v>13606.46</v>
      </c>
      <c r="H248">
        <v>14027.28</v>
      </c>
      <c r="I248" t="s">
        <v>2135</v>
      </c>
      <c r="J248" t="s">
        <v>2136</v>
      </c>
      <c r="K248" t="str">
        <f>_xlfn.XLOOKUP(Table4[[#This Row],[ProductID_Clean]],Table3[ProductID],Table3[BU],"Missing Value",0)</f>
        <v>Missing Value</v>
      </c>
    </row>
    <row r="249" spans="1:11">
      <c r="A249" t="s">
        <v>2232</v>
      </c>
      <c r="B249" t="s">
        <v>2122</v>
      </c>
      <c r="D249" t="s">
        <v>40</v>
      </c>
      <c r="E249" t="s">
        <v>2131</v>
      </c>
      <c r="F249" t="s">
        <v>2114</v>
      </c>
      <c r="G249">
        <v>10098.82</v>
      </c>
      <c r="H249">
        <v>10411.15</v>
      </c>
      <c r="I249" t="s">
        <v>2141</v>
      </c>
      <c r="J249" t="s">
        <v>2142</v>
      </c>
      <c r="K249" t="str">
        <f>_xlfn.XLOOKUP(Table4[[#This Row],[ProductID_Clean]],Table3[ProductID],Table3[BU],"Missing Value",0)</f>
        <v>Missing Value</v>
      </c>
    </row>
    <row r="250" spans="1:11">
      <c r="A250" t="s">
        <v>2236</v>
      </c>
      <c r="B250" t="s">
        <v>2122</v>
      </c>
      <c r="D250" t="s">
        <v>40</v>
      </c>
      <c r="E250" t="s">
        <v>2131</v>
      </c>
      <c r="F250" t="s">
        <v>2114</v>
      </c>
      <c r="G250">
        <v>7093.05</v>
      </c>
      <c r="H250">
        <v>7312.42</v>
      </c>
      <c r="I250" t="s">
        <v>2147</v>
      </c>
      <c r="J250" t="s">
        <v>2148</v>
      </c>
      <c r="K250" t="str">
        <f>_xlfn.XLOOKUP(Table4[[#This Row],[ProductID_Clean]],Table3[ProductID],Table3[BU],"Missing Value",0)</f>
        <v>Missing Value</v>
      </c>
    </row>
    <row r="251" spans="1:11">
      <c r="A251" t="s">
        <v>2145</v>
      </c>
      <c r="B251" t="s">
        <v>2112</v>
      </c>
      <c r="D251" t="s">
        <v>40</v>
      </c>
      <c r="E251" t="s">
        <v>2133</v>
      </c>
      <c r="F251" t="s">
        <v>2124</v>
      </c>
      <c r="G251">
        <v>11690.11</v>
      </c>
      <c r="H251">
        <v>12051.66</v>
      </c>
      <c r="I251" t="s">
        <v>2141</v>
      </c>
      <c r="J251" t="s">
        <v>2142</v>
      </c>
      <c r="K251" t="str">
        <f>_xlfn.XLOOKUP(Table4[[#This Row],[ProductID_Clean]],Table3[ProductID],Table3[BU],"Missing Value",0)</f>
        <v>Missing Value</v>
      </c>
    </row>
    <row r="252" spans="1:11">
      <c r="A252" t="s">
        <v>2132</v>
      </c>
      <c r="B252" t="s">
        <v>2112</v>
      </c>
      <c r="D252" t="s">
        <v>40</v>
      </c>
      <c r="E252" t="s">
        <v>2133</v>
      </c>
      <c r="F252" t="s">
        <v>2124</v>
      </c>
      <c r="G252">
        <v>20318.41</v>
      </c>
      <c r="H252">
        <v>20946.810000000001</v>
      </c>
      <c r="I252" t="s">
        <v>40</v>
      </c>
      <c r="J252" t="s">
        <v>2127</v>
      </c>
      <c r="K252" t="str">
        <f>_xlfn.XLOOKUP(Table4[[#This Row],[ProductID_Clean]],Table3[ProductID],Table3[BU],"Missing Value",0)</f>
        <v>Missing Value</v>
      </c>
    </row>
    <row r="253" spans="1:11">
      <c r="A253" t="s">
        <v>2139</v>
      </c>
      <c r="B253" t="s">
        <v>2112</v>
      </c>
      <c r="D253" t="s">
        <v>40</v>
      </c>
      <c r="E253" t="s">
        <v>2133</v>
      </c>
      <c r="F253" t="s">
        <v>2124</v>
      </c>
      <c r="G253">
        <v>14474.61</v>
      </c>
      <c r="H253">
        <v>14922.28</v>
      </c>
      <c r="I253" t="s">
        <v>2135</v>
      </c>
      <c r="J253" t="s">
        <v>2136</v>
      </c>
      <c r="K253" t="str">
        <f>_xlfn.XLOOKUP(Table4[[#This Row],[ProductID_Clean]],Table3[ProductID],Table3[BU],"Missing Value",0)</f>
        <v>Missing Value</v>
      </c>
    </row>
    <row r="254" spans="1:11">
      <c r="A254" t="s">
        <v>2151</v>
      </c>
      <c r="B254" t="s">
        <v>2112</v>
      </c>
      <c r="D254" t="s">
        <v>40</v>
      </c>
      <c r="E254" t="s">
        <v>2133</v>
      </c>
      <c r="F254" t="s">
        <v>2124</v>
      </c>
      <c r="G254">
        <v>9147.27</v>
      </c>
      <c r="H254">
        <v>9430.18</v>
      </c>
      <c r="I254" t="s">
        <v>2147</v>
      </c>
      <c r="J254" t="s">
        <v>2148</v>
      </c>
      <c r="K254" t="str">
        <f>_xlfn.XLOOKUP(Table4[[#This Row],[ProductID_Clean]],Table3[ProductID],Table3[BU],"Missing Value",0)</f>
        <v>Missing Value</v>
      </c>
    </row>
    <row r="255" spans="1:11">
      <c r="A255" t="s">
        <v>2155</v>
      </c>
      <c r="B255" t="s">
        <v>2117</v>
      </c>
      <c r="D255" t="s">
        <v>40</v>
      </c>
      <c r="E255" t="s">
        <v>2133</v>
      </c>
      <c r="F255" t="s">
        <v>2124</v>
      </c>
      <c r="G255">
        <v>17670.13</v>
      </c>
      <c r="H255">
        <v>18216.63</v>
      </c>
      <c r="I255" t="s">
        <v>40</v>
      </c>
      <c r="J255" t="s">
        <v>2127</v>
      </c>
      <c r="K255" t="str">
        <f>_xlfn.XLOOKUP(Table4[[#This Row],[ProductID_Clean]],Table3[ProductID],Table3[BU],"Missing Value",0)</f>
        <v>Missing Value</v>
      </c>
    </row>
    <row r="256" spans="1:11">
      <c r="A256" t="s">
        <v>2159</v>
      </c>
      <c r="B256" t="s">
        <v>2117</v>
      </c>
      <c r="D256" t="s">
        <v>40</v>
      </c>
      <c r="E256" t="s">
        <v>2133</v>
      </c>
      <c r="F256" t="s">
        <v>2124</v>
      </c>
      <c r="G256">
        <v>10392.56</v>
      </c>
      <c r="H256">
        <v>10713.98</v>
      </c>
      <c r="I256" t="s">
        <v>2135</v>
      </c>
      <c r="J256" t="s">
        <v>2136</v>
      </c>
      <c r="K256" t="str">
        <f>_xlfn.XLOOKUP(Table4[[#This Row],[ProductID_Clean]],Table3[ProductID],Table3[BU],"Missing Value",0)</f>
        <v>Missing Value</v>
      </c>
    </row>
    <row r="257" spans="1:11">
      <c r="A257" t="s">
        <v>2163</v>
      </c>
      <c r="B257" t="s">
        <v>2117</v>
      </c>
      <c r="D257" t="s">
        <v>40</v>
      </c>
      <c r="E257" t="s">
        <v>2133</v>
      </c>
      <c r="F257" t="s">
        <v>2124</v>
      </c>
      <c r="G257">
        <v>7435.57</v>
      </c>
      <c r="H257">
        <v>7665.54</v>
      </c>
      <c r="I257" t="s">
        <v>2141</v>
      </c>
      <c r="J257" t="s">
        <v>2142</v>
      </c>
      <c r="K257" t="str">
        <f>_xlfn.XLOOKUP(Table4[[#This Row],[ProductID_Clean]],Table3[ProductID],Table3[BU],"Missing Value",0)</f>
        <v>Missing Value</v>
      </c>
    </row>
    <row r="258" spans="1:11">
      <c r="A258" t="s">
        <v>2168</v>
      </c>
      <c r="B258" t="s">
        <v>2117</v>
      </c>
      <c r="D258" t="s">
        <v>40</v>
      </c>
      <c r="E258" t="s">
        <v>2133</v>
      </c>
      <c r="F258" t="s">
        <v>2124</v>
      </c>
      <c r="G258">
        <v>8383.51</v>
      </c>
      <c r="H258">
        <v>8642.7900000000009</v>
      </c>
      <c r="I258" t="s">
        <v>2147</v>
      </c>
      <c r="J258" t="s">
        <v>2148</v>
      </c>
      <c r="K258" t="str">
        <f>_xlfn.XLOOKUP(Table4[[#This Row],[ProductID_Clean]],Table3[ProductID],Table3[BU],"Missing Value",0)</f>
        <v>Missing Value</v>
      </c>
    </row>
    <row r="259" spans="1:11">
      <c r="A259" t="s">
        <v>2174</v>
      </c>
      <c r="B259" t="s">
        <v>2170</v>
      </c>
      <c r="D259" t="s">
        <v>40</v>
      </c>
      <c r="E259" t="s">
        <v>2133</v>
      </c>
      <c r="F259" t="s">
        <v>2124</v>
      </c>
      <c r="G259">
        <v>14799.28</v>
      </c>
      <c r="H259">
        <v>15256.99</v>
      </c>
      <c r="I259" t="s">
        <v>40</v>
      </c>
      <c r="J259" t="s">
        <v>2127</v>
      </c>
      <c r="K259" t="str">
        <f>_xlfn.XLOOKUP(Table4[[#This Row],[ProductID_Clean]],Table3[ProductID],Table3[BU],"Missing Value",0)</f>
        <v>Missing Value</v>
      </c>
    </row>
    <row r="260" spans="1:11">
      <c r="A260" t="s">
        <v>2178</v>
      </c>
      <c r="B260" t="s">
        <v>2170</v>
      </c>
      <c r="D260" t="s">
        <v>40</v>
      </c>
      <c r="E260" t="s">
        <v>2133</v>
      </c>
      <c r="F260" t="s">
        <v>2124</v>
      </c>
      <c r="G260">
        <v>12095.78</v>
      </c>
      <c r="H260">
        <v>12469.88</v>
      </c>
      <c r="I260" t="s">
        <v>2135</v>
      </c>
      <c r="J260" t="s">
        <v>2136</v>
      </c>
      <c r="K260" t="str">
        <f>_xlfn.XLOOKUP(Table4[[#This Row],[ProductID_Clean]],Table3[ProductID],Table3[BU],"Missing Value",0)</f>
        <v>Missing Value</v>
      </c>
    </row>
    <row r="261" spans="1:11">
      <c r="A261" t="s">
        <v>2182</v>
      </c>
      <c r="B261" t="s">
        <v>2170</v>
      </c>
      <c r="D261" t="s">
        <v>40</v>
      </c>
      <c r="E261" t="s">
        <v>2133</v>
      </c>
      <c r="F261" t="s">
        <v>2124</v>
      </c>
      <c r="G261">
        <v>12012.92</v>
      </c>
      <c r="H261">
        <v>12384.45</v>
      </c>
      <c r="I261" t="s">
        <v>2141</v>
      </c>
      <c r="J261" t="s">
        <v>2142</v>
      </c>
      <c r="K261" t="str">
        <f>_xlfn.XLOOKUP(Table4[[#This Row],[ProductID_Clean]],Table3[ProductID],Table3[BU],"Missing Value",0)</f>
        <v>Missing Value</v>
      </c>
    </row>
    <row r="262" spans="1:11">
      <c r="A262" t="s">
        <v>2186</v>
      </c>
      <c r="B262" t="s">
        <v>2170</v>
      </c>
      <c r="D262" t="s">
        <v>40</v>
      </c>
      <c r="E262" t="s">
        <v>2133</v>
      </c>
      <c r="F262" t="s">
        <v>2124</v>
      </c>
      <c r="G262">
        <v>6515.25</v>
      </c>
      <c r="H262">
        <v>6716.75</v>
      </c>
      <c r="I262" t="s">
        <v>2147</v>
      </c>
      <c r="J262" t="s">
        <v>2148</v>
      </c>
      <c r="K262" t="str">
        <f>_xlfn.XLOOKUP(Table4[[#This Row],[ProductID_Clean]],Table3[ProductID],Table3[BU],"Missing Value",0)</f>
        <v>Missing Value</v>
      </c>
    </row>
    <row r="263" spans="1:11">
      <c r="A263" t="s">
        <v>2191</v>
      </c>
      <c r="B263" t="s">
        <v>2120</v>
      </c>
      <c r="D263" t="s">
        <v>40</v>
      </c>
      <c r="E263" t="s">
        <v>2133</v>
      </c>
      <c r="F263" t="s">
        <v>2124</v>
      </c>
      <c r="G263">
        <v>14265.87</v>
      </c>
      <c r="H263">
        <v>14707.08</v>
      </c>
      <c r="I263" t="s">
        <v>40</v>
      </c>
      <c r="J263" t="s">
        <v>2127</v>
      </c>
      <c r="K263" t="str">
        <f>_xlfn.XLOOKUP(Table4[[#This Row],[ProductID_Clean]],Table3[ProductID],Table3[BU],"Missing Value",0)</f>
        <v>Missing Value</v>
      </c>
    </row>
    <row r="264" spans="1:11">
      <c r="A264" t="s">
        <v>2195</v>
      </c>
      <c r="B264" t="s">
        <v>2120</v>
      </c>
      <c r="D264" t="s">
        <v>40</v>
      </c>
      <c r="E264" t="s">
        <v>2133</v>
      </c>
      <c r="F264" t="s">
        <v>2124</v>
      </c>
      <c r="G264">
        <v>15677.29</v>
      </c>
      <c r="H264">
        <v>16162.15</v>
      </c>
      <c r="I264" t="s">
        <v>2135</v>
      </c>
      <c r="J264" t="s">
        <v>2136</v>
      </c>
      <c r="K264" t="str">
        <f>_xlfn.XLOOKUP(Table4[[#This Row],[ProductID_Clean]],Table3[ProductID],Table3[BU],"Missing Value",0)</f>
        <v>Missing Value</v>
      </c>
    </row>
    <row r="265" spans="1:11">
      <c r="A265" t="s">
        <v>2199</v>
      </c>
      <c r="B265" t="s">
        <v>2120</v>
      </c>
      <c r="D265" t="s">
        <v>40</v>
      </c>
      <c r="E265" t="s">
        <v>2200</v>
      </c>
      <c r="F265" t="s">
        <v>2124</v>
      </c>
      <c r="G265">
        <v>8759.0400000000009</v>
      </c>
      <c r="H265">
        <v>9029.94</v>
      </c>
      <c r="I265" t="s">
        <v>2141</v>
      </c>
      <c r="J265" t="s">
        <v>2142</v>
      </c>
      <c r="K265" t="str">
        <f>_xlfn.XLOOKUP(Table4[[#This Row],[ProductID_Clean]],Table3[ProductID],Table3[BU],"Missing Value",0)</f>
        <v>Missing Value</v>
      </c>
    </row>
    <row r="266" spans="1:11">
      <c r="A266" t="s">
        <v>2204</v>
      </c>
      <c r="B266" t="s">
        <v>2120</v>
      </c>
      <c r="D266" t="s">
        <v>40</v>
      </c>
      <c r="E266" t="s">
        <v>2133</v>
      </c>
      <c r="F266" t="s">
        <v>2124</v>
      </c>
      <c r="G266">
        <v>8009.95</v>
      </c>
      <c r="H266">
        <v>8257.68</v>
      </c>
      <c r="I266" t="s">
        <v>2147</v>
      </c>
      <c r="J266" t="s">
        <v>2148</v>
      </c>
      <c r="K266" t="str">
        <f>_xlfn.XLOOKUP(Table4[[#This Row],[ProductID_Clean]],Table3[ProductID],Table3[BU],"Missing Value",0)</f>
        <v>Missing Value</v>
      </c>
    </row>
    <row r="267" spans="1:11">
      <c r="A267" t="s">
        <v>2209</v>
      </c>
      <c r="B267" t="s">
        <v>2206</v>
      </c>
      <c r="D267" t="s">
        <v>40</v>
      </c>
      <c r="E267" t="s">
        <v>2133</v>
      </c>
      <c r="F267" t="s">
        <v>2124</v>
      </c>
      <c r="G267">
        <v>13312.48</v>
      </c>
      <c r="H267">
        <v>13724.21</v>
      </c>
      <c r="I267" t="s">
        <v>40</v>
      </c>
      <c r="J267" t="s">
        <v>2127</v>
      </c>
      <c r="K267" t="str">
        <f>_xlfn.XLOOKUP(Table4[[#This Row],[ProductID_Clean]],Table3[ProductID],Table3[BU],"Missing Value",0)</f>
        <v>Missing Value</v>
      </c>
    </row>
    <row r="268" spans="1:11">
      <c r="A268" t="s">
        <v>2213</v>
      </c>
      <c r="B268" t="s">
        <v>2206</v>
      </c>
      <c r="D268" t="s">
        <v>40</v>
      </c>
      <c r="E268" t="s">
        <v>2133</v>
      </c>
      <c r="F268" t="s">
        <v>2124</v>
      </c>
      <c r="G268">
        <v>17636.78</v>
      </c>
      <c r="H268">
        <v>18182.25</v>
      </c>
      <c r="I268" t="s">
        <v>2135</v>
      </c>
      <c r="J268" t="s">
        <v>2136</v>
      </c>
      <c r="K268" t="str">
        <f>_xlfn.XLOOKUP(Table4[[#This Row],[ProductID_Clean]],Table3[ProductID],Table3[BU],"Missing Value",0)</f>
        <v>Missing Value</v>
      </c>
    </row>
    <row r="269" spans="1:11">
      <c r="A269" t="s">
        <v>2217</v>
      </c>
      <c r="B269" t="s">
        <v>2206</v>
      </c>
      <c r="D269" t="s">
        <v>40</v>
      </c>
      <c r="E269" t="s">
        <v>2133</v>
      </c>
      <c r="F269" t="s">
        <v>2124</v>
      </c>
      <c r="G269">
        <v>7940.9</v>
      </c>
      <c r="H269">
        <v>8186.5</v>
      </c>
      <c r="I269" t="s">
        <v>2141</v>
      </c>
      <c r="J269" t="s">
        <v>2142</v>
      </c>
      <c r="K269" t="str">
        <f>_xlfn.XLOOKUP(Table4[[#This Row],[ProductID_Clean]],Table3[ProductID],Table3[BU],"Missing Value",0)</f>
        <v>Missing Value</v>
      </c>
    </row>
    <row r="270" spans="1:11">
      <c r="A270" t="s">
        <v>2221</v>
      </c>
      <c r="B270" t="s">
        <v>2206</v>
      </c>
      <c r="D270" t="s">
        <v>40</v>
      </c>
      <c r="E270" t="s">
        <v>2133</v>
      </c>
      <c r="F270" t="s">
        <v>2124</v>
      </c>
      <c r="G270">
        <v>8154.5</v>
      </c>
      <c r="H270">
        <v>8406.7000000000007</v>
      </c>
      <c r="I270" t="s">
        <v>2147</v>
      </c>
      <c r="J270" t="s">
        <v>2148</v>
      </c>
      <c r="K270" t="str">
        <f>_xlfn.XLOOKUP(Table4[[#This Row],[ProductID_Clean]],Table3[ProductID],Table3[BU],"Missing Value",0)</f>
        <v>Missing Value</v>
      </c>
    </row>
    <row r="271" spans="1:11">
      <c r="A271" t="s">
        <v>2225</v>
      </c>
      <c r="B271" t="s">
        <v>2122</v>
      </c>
      <c r="D271" t="s">
        <v>40</v>
      </c>
      <c r="E271" t="s">
        <v>2133</v>
      </c>
      <c r="F271" t="s">
        <v>2124</v>
      </c>
      <c r="G271">
        <v>17860.73</v>
      </c>
      <c r="H271">
        <v>18413.12</v>
      </c>
      <c r="I271" t="s">
        <v>40</v>
      </c>
      <c r="J271" t="s">
        <v>2127</v>
      </c>
      <c r="K271" t="str">
        <f>_xlfn.XLOOKUP(Table4[[#This Row],[ProductID_Clean]],Table3[ProductID],Table3[BU],"Missing Value",0)</f>
        <v>Missing Value</v>
      </c>
    </row>
    <row r="272" spans="1:11">
      <c r="A272" t="s">
        <v>2229</v>
      </c>
      <c r="B272" t="s">
        <v>2122</v>
      </c>
      <c r="D272" t="s">
        <v>40</v>
      </c>
      <c r="E272" t="s">
        <v>2133</v>
      </c>
      <c r="F272" t="s">
        <v>2124</v>
      </c>
      <c r="G272">
        <v>9663.17</v>
      </c>
      <c r="H272">
        <v>9962.0300000000007</v>
      </c>
      <c r="I272" t="s">
        <v>2135</v>
      </c>
      <c r="J272" t="s">
        <v>2136</v>
      </c>
      <c r="K272" t="str">
        <f>_xlfn.XLOOKUP(Table4[[#This Row],[ProductID_Clean]],Table3[ProductID],Table3[BU],"Missing Value",0)</f>
        <v>Missing Value</v>
      </c>
    </row>
    <row r="273" spans="1:11">
      <c r="A273" t="s">
        <v>2233</v>
      </c>
      <c r="B273" t="s">
        <v>2122</v>
      </c>
      <c r="D273" t="s">
        <v>40</v>
      </c>
      <c r="E273" t="s">
        <v>2133</v>
      </c>
      <c r="F273" t="s">
        <v>2124</v>
      </c>
      <c r="G273">
        <v>12111.59</v>
      </c>
      <c r="H273">
        <v>12486.18</v>
      </c>
      <c r="I273" t="s">
        <v>2141</v>
      </c>
      <c r="J273" t="s">
        <v>2142</v>
      </c>
      <c r="K273" t="str">
        <f>_xlfn.XLOOKUP(Table4[[#This Row],[ProductID_Clean]],Table3[ProductID],Table3[BU],"Missing Value",0)</f>
        <v>Missing Value</v>
      </c>
    </row>
    <row r="274" spans="1:11">
      <c r="A274" t="s">
        <v>2237</v>
      </c>
      <c r="B274" t="s">
        <v>2122</v>
      </c>
      <c r="D274" t="s">
        <v>40</v>
      </c>
      <c r="E274" t="s">
        <v>2133</v>
      </c>
      <c r="F274" t="s">
        <v>2124</v>
      </c>
      <c r="G274">
        <v>8797.66</v>
      </c>
      <c r="H274">
        <v>9069.75</v>
      </c>
      <c r="I274" t="s">
        <v>2147</v>
      </c>
      <c r="J274" t="s">
        <v>2148</v>
      </c>
      <c r="K274" t="str">
        <f>_xlfn.XLOOKUP(Table4[[#This Row],[ProductID_Clean]],Table3[ProductID],Table3[BU],"Missing Value",0)</f>
        <v>Missing Value</v>
      </c>
    </row>
    <row r="275" spans="1:11">
      <c r="A275" t="s">
        <v>2125</v>
      </c>
      <c r="B275" t="s">
        <v>2112</v>
      </c>
      <c r="D275" t="s">
        <v>40</v>
      </c>
      <c r="E275" t="s">
        <v>2126</v>
      </c>
      <c r="F275" t="s">
        <v>2124</v>
      </c>
      <c r="G275">
        <v>54902.12</v>
      </c>
      <c r="H275">
        <v>56600.12</v>
      </c>
      <c r="I275" t="s">
        <v>40</v>
      </c>
      <c r="J275" t="s">
        <v>2127</v>
      </c>
      <c r="K275" t="str">
        <f>_xlfn.XLOOKUP(Table4[[#This Row],[ProductID_Clean]],Table3[ProductID],Table3[BU],"Missing Value",0)</f>
        <v>Missing Value</v>
      </c>
    </row>
    <row r="276" spans="1:11">
      <c r="A276" t="s">
        <v>2134</v>
      </c>
      <c r="B276" t="s">
        <v>2112</v>
      </c>
      <c r="D276" t="s">
        <v>40</v>
      </c>
      <c r="E276" t="s">
        <v>2126</v>
      </c>
      <c r="F276" t="s">
        <v>2124</v>
      </c>
      <c r="G276">
        <v>30705.16</v>
      </c>
      <c r="H276">
        <v>31654.799999999999</v>
      </c>
      <c r="I276" t="s">
        <v>2135</v>
      </c>
      <c r="J276" t="s">
        <v>2136</v>
      </c>
      <c r="K276" t="str">
        <f>_xlfn.XLOOKUP(Table4[[#This Row],[ProductID_Clean]],Table3[ProductID],Table3[BU],"Missing Value",0)</f>
        <v>Missing Value</v>
      </c>
    </row>
    <row r="277" spans="1:11">
      <c r="A277" t="s">
        <v>2140</v>
      </c>
      <c r="B277" t="s">
        <v>2112</v>
      </c>
      <c r="D277" t="s">
        <v>40</v>
      </c>
      <c r="E277" t="s">
        <v>2126</v>
      </c>
      <c r="F277" t="s">
        <v>2124</v>
      </c>
      <c r="G277">
        <v>43333.69</v>
      </c>
      <c r="H277">
        <v>44673.91</v>
      </c>
      <c r="I277" t="s">
        <v>2141</v>
      </c>
      <c r="J277" t="s">
        <v>2142</v>
      </c>
      <c r="K277" t="str">
        <f>_xlfn.XLOOKUP(Table4[[#This Row],[ProductID_Clean]],Table3[ProductID],Table3[BU],"Missing Value",0)</f>
        <v>Missing Value</v>
      </c>
    </row>
    <row r="278" spans="1:11">
      <c r="A278" t="s">
        <v>2146</v>
      </c>
      <c r="B278" t="s">
        <v>2112</v>
      </c>
      <c r="D278" t="s">
        <v>40</v>
      </c>
      <c r="E278" t="s">
        <v>2126</v>
      </c>
      <c r="F278" t="s">
        <v>2124</v>
      </c>
      <c r="G278">
        <v>21054.2</v>
      </c>
      <c r="H278">
        <v>21705.360000000001</v>
      </c>
      <c r="I278" t="s">
        <v>2147</v>
      </c>
      <c r="J278" t="s">
        <v>2148</v>
      </c>
      <c r="K278" t="str">
        <f>_xlfn.XLOOKUP(Table4[[#This Row],[ProductID_Clean]],Table3[ProductID],Table3[BU],"Missing Value",0)</f>
        <v>Missing Value</v>
      </c>
    </row>
    <row r="279" spans="1:11">
      <c r="A279" t="s">
        <v>2152</v>
      </c>
      <c r="B279" t="s">
        <v>2117</v>
      </c>
      <c r="D279" t="s">
        <v>40</v>
      </c>
      <c r="E279" t="s">
        <v>2126</v>
      </c>
      <c r="F279" t="s">
        <v>2124</v>
      </c>
      <c r="G279">
        <v>59807.65</v>
      </c>
      <c r="H279">
        <v>61657.37</v>
      </c>
      <c r="I279" t="s">
        <v>40</v>
      </c>
      <c r="J279" t="s">
        <v>2127</v>
      </c>
      <c r="K279" t="str">
        <f>_xlfn.XLOOKUP(Table4[[#This Row],[ProductID_Clean]],Table3[ProductID],Table3[BU],"Missing Value",0)</f>
        <v>Missing Value</v>
      </c>
    </row>
    <row r="280" spans="1:11">
      <c r="A280" t="s">
        <v>2156</v>
      </c>
      <c r="B280" t="s">
        <v>2117</v>
      </c>
      <c r="D280" t="s">
        <v>40</v>
      </c>
      <c r="E280" t="s">
        <v>2126</v>
      </c>
      <c r="F280" t="s">
        <v>2124</v>
      </c>
      <c r="G280">
        <v>31965.64</v>
      </c>
      <c r="H280">
        <v>32954.269999999997</v>
      </c>
      <c r="I280" t="s">
        <v>2135</v>
      </c>
      <c r="J280" t="s">
        <v>2136</v>
      </c>
      <c r="K280" t="str">
        <f>_xlfn.XLOOKUP(Table4[[#This Row],[ProductID_Clean]],Table3[ProductID],Table3[BU],"Missing Value",0)</f>
        <v>Missing Value</v>
      </c>
    </row>
    <row r="281" spans="1:11">
      <c r="A281" t="s">
        <v>2160</v>
      </c>
      <c r="B281" t="s">
        <v>2117</v>
      </c>
      <c r="D281" t="s">
        <v>40</v>
      </c>
      <c r="E281" t="s">
        <v>2126</v>
      </c>
      <c r="F281" t="s">
        <v>2124</v>
      </c>
      <c r="G281">
        <v>40366.35</v>
      </c>
      <c r="H281">
        <v>41614.79</v>
      </c>
      <c r="I281" t="s">
        <v>2141</v>
      </c>
      <c r="J281" t="s">
        <v>2142</v>
      </c>
      <c r="K281" t="str">
        <f>_xlfn.XLOOKUP(Table4[[#This Row],[ProductID_Clean]],Table3[ProductID],Table3[BU],"Missing Value",0)</f>
        <v>Missing Value</v>
      </c>
    </row>
    <row r="282" spans="1:11">
      <c r="A282" t="s">
        <v>2164</v>
      </c>
      <c r="B282" t="s">
        <v>2117</v>
      </c>
      <c r="D282" t="s">
        <v>40</v>
      </c>
      <c r="E282" t="s">
        <v>2165</v>
      </c>
      <c r="F282" t="s">
        <v>2124</v>
      </c>
      <c r="G282">
        <v>24927.119999999999</v>
      </c>
      <c r="H282">
        <v>25698.06</v>
      </c>
      <c r="I282" t="s">
        <v>2147</v>
      </c>
      <c r="J282" t="s">
        <v>2148</v>
      </c>
      <c r="K282" t="str">
        <f>_xlfn.XLOOKUP(Table4[[#This Row],[ProductID_Clean]],Table3[ProductID],Table3[BU],"Missing Value",0)</f>
        <v>Missing Value</v>
      </c>
    </row>
    <row r="283" spans="1:11">
      <c r="A283" t="s">
        <v>2169</v>
      </c>
      <c r="B283" t="s">
        <v>2170</v>
      </c>
      <c r="D283" t="s">
        <v>40</v>
      </c>
      <c r="E283" t="s">
        <v>2126</v>
      </c>
      <c r="F283" t="s">
        <v>2124</v>
      </c>
      <c r="G283">
        <v>61947.15</v>
      </c>
      <c r="H283">
        <v>63863.040000000001</v>
      </c>
      <c r="I283" t="s">
        <v>40</v>
      </c>
      <c r="J283" t="s">
        <v>2127</v>
      </c>
      <c r="K283" t="str">
        <f>_xlfn.XLOOKUP(Table4[[#This Row],[ProductID_Clean]],Table3[ProductID],Table3[BU],"Missing Value",0)</f>
        <v>Missing Value</v>
      </c>
    </row>
    <row r="284" spans="1:11">
      <c r="A284" t="s">
        <v>2175</v>
      </c>
      <c r="B284" t="s">
        <v>2170</v>
      </c>
      <c r="D284" t="s">
        <v>40</v>
      </c>
      <c r="E284" t="s">
        <v>2126</v>
      </c>
      <c r="F284" t="s">
        <v>2124</v>
      </c>
      <c r="G284">
        <v>47129.89</v>
      </c>
      <c r="H284">
        <v>48587.519999999997</v>
      </c>
      <c r="I284" t="s">
        <v>2135</v>
      </c>
      <c r="J284" t="s">
        <v>2136</v>
      </c>
      <c r="K284" t="str">
        <f>_xlfn.XLOOKUP(Table4[[#This Row],[ProductID_Clean]],Table3[ProductID],Table3[BU],"Missing Value",0)</f>
        <v>Missing Value</v>
      </c>
    </row>
    <row r="285" spans="1:11">
      <c r="A285" t="s">
        <v>2179</v>
      </c>
      <c r="B285" t="s">
        <v>2170</v>
      </c>
      <c r="D285" t="s">
        <v>40</v>
      </c>
      <c r="E285" t="s">
        <v>2126</v>
      </c>
      <c r="F285" t="s">
        <v>2124</v>
      </c>
      <c r="G285">
        <v>26817.200000000001</v>
      </c>
      <c r="H285">
        <v>27646.6</v>
      </c>
      <c r="I285" t="s">
        <v>2141</v>
      </c>
      <c r="J285" t="s">
        <v>2142</v>
      </c>
      <c r="K285" t="str">
        <f>_xlfn.XLOOKUP(Table4[[#This Row],[ProductID_Clean]],Table3[ProductID],Table3[BU],"Missing Value",0)</f>
        <v>Missing Value</v>
      </c>
    </row>
    <row r="286" spans="1:11">
      <c r="A286" t="s">
        <v>2183</v>
      </c>
      <c r="B286" t="s">
        <v>2170</v>
      </c>
      <c r="D286" t="s">
        <v>40</v>
      </c>
      <c r="E286" t="s">
        <v>2165</v>
      </c>
      <c r="F286" t="s">
        <v>2124</v>
      </c>
      <c r="G286">
        <v>16272.45</v>
      </c>
      <c r="H286">
        <v>16775.72</v>
      </c>
      <c r="I286" t="s">
        <v>2147</v>
      </c>
      <c r="J286" t="s">
        <v>2148</v>
      </c>
      <c r="K286" t="str">
        <f>_xlfn.XLOOKUP(Table4[[#This Row],[ProductID_Clean]],Table3[ProductID],Table3[BU],"Missing Value",0)</f>
        <v>Missing Value</v>
      </c>
    </row>
    <row r="287" spans="1:11">
      <c r="A287" t="s">
        <v>2187</v>
      </c>
      <c r="B287" t="s">
        <v>2120</v>
      </c>
      <c r="D287" t="s">
        <v>40</v>
      </c>
      <c r="E287" t="s">
        <v>2126</v>
      </c>
      <c r="F287" t="s">
        <v>2124</v>
      </c>
      <c r="G287">
        <v>50683.55</v>
      </c>
      <c r="H287">
        <v>52251.08</v>
      </c>
      <c r="I287" t="s">
        <v>40</v>
      </c>
      <c r="J287" t="s">
        <v>2127</v>
      </c>
      <c r="K287" t="str">
        <f>_xlfn.XLOOKUP(Table4[[#This Row],[ProductID_Clean]],Table3[ProductID],Table3[BU],"Missing Value",0)</f>
        <v>Missing Value</v>
      </c>
    </row>
    <row r="288" spans="1:11">
      <c r="A288" t="s">
        <v>2192</v>
      </c>
      <c r="B288" t="s">
        <v>2120</v>
      </c>
      <c r="D288" t="s">
        <v>40</v>
      </c>
      <c r="E288" t="s">
        <v>2126</v>
      </c>
      <c r="F288" t="s">
        <v>2124</v>
      </c>
      <c r="G288">
        <v>27112.91</v>
      </c>
      <c r="H288">
        <v>27951.45</v>
      </c>
      <c r="I288" t="s">
        <v>2135</v>
      </c>
      <c r="J288" t="s">
        <v>2136</v>
      </c>
      <c r="K288" t="str">
        <f>_xlfn.XLOOKUP(Table4[[#This Row],[ProductID_Clean]],Table3[ProductID],Table3[BU],"Missing Value",0)</f>
        <v>Missing Value</v>
      </c>
    </row>
    <row r="289" spans="1:11">
      <c r="A289" t="s">
        <v>2196</v>
      </c>
      <c r="B289" t="s">
        <v>2120</v>
      </c>
      <c r="D289" t="s">
        <v>40</v>
      </c>
      <c r="E289" t="s">
        <v>2126</v>
      </c>
      <c r="F289" t="s">
        <v>2124</v>
      </c>
      <c r="G289">
        <v>37543.800000000003</v>
      </c>
      <c r="H289">
        <v>38704.949999999997</v>
      </c>
      <c r="I289" t="s">
        <v>2141</v>
      </c>
      <c r="J289" t="s">
        <v>2142</v>
      </c>
      <c r="K289" t="str">
        <f>_xlfn.XLOOKUP(Table4[[#This Row],[ProductID_Clean]],Table3[ProductID],Table3[BU],"Missing Value",0)</f>
        <v>Missing Value</v>
      </c>
    </row>
    <row r="290" spans="1:11">
      <c r="A290" t="s">
        <v>2201</v>
      </c>
      <c r="B290" t="s">
        <v>2120</v>
      </c>
      <c r="D290" t="s">
        <v>40</v>
      </c>
      <c r="E290" t="s">
        <v>2126</v>
      </c>
      <c r="F290" t="s">
        <v>2124</v>
      </c>
      <c r="G290">
        <v>16252.19</v>
      </c>
      <c r="H290">
        <v>16754.830000000002</v>
      </c>
      <c r="I290" t="s">
        <v>2147</v>
      </c>
      <c r="J290" t="s">
        <v>2148</v>
      </c>
      <c r="K290" t="str">
        <f>_xlfn.XLOOKUP(Table4[[#This Row],[ProductID_Clean]],Table3[ProductID],Table3[BU],"Missing Value",0)</f>
        <v>Missing Value</v>
      </c>
    </row>
    <row r="291" spans="1:11">
      <c r="A291" t="s">
        <v>2210</v>
      </c>
      <c r="B291" t="s">
        <v>2206</v>
      </c>
      <c r="D291" t="s">
        <v>40</v>
      </c>
      <c r="E291" t="s">
        <v>2126</v>
      </c>
      <c r="F291" t="s">
        <v>2124</v>
      </c>
      <c r="G291">
        <v>38162.129999999997</v>
      </c>
      <c r="H291">
        <v>39342.400000000001</v>
      </c>
      <c r="I291" t="s">
        <v>2135</v>
      </c>
      <c r="J291" t="s">
        <v>2136</v>
      </c>
      <c r="K291" t="str">
        <f>_xlfn.XLOOKUP(Table4[[#This Row],[ProductID_Clean]],Table3[ProductID],Table3[BU],"Missing Value",0)</f>
        <v>Missing Value</v>
      </c>
    </row>
    <row r="292" spans="1:11">
      <c r="A292" t="s">
        <v>2205</v>
      </c>
      <c r="B292" t="s">
        <v>2206</v>
      </c>
      <c r="D292" t="s">
        <v>40</v>
      </c>
      <c r="E292" t="s">
        <v>2126</v>
      </c>
      <c r="F292" t="s">
        <v>2124</v>
      </c>
      <c r="G292">
        <v>49444.38</v>
      </c>
      <c r="H292">
        <v>50973.59</v>
      </c>
      <c r="I292" t="s">
        <v>40</v>
      </c>
      <c r="J292" t="s">
        <v>2127</v>
      </c>
      <c r="K292" t="str">
        <f>_xlfn.XLOOKUP(Table4[[#This Row],[ProductID_Clean]],Table3[ProductID],Table3[BU],"Missing Value",0)</f>
        <v>Missing Value</v>
      </c>
    </row>
    <row r="293" spans="1:11">
      <c r="A293" t="s">
        <v>2214</v>
      </c>
      <c r="B293" t="s">
        <v>2206</v>
      </c>
      <c r="D293" t="s">
        <v>40</v>
      </c>
      <c r="E293" t="s">
        <v>2126</v>
      </c>
      <c r="F293" t="s">
        <v>2124</v>
      </c>
      <c r="G293">
        <v>26928.67</v>
      </c>
      <c r="H293">
        <v>27761.52</v>
      </c>
      <c r="I293" t="s">
        <v>2141</v>
      </c>
      <c r="J293" t="s">
        <v>2142</v>
      </c>
      <c r="K293" t="str">
        <f>_xlfn.XLOOKUP(Table4[[#This Row],[ProductID_Clean]],Table3[ProductID],Table3[BU],"Missing Value",0)</f>
        <v>Missing Value</v>
      </c>
    </row>
    <row r="294" spans="1:11">
      <c r="A294" t="s">
        <v>2218</v>
      </c>
      <c r="B294" t="s">
        <v>2206</v>
      </c>
      <c r="D294" t="s">
        <v>40</v>
      </c>
      <c r="E294" t="s">
        <v>2126</v>
      </c>
      <c r="F294" t="s">
        <v>2124</v>
      </c>
      <c r="G294">
        <v>16871.95</v>
      </c>
      <c r="H294">
        <v>17393.759999999998</v>
      </c>
      <c r="I294" t="s">
        <v>2147</v>
      </c>
      <c r="J294" t="s">
        <v>2148</v>
      </c>
      <c r="K294" t="str">
        <f>_xlfn.XLOOKUP(Table4[[#This Row],[ProductID_Clean]],Table3[ProductID],Table3[BU],"Missing Value",0)</f>
        <v>Missing Value</v>
      </c>
    </row>
    <row r="295" spans="1:11">
      <c r="A295" t="s">
        <v>2222</v>
      </c>
      <c r="B295" t="s">
        <v>2122</v>
      </c>
      <c r="D295" t="s">
        <v>40</v>
      </c>
      <c r="E295" t="s">
        <v>2126</v>
      </c>
      <c r="F295" t="s">
        <v>2124</v>
      </c>
      <c r="G295">
        <v>48725.919999999998</v>
      </c>
      <c r="H295">
        <v>50232.91</v>
      </c>
      <c r="I295" t="s">
        <v>40</v>
      </c>
      <c r="J295" t="s">
        <v>2127</v>
      </c>
      <c r="K295" t="str">
        <f>_xlfn.XLOOKUP(Table4[[#This Row],[ProductID_Clean]],Table3[ProductID],Table3[BU],"Missing Value",0)</f>
        <v>Missing Value</v>
      </c>
    </row>
    <row r="296" spans="1:11">
      <c r="A296" t="s">
        <v>2226</v>
      </c>
      <c r="B296" t="s">
        <v>2122</v>
      </c>
      <c r="D296" t="s">
        <v>40</v>
      </c>
      <c r="E296" t="s">
        <v>2126</v>
      </c>
      <c r="F296" t="s">
        <v>2124</v>
      </c>
      <c r="G296">
        <v>30539.01</v>
      </c>
      <c r="H296">
        <v>31483.52</v>
      </c>
      <c r="I296" t="s">
        <v>2135</v>
      </c>
      <c r="J296" t="s">
        <v>2136</v>
      </c>
      <c r="K296" t="str">
        <f>_xlfn.XLOOKUP(Table4[[#This Row],[ProductID_Clean]],Table3[ProductID],Table3[BU],"Missing Value",0)</f>
        <v>Missing Value</v>
      </c>
    </row>
    <row r="297" spans="1:11">
      <c r="A297" t="s">
        <v>2230</v>
      </c>
      <c r="B297" t="s">
        <v>2122</v>
      </c>
      <c r="D297" t="s">
        <v>40</v>
      </c>
      <c r="E297" t="s">
        <v>2126</v>
      </c>
      <c r="F297" t="s">
        <v>2124</v>
      </c>
      <c r="G297">
        <v>38475.31</v>
      </c>
      <c r="H297">
        <v>39665.269999999997</v>
      </c>
      <c r="I297" t="s">
        <v>2141</v>
      </c>
      <c r="J297" t="s">
        <v>2142</v>
      </c>
      <c r="K297" t="str">
        <f>_xlfn.XLOOKUP(Table4[[#This Row],[ProductID_Clean]],Table3[ProductID],Table3[BU],"Missing Value",0)</f>
        <v>Missing Value</v>
      </c>
    </row>
    <row r="298" spans="1:11">
      <c r="A298" t="s">
        <v>2234</v>
      </c>
      <c r="B298" t="s">
        <v>2122</v>
      </c>
      <c r="D298" t="s">
        <v>40</v>
      </c>
      <c r="E298" t="s">
        <v>2126</v>
      </c>
      <c r="F298" t="s">
        <v>2124</v>
      </c>
      <c r="G298">
        <v>17954.86</v>
      </c>
      <c r="H298">
        <v>18510.169999999998</v>
      </c>
      <c r="I298" t="s">
        <v>2147</v>
      </c>
      <c r="J298" t="s">
        <v>2148</v>
      </c>
      <c r="K298" t="str">
        <f>_xlfn.XLOOKUP(Table4[[#This Row],[ProductID_Clean]],Table3[ProductID],Table3[BU],"Missing Value",0)</f>
        <v>Missing Value</v>
      </c>
    </row>
    <row r="299" spans="1:11">
      <c r="A299" t="s">
        <v>2128</v>
      </c>
      <c r="B299" t="s">
        <v>2112</v>
      </c>
      <c r="D299" t="s">
        <v>40</v>
      </c>
      <c r="E299" t="s">
        <v>2129</v>
      </c>
      <c r="F299" t="s">
        <v>2124</v>
      </c>
      <c r="G299">
        <v>32318.720000000001</v>
      </c>
      <c r="H299">
        <v>33318.269999999997</v>
      </c>
      <c r="I299" t="s">
        <v>40</v>
      </c>
      <c r="J299" t="s">
        <v>2127</v>
      </c>
      <c r="K299" t="str">
        <f>_xlfn.XLOOKUP(Table4[[#This Row],[ProductID_Clean]],Table3[ProductID],Table3[BU],"Missing Value",0)</f>
        <v>Missing Value</v>
      </c>
    </row>
    <row r="300" spans="1:11">
      <c r="A300" t="s">
        <v>2137</v>
      </c>
      <c r="B300" t="s">
        <v>2112</v>
      </c>
      <c r="D300" t="s">
        <v>40</v>
      </c>
      <c r="E300" t="s">
        <v>2129</v>
      </c>
      <c r="F300" t="s">
        <v>2124</v>
      </c>
      <c r="G300">
        <v>19192.490000000002</v>
      </c>
      <c r="H300">
        <v>19786.07</v>
      </c>
      <c r="I300" t="s">
        <v>2135</v>
      </c>
      <c r="J300" t="s">
        <v>2136</v>
      </c>
      <c r="K300" t="str">
        <f>_xlfn.XLOOKUP(Table4[[#This Row],[ProductID_Clean]],Table3[ProductID],Table3[BU],"Missing Value",0)</f>
        <v>Missing Value</v>
      </c>
    </row>
    <row r="301" spans="1:11">
      <c r="A301" t="s">
        <v>2143</v>
      </c>
      <c r="B301" t="s">
        <v>2112</v>
      </c>
      <c r="D301" t="s">
        <v>40</v>
      </c>
      <c r="E301" t="s">
        <v>2129</v>
      </c>
      <c r="F301" t="s">
        <v>2124</v>
      </c>
      <c r="G301">
        <v>21618.400000000001</v>
      </c>
      <c r="H301">
        <v>22287.01</v>
      </c>
      <c r="I301" t="s">
        <v>2141</v>
      </c>
      <c r="J301" t="s">
        <v>2142</v>
      </c>
      <c r="K301" t="str">
        <f>_xlfn.XLOOKUP(Table4[[#This Row],[ProductID_Clean]],Table3[ProductID],Table3[BU],"Missing Value",0)</f>
        <v>Missing Value</v>
      </c>
    </row>
    <row r="302" spans="1:11">
      <c r="A302" t="s">
        <v>2149</v>
      </c>
      <c r="B302" t="s">
        <v>2112</v>
      </c>
      <c r="D302" t="s">
        <v>40</v>
      </c>
      <c r="E302" t="s">
        <v>2129</v>
      </c>
      <c r="F302" t="s">
        <v>2124</v>
      </c>
      <c r="G302">
        <v>16482.29</v>
      </c>
      <c r="H302">
        <v>16992.05</v>
      </c>
      <c r="I302" t="s">
        <v>2147</v>
      </c>
      <c r="J302" t="s">
        <v>2148</v>
      </c>
      <c r="K302" t="str">
        <f>_xlfn.XLOOKUP(Table4[[#This Row],[ProductID_Clean]],Table3[ProductID],Table3[BU],"Missing Value",0)</f>
        <v>Missing Value</v>
      </c>
    </row>
    <row r="303" spans="1:11">
      <c r="A303" t="s">
        <v>2153</v>
      </c>
      <c r="B303" t="s">
        <v>2117</v>
      </c>
      <c r="D303" t="s">
        <v>40</v>
      </c>
      <c r="E303" t="s">
        <v>2129</v>
      </c>
      <c r="F303" t="s">
        <v>2124</v>
      </c>
      <c r="G303">
        <v>34302.89</v>
      </c>
      <c r="H303">
        <v>35363.800000000003</v>
      </c>
      <c r="I303" t="s">
        <v>40</v>
      </c>
      <c r="J303" t="s">
        <v>2127</v>
      </c>
      <c r="K303" t="str">
        <f>_xlfn.XLOOKUP(Table4[[#This Row],[ProductID_Clean]],Table3[ProductID],Table3[BU],"Missing Value",0)</f>
        <v>Missing Value</v>
      </c>
    </row>
    <row r="304" spans="1:11">
      <c r="A304" t="s">
        <v>2157</v>
      </c>
      <c r="B304" t="s">
        <v>2117</v>
      </c>
      <c r="D304" t="s">
        <v>40</v>
      </c>
      <c r="E304" t="s">
        <v>2129</v>
      </c>
      <c r="F304" t="s">
        <v>2124</v>
      </c>
      <c r="G304">
        <v>30528.79</v>
      </c>
      <c r="H304">
        <v>31472.98</v>
      </c>
      <c r="I304" t="s">
        <v>2135</v>
      </c>
      <c r="J304" t="s">
        <v>2136</v>
      </c>
      <c r="K304" t="str">
        <f>_xlfn.XLOOKUP(Table4[[#This Row],[ProductID_Clean]],Table3[ProductID],Table3[BU],"Missing Value",0)</f>
        <v>Missing Value</v>
      </c>
    </row>
    <row r="305" spans="1:11">
      <c r="A305" t="s">
        <v>2161</v>
      </c>
      <c r="B305" t="s">
        <v>2117</v>
      </c>
      <c r="D305" t="s">
        <v>40</v>
      </c>
      <c r="E305" t="s">
        <v>2129</v>
      </c>
      <c r="F305" t="s">
        <v>2124</v>
      </c>
      <c r="G305">
        <v>17864.57</v>
      </c>
      <c r="H305">
        <v>18417.080000000002</v>
      </c>
      <c r="I305" t="s">
        <v>2141</v>
      </c>
      <c r="J305" t="s">
        <v>2142</v>
      </c>
      <c r="K305" t="str">
        <f>_xlfn.XLOOKUP(Table4[[#This Row],[ProductID_Clean]],Table3[ProductID],Table3[BU],"Missing Value",0)</f>
        <v>Missing Value</v>
      </c>
    </row>
    <row r="306" spans="1:11">
      <c r="A306" t="s">
        <v>2166</v>
      </c>
      <c r="B306" t="s">
        <v>2117</v>
      </c>
      <c r="D306" t="s">
        <v>40</v>
      </c>
      <c r="E306" t="s">
        <v>2129</v>
      </c>
      <c r="F306" t="s">
        <v>2124</v>
      </c>
      <c r="G306">
        <v>16154.49</v>
      </c>
      <c r="H306">
        <v>16654.11</v>
      </c>
      <c r="I306" t="s">
        <v>2147</v>
      </c>
      <c r="J306" t="s">
        <v>2148</v>
      </c>
      <c r="K306" t="str">
        <f>_xlfn.XLOOKUP(Table4[[#This Row],[ProductID_Clean]],Table3[ProductID],Table3[BU],"Missing Value",0)</f>
        <v>Missing Value</v>
      </c>
    </row>
    <row r="307" spans="1:11">
      <c r="A307" t="s">
        <v>2171</v>
      </c>
      <c r="B307" t="s">
        <v>2170</v>
      </c>
      <c r="D307" t="s">
        <v>40</v>
      </c>
      <c r="E307" t="s">
        <v>2129</v>
      </c>
      <c r="F307" t="s">
        <v>2124</v>
      </c>
      <c r="G307">
        <v>42189.79</v>
      </c>
      <c r="H307">
        <v>43494.63</v>
      </c>
      <c r="I307" t="s">
        <v>40</v>
      </c>
      <c r="J307" t="s">
        <v>2127</v>
      </c>
      <c r="K307" t="str">
        <f>_xlfn.XLOOKUP(Table4[[#This Row],[ProductID_Clean]],Table3[ProductID],Table3[BU],"Missing Value",0)</f>
        <v>Missing Value</v>
      </c>
    </row>
    <row r="308" spans="1:11">
      <c r="A308" t="s">
        <v>2176</v>
      </c>
      <c r="B308" t="s">
        <v>2170</v>
      </c>
      <c r="D308" t="s">
        <v>40</v>
      </c>
      <c r="E308" t="s">
        <v>2129</v>
      </c>
      <c r="F308" t="s">
        <v>2124</v>
      </c>
      <c r="G308">
        <v>34327.79</v>
      </c>
      <c r="H308">
        <v>35389.47</v>
      </c>
      <c r="I308" t="s">
        <v>2135</v>
      </c>
      <c r="J308" t="s">
        <v>2136</v>
      </c>
      <c r="K308" t="str">
        <f>_xlfn.XLOOKUP(Table4[[#This Row],[ProductID_Clean]],Table3[ProductID],Table3[BU],"Missing Value",0)</f>
        <v>Missing Value</v>
      </c>
    </row>
    <row r="309" spans="1:11">
      <c r="A309" t="s">
        <v>2180</v>
      </c>
      <c r="B309" t="s">
        <v>2170</v>
      </c>
      <c r="D309" t="s">
        <v>40</v>
      </c>
      <c r="E309" t="s">
        <v>2129</v>
      </c>
      <c r="F309" t="s">
        <v>2124</v>
      </c>
      <c r="G309">
        <v>21978.2</v>
      </c>
      <c r="H309">
        <v>22657.94</v>
      </c>
      <c r="I309" t="s">
        <v>2141</v>
      </c>
      <c r="J309" t="s">
        <v>2142</v>
      </c>
      <c r="K309" t="str">
        <f>_xlfn.XLOOKUP(Table4[[#This Row],[ProductID_Clean]],Table3[ProductID],Table3[BU],"Missing Value",0)</f>
        <v>Missing Value</v>
      </c>
    </row>
    <row r="310" spans="1:11">
      <c r="A310" t="s">
        <v>2184</v>
      </c>
      <c r="B310" t="s">
        <v>2170</v>
      </c>
      <c r="D310" t="s">
        <v>40</v>
      </c>
      <c r="E310" t="s">
        <v>2129</v>
      </c>
      <c r="F310" t="s">
        <v>2124</v>
      </c>
      <c r="G310">
        <v>15058.13</v>
      </c>
      <c r="H310">
        <v>15523.85</v>
      </c>
      <c r="I310" t="s">
        <v>2147</v>
      </c>
      <c r="J310" t="s">
        <v>2148</v>
      </c>
      <c r="K310" t="str">
        <f>_xlfn.XLOOKUP(Table4[[#This Row],[ProductID_Clean]],Table3[ProductID],Table3[BU],"Missing Value",0)</f>
        <v>Missing Value</v>
      </c>
    </row>
    <row r="311" spans="1:11">
      <c r="A311" t="s">
        <v>2188</v>
      </c>
      <c r="B311" t="s">
        <v>2120</v>
      </c>
      <c r="D311" t="s">
        <v>40</v>
      </c>
      <c r="E311" t="s">
        <v>2189</v>
      </c>
      <c r="F311" t="s">
        <v>2124</v>
      </c>
      <c r="G311">
        <v>38875.980000000003</v>
      </c>
      <c r="H311">
        <v>40078.33</v>
      </c>
      <c r="I311" t="s">
        <v>40</v>
      </c>
      <c r="J311" t="s">
        <v>2127</v>
      </c>
      <c r="K311" t="str">
        <f>_xlfn.XLOOKUP(Table4[[#This Row],[ProductID_Clean]],Table3[ProductID],Table3[BU],"Missing Value",0)</f>
        <v>Missing Value</v>
      </c>
    </row>
    <row r="312" spans="1:11">
      <c r="A312" t="s">
        <v>2193</v>
      </c>
      <c r="B312" t="s">
        <v>2120</v>
      </c>
      <c r="D312" t="s">
        <v>40</v>
      </c>
      <c r="E312" t="s">
        <v>2129</v>
      </c>
      <c r="F312" t="s">
        <v>2124</v>
      </c>
      <c r="G312">
        <v>24206.2</v>
      </c>
      <c r="H312">
        <v>24954.85</v>
      </c>
      <c r="I312" t="s">
        <v>2135</v>
      </c>
      <c r="J312" t="s">
        <v>2136</v>
      </c>
      <c r="K312" t="str">
        <f>_xlfn.XLOOKUP(Table4[[#This Row],[ProductID_Clean]],Table3[ProductID],Table3[BU],"Missing Value",0)</f>
        <v>Missing Value</v>
      </c>
    </row>
    <row r="313" spans="1:11">
      <c r="A313" t="s">
        <v>2197</v>
      </c>
      <c r="B313" t="s">
        <v>2120</v>
      </c>
      <c r="D313" t="s">
        <v>40</v>
      </c>
      <c r="E313" t="s">
        <v>2129</v>
      </c>
      <c r="F313" t="s">
        <v>2124</v>
      </c>
      <c r="G313">
        <v>28005.82</v>
      </c>
      <c r="H313">
        <v>28871.98</v>
      </c>
      <c r="I313" t="s">
        <v>2141</v>
      </c>
      <c r="J313" t="s">
        <v>2142</v>
      </c>
      <c r="K313" t="str">
        <f>_xlfn.XLOOKUP(Table4[[#This Row],[ProductID_Clean]],Table3[ProductID],Table3[BU],"Missing Value",0)</f>
        <v>Missing Value</v>
      </c>
    </row>
    <row r="314" spans="1:11">
      <c r="A314" t="s">
        <v>2202</v>
      </c>
      <c r="B314" t="s">
        <v>2120</v>
      </c>
      <c r="D314" t="s">
        <v>40</v>
      </c>
      <c r="E314" t="s">
        <v>2129</v>
      </c>
      <c r="F314" t="s">
        <v>2124</v>
      </c>
      <c r="G314">
        <v>15820.17</v>
      </c>
      <c r="H314">
        <v>16309.45</v>
      </c>
      <c r="I314" t="s">
        <v>2147</v>
      </c>
      <c r="J314" t="s">
        <v>2148</v>
      </c>
      <c r="K314" t="str">
        <f>_xlfn.XLOOKUP(Table4[[#This Row],[ProductID_Clean]],Table3[ProductID],Table3[BU],"Missing Value",0)</f>
        <v>Missing Value</v>
      </c>
    </row>
    <row r="315" spans="1:11">
      <c r="A315" t="s">
        <v>2207</v>
      </c>
      <c r="B315" t="s">
        <v>2206</v>
      </c>
      <c r="D315" t="s">
        <v>40</v>
      </c>
      <c r="E315" t="s">
        <v>2129</v>
      </c>
      <c r="F315" t="s">
        <v>2124</v>
      </c>
      <c r="G315">
        <v>22394.97</v>
      </c>
      <c r="H315">
        <v>23087.599999999999</v>
      </c>
      <c r="I315" t="s">
        <v>40</v>
      </c>
      <c r="J315" t="s">
        <v>2127</v>
      </c>
      <c r="K315" t="str">
        <f>_xlfn.XLOOKUP(Table4[[#This Row],[ProductID_Clean]],Table3[ProductID],Table3[BU],"Missing Value",0)</f>
        <v>Missing Value</v>
      </c>
    </row>
    <row r="316" spans="1:11">
      <c r="A316" t="s">
        <v>2211</v>
      </c>
      <c r="B316" t="s">
        <v>2206</v>
      </c>
      <c r="D316" t="s">
        <v>40</v>
      </c>
      <c r="E316" t="s">
        <v>2129</v>
      </c>
      <c r="F316" t="s">
        <v>2124</v>
      </c>
      <c r="G316">
        <v>24320.52</v>
      </c>
      <c r="H316">
        <v>25072.7</v>
      </c>
      <c r="I316" t="s">
        <v>2135</v>
      </c>
      <c r="J316" t="s">
        <v>2136</v>
      </c>
      <c r="K316" t="str">
        <f>_xlfn.XLOOKUP(Table4[[#This Row],[ProductID_Clean]],Table3[ProductID],Table3[BU],"Missing Value",0)</f>
        <v>Missing Value</v>
      </c>
    </row>
    <row r="317" spans="1:11">
      <c r="A317" t="s">
        <v>2215</v>
      </c>
      <c r="B317" t="s">
        <v>2206</v>
      </c>
      <c r="D317" t="s">
        <v>40</v>
      </c>
      <c r="E317" t="s">
        <v>2129</v>
      </c>
      <c r="F317" t="s">
        <v>2124</v>
      </c>
      <c r="G317">
        <v>23289.14</v>
      </c>
      <c r="H317">
        <v>24009.42</v>
      </c>
      <c r="I317" t="s">
        <v>2141</v>
      </c>
      <c r="J317" t="s">
        <v>2142</v>
      </c>
      <c r="K317" t="str">
        <f>_xlfn.XLOOKUP(Table4[[#This Row],[ProductID_Clean]],Table3[ProductID],Table3[BU],"Missing Value",0)</f>
        <v>Missing Value</v>
      </c>
    </row>
    <row r="318" spans="1:11">
      <c r="A318" t="s">
        <v>2219</v>
      </c>
      <c r="B318" t="s">
        <v>2206</v>
      </c>
      <c r="D318" t="s">
        <v>40</v>
      </c>
      <c r="E318" t="s">
        <v>2129</v>
      </c>
      <c r="F318" t="s">
        <v>2124</v>
      </c>
      <c r="G318">
        <v>19457.419999999998</v>
      </c>
      <c r="H318">
        <v>20059.2</v>
      </c>
      <c r="I318" t="s">
        <v>2147</v>
      </c>
      <c r="J318" t="s">
        <v>2148</v>
      </c>
      <c r="K318" t="str">
        <f>_xlfn.XLOOKUP(Table4[[#This Row],[ProductID_Clean]],Table3[ProductID],Table3[BU],"Missing Value",0)</f>
        <v>Missing Value</v>
      </c>
    </row>
    <row r="319" spans="1:11">
      <c r="A319" t="s">
        <v>2223</v>
      </c>
      <c r="B319" t="s">
        <v>2122</v>
      </c>
      <c r="D319" t="s">
        <v>40</v>
      </c>
      <c r="E319" t="s">
        <v>2129</v>
      </c>
      <c r="F319" t="s">
        <v>2124</v>
      </c>
      <c r="G319">
        <v>30135.439999999999</v>
      </c>
      <c r="H319">
        <v>31067.46</v>
      </c>
      <c r="I319" t="s">
        <v>40</v>
      </c>
      <c r="J319" t="s">
        <v>2127</v>
      </c>
      <c r="K319" t="str">
        <f>_xlfn.XLOOKUP(Table4[[#This Row],[ProductID_Clean]],Table3[ProductID],Table3[BU],"Missing Value",0)</f>
        <v>Missing Value</v>
      </c>
    </row>
    <row r="320" spans="1:11">
      <c r="A320" t="s">
        <v>2227</v>
      </c>
      <c r="B320" t="s">
        <v>2122</v>
      </c>
      <c r="D320" t="s">
        <v>40</v>
      </c>
      <c r="E320" t="s">
        <v>2129</v>
      </c>
      <c r="F320" t="s">
        <v>2124</v>
      </c>
      <c r="G320">
        <v>34053.269999999997</v>
      </c>
      <c r="H320">
        <v>35106.46</v>
      </c>
      <c r="I320" t="s">
        <v>2135</v>
      </c>
      <c r="J320" t="s">
        <v>2136</v>
      </c>
      <c r="K320" t="str">
        <f>_xlfn.XLOOKUP(Table4[[#This Row],[ProductID_Clean]],Table3[ProductID],Table3[BU],"Missing Value",0)</f>
        <v>Missing Value</v>
      </c>
    </row>
    <row r="321" spans="1:11">
      <c r="A321" t="s">
        <v>2231</v>
      </c>
      <c r="B321" t="s">
        <v>2122</v>
      </c>
      <c r="D321" t="s">
        <v>40</v>
      </c>
      <c r="E321" t="s">
        <v>2129</v>
      </c>
      <c r="F321" t="s">
        <v>2124</v>
      </c>
      <c r="G321">
        <v>22610.52</v>
      </c>
      <c r="H321">
        <v>23309.81</v>
      </c>
      <c r="I321" t="s">
        <v>2141</v>
      </c>
      <c r="J321" t="s">
        <v>2142</v>
      </c>
      <c r="K321" t="str">
        <f>_xlfn.XLOOKUP(Table4[[#This Row],[ProductID_Clean]],Table3[ProductID],Table3[BU],"Missing Value",0)</f>
        <v>Missing Value</v>
      </c>
    </row>
    <row r="322" spans="1:11">
      <c r="A322" t="s">
        <v>2235</v>
      </c>
      <c r="B322" t="s">
        <v>2122</v>
      </c>
      <c r="D322" t="s">
        <v>40</v>
      </c>
      <c r="E322" t="s">
        <v>2189</v>
      </c>
      <c r="F322" t="s">
        <v>2124</v>
      </c>
      <c r="G322">
        <v>15329.79</v>
      </c>
      <c r="H322">
        <v>15803.91</v>
      </c>
      <c r="I322" t="s">
        <v>2147</v>
      </c>
      <c r="J322" t="s">
        <v>2148</v>
      </c>
      <c r="K322" t="str">
        <f>_xlfn.XLOOKUP(Table4[[#This Row],[ProductID_Clean]],Table3[ProductID],Table3[BU],"Missing Value",0)</f>
        <v>Missing Value</v>
      </c>
    </row>
    <row r="323" spans="1:11">
      <c r="A323" t="s">
        <v>2111</v>
      </c>
      <c r="B323" t="s">
        <v>2112</v>
      </c>
      <c r="D323" t="s">
        <v>40</v>
      </c>
      <c r="E323" t="s">
        <v>2113</v>
      </c>
      <c r="F323" t="s">
        <v>2114</v>
      </c>
      <c r="G323">
        <v>140</v>
      </c>
      <c r="H323">
        <v>137.22</v>
      </c>
      <c r="I323" t="s">
        <v>2115</v>
      </c>
      <c r="K323" t="str">
        <f>_xlfn.XLOOKUP(Table4[[#This Row],[ProductID_Clean]],Table3[ProductID],Table3[BU],"Missing Value",0)</f>
        <v>Missing Value</v>
      </c>
    </row>
    <row r="324" spans="1:11">
      <c r="A324" t="s">
        <v>2116</v>
      </c>
      <c r="B324" t="s">
        <v>2117</v>
      </c>
      <c r="D324" t="s">
        <v>40</v>
      </c>
      <c r="E324" t="s">
        <v>2113</v>
      </c>
      <c r="F324" t="s">
        <v>2114</v>
      </c>
      <c r="G324">
        <v>187.5</v>
      </c>
      <c r="H324">
        <v>189.3</v>
      </c>
      <c r="I324" t="s">
        <v>2118</v>
      </c>
      <c r="K324" t="str">
        <f>_xlfn.XLOOKUP(Table4[[#This Row],[ProductID_Clean]],Table3[ProductID],Table3[BU],"Missing Value",0)</f>
        <v>Missing Value</v>
      </c>
    </row>
    <row r="325" spans="1:11">
      <c r="A325" t="s">
        <v>2119</v>
      </c>
      <c r="B325" t="s">
        <v>2120</v>
      </c>
      <c r="D325" t="s">
        <v>40</v>
      </c>
      <c r="E325" t="s">
        <v>2113</v>
      </c>
      <c r="F325" t="s">
        <v>2114</v>
      </c>
      <c r="G325">
        <v>980</v>
      </c>
      <c r="H325">
        <v>1149.75</v>
      </c>
      <c r="I325" t="s">
        <v>2118</v>
      </c>
      <c r="K325" t="str">
        <f>_xlfn.XLOOKUP(Table4[[#This Row],[ProductID_Clean]],Table3[ProductID],Table3[BU],"Missing Value",0)</f>
        <v>Missing Value</v>
      </c>
    </row>
    <row r="326" spans="1:11">
      <c r="A326" t="s">
        <v>2597</v>
      </c>
      <c r="G326">
        <f>SUBTOTAL(109,Table4[StandardCost])</f>
        <v>2285412.8199999998</v>
      </c>
      <c r="H326">
        <f>SUBTOTAL(109,Table4[ActualCost_Clean])</f>
        <v>2361164.2500000014</v>
      </c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B62A-20D2-4FC0-A87F-F0A9E3163385}">
  <dimension ref="A1:R74"/>
  <sheetViews>
    <sheetView zoomScaleNormal="100" workbookViewId="0">
      <selection sqref="A1:K74"/>
    </sheetView>
  </sheetViews>
  <sheetFormatPr defaultColWidth="9.140625" defaultRowHeight="15"/>
  <cols>
    <col min="1" max="1" width="18.5703125" bestFit="1" customWidth="1"/>
    <col min="3" max="3" width="23.28515625" bestFit="1" customWidth="1"/>
    <col min="4" max="4" width="23.28515625" customWidth="1"/>
    <col min="5" max="5" width="15.85546875" bestFit="1" customWidth="1"/>
    <col min="6" max="6" width="17.7109375" bestFit="1" customWidth="1"/>
    <col min="7" max="7" width="21.42578125" bestFit="1" customWidth="1"/>
    <col min="8" max="8" width="18.85546875" bestFit="1" customWidth="1"/>
    <col min="9" max="9" width="25.85546875" bestFit="1" customWidth="1"/>
    <col min="10" max="10" width="23" bestFit="1" customWidth="1"/>
    <col min="11" max="11" width="22.5703125" bestFit="1" customWidth="1"/>
    <col min="13" max="13" width="20" customWidth="1"/>
    <col min="14" max="14" width="23.42578125" customWidth="1"/>
    <col min="15" max="15" width="19.85546875" customWidth="1"/>
    <col min="16" max="16" width="20.5703125" bestFit="1" customWidth="1"/>
    <col min="17" max="17" width="22.85546875" bestFit="1" customWidth="1"/>
    <col min="18" max="18" width="25.28515625" customWidth="1"/>
  </cols>
  <sheetData>
    <row r="1" spans="1:18">
      <c r="A1" t="s">
        <v>2465</v>
      </c>
      <c r="B1" t="s">
        <v>2103</v>
      </c>
      <c r="C1" t="s">
        <v>8</v>
      </c>
      <c r="D1" t="s">
        <v>2680</v>
      </c>
      <c r="E1" t="s">
        <v>6</v>
      </c>
      <c r="F1" t="s">
        <v>2466</v>
      </c>
      <c r="G1" t="s">
        <v>2467</v>
      </c>
      <c r="H1" t="s">
        <v>2468</v>
      </c>
      <c r="I1" t="s">
        <v>2469</v>
      </c>
      <c r="J1" t="s">
        <v>2470</v>
      </c>
      <c r="K1" t="s">
        <v>2471</v>
      </c>
      <c r="M1" s="6"/>
      <c r="N1" s="6"/>
      <c r="O1" s="6"/>
      <c r="P1" s="6"/>
      <c r="Q1" s="6"/>
      <c r="R1" s="6"/>
    </row>
    <row r="2" spans="1:18">
      <c r="A2" t="s">
        <v>2472</v>
      </c>
      <c r="B2" t="s">
        <v>2112</v>
      </c>
      <c r="C2" t="s">
        <v>24</v>
      </c>
      <c r="D2" t="str">
        <f>SUBSTITUTE(SUBSTITUTE(TRIM(Table5[[#This Row],[BusinessUnit]]),"Software and Analytics","Software &amp; Analytics"),"Sensors and Instruments","Sensors &amp; Instruments")</f>
        <v>Sensors &amp; Instruments</v>
      </c>
      <c r="E2" t="s">
        <v>23</v>
      </c>
      <c r="F2">
        <v>359017</v>
      </c>
      <c r="G2">
        <v>140163</v>
      </c>
      <c r="H2">
        <v>41528</v>
      </c>
      <c r="I2">
        <v>218854</v>
      </c>
      <c r="J2">
        <v>177326</v>
      </c>
      <c r="K2" t="s">
        <v>2473</v>
      </c>
      <c r="M2" s="25"/>
      <c r="N2" s="7"/>
      <c r="O2" s="7"/>
      <c r="P2" s="7"/>
      <c r="Q2" s="7"/>
      <c r="R2" s="7"/>
    </row>
    <row r="3" spans="1:18">
      <c r="A3" t="s">
        <v>2474</v>
      </c>
      <c r="B3" t="s">
        <v>2112</v>
      </c>
      <c r="C3" t="s">
        <v>24</v>
      </c>
      <c r="D3" t="str">
        <f>SUBSTITUTE(SUBSTITUTE(TRIM(Table5[[#This Row],[BusinessUnit]]),"Software and Analytics","Software &amp; Analytics"),"Sensors and Instruments","Sensors &amp; Instruments")</f>
        <v>Sensors &amp; Instruments</v>
      </c>
      <c r="E3" t="s">
        <v>47</v>
      </c>
      <c r="F3">
        <v>248509</v>
      </c>
      <c r="G3">
        <v>99942</v>
      </c>
      <c r="H3">
        <v>28770</v>
      </c>
      <c r="I3">
        <v>148567</v>
      </c>
      <c r="J3">
        <v>119797</v>
      </c>
      <c r="K3" t="s">
        <v>2473</v>
      </c>
      <c r="M3" s="25"/>
      <c r="N3" s="7"/>
      <c r="O3" s="7"/>
      <c r="P3" s="7"/>
      <c r="Q3" s="7"/>
      <c r="R3" s="7"/>
    </row>
    <row r="4" spans="1:18" ht="24.75" customHeight="1">
      <c r="A4" t="s">
        <v>2475</v>
      </c>
      <c r="B4" t="s">
        <v>2112</v>
      </c>
      <c r="C4" t="s">
        <v>24</v>
      </c>
      <c r="D4" t="str">
        <f>SUBSTITUTE(SUBSTITUTE(TRIM(Table5[[#This Row],[BusinessUnit]]),"Software and Analytics","Software &amp; Analytics"),"Sensors and Instruments","Sensors &amp; Instruments")</f>
        <v>Sensors &amp; Instruments</v>
      </c>
      <c r="E4" t="s">
        <v>58</v>
      </c>
      <c r="F4">
        <v>165364</v>
      </c>
      <c r="G4">
        <v>65135</v>
      </c>
      <c r="H4">
        <v>19988</v>
      </c>
      <c r="I4">
        <v>100229</v>
      </c>
      <c r="J4">
        <v>80241</v>
      </c>
      <c r="K4" t="s">
        <v>2473</v>
      </c>
      <c r="M4" s="25"/>
      <c r="N4" s="7"/>
      <c r="O4" s="7"/>
      <c r="P4" s="7"/>
      <c r="Q4" s="7"/>
      <c r="R4" s="7"/>
    </row>
    <row r="5" spans="1:18">
      <c r="A5" t="s">
        <v>2476</v>
      </c>
      <c r="B5" t="s">
        <v>2112</v>
      </c>
      <c r="C5" t="s">
        <v>24</v>
      </c>
      <c r="D5" t="str">
        <f>SUBSTITUTE(SUBSTITUTE(TRIM(Table5[[#This Row],[BusinessUnit]]),"Software and Analytics","Software &amp; Analytics"),"Sensors and Instruments","Sensors &amp; Instruments")</f>
        <v>Sensors &amp; Instruments</v>
      </c>
      <c r="E5" t="s">
        <v>32</v>
      </c>
      <c r="F5">
        <v>72840</v>
      </c>
      <c r="G5">
        <v>29238</v>
      </c>
      <c r="H5">
        <v>8670</v>
      </c>
      <c r="I5">
        <v>43602</v>
      </c>
      <c r="J5">
        <v>34932</v>
      </c>
      <c r="K5" t="s">
        <v>2473</v>
      </c>
      <c r="M5" s="12"/>
      <c r="N5" s="7"/>
      <c r="O5" s="7"/>
      <c r="P5" s="7"/>
      <c r="Q5" s="7"/>
      <c r="R5" s="7"/>
    </row>
    <row r="6" spans="1:18">
      <c r="A6" t="s">
        <v>2477</v>
      </c>
      <c r="B6" t="s">
        <v>2112</v>
      </c>
      <c r="C6" t="s">
        <v>53</v>
      </c>
      <c r="D6" t="str">
        <f>SUBSTITUTE(SUBSTITUTE(TRIM(Table5[[#This Row],[BusinessUnit]]),"Software and Analytics","Software &amp; Analytics"),"Sensors and Instruments","Sensors &amp; Instruments")</f>
        <v>Software &amp; Analytics</v>
      </c>
      <c r="E6" t="s">
        <v>23</v>
      </c>
      <c r="F6">
        <v>265815</v>
      </c>
      <c r="G6">
        <v>14363</v>
      </c>
      <c r="H6">
        <v>46872</v>
      </c>
      <c r="I6">
        <v>251452</v>
      </c>
      <c r="J6">
        <v>204580</v>
      </c>
      <c r="K6" t="s">
        <v>2473</v>
      </c>
    </row>
    <row r="7" spans="1:18">
      <c r="A7" t="s">
        <v>2478</v>
      </c>
      <c r="B7" t="s">
        <v>2112</v>
      </c>
      <c r="C7" t="s">
        <v>119</v>
      </c>
      <c r="D7" t="str">
        <f>SUBSTITUTE(SUBSTITUTE(TRIM(Table5[[#This Row],[BusinessUnit]]),"Software and Analytics","Software &amp; Analytics"),"Sensors and Instruments","Sensors &amp; Instruments")</f>
        <v>Software &amp; Analytics</v>
      </c>
      <c r="E7" t="s">
        <v>47</v>
      </c>
      <c r="F7">
        <v>165690</v>
      </c>
      <c r="G7">
        <v>9017</v>
      </c>
      <c r="H7">
        <v>28485</v>
      </c>
      <c r="I7">
        <v>156673</v>
      </c>
      <c r="J7">
        <v>128188</v>
      </c>
      <c r="K7" t="s">
        <v>2473</v>
      </c>
    </row>
    <row r="8" spans="1:18">
      <c r="A8" t="s">
        <v>2479</v>
      </c>
      <c r="B8" t="s">
        <v>2112</v>
      </c>
      <c r="C8" t="s">
        <v>53</v>
      </c>
      <c r="D8" t="str">
        <f>SUBSTITUTE(SUBSTITUTE(TRIM(Table5[[#This Row],[BusinessUnit]]),"Software and Analytics","Software &amp; Analytics"),"Sensors and Instruments","Sensors &amp; Instruments")</f>
        <v>Software &amp; Analytics</v>
      </c>
      <c r="E8" t="s">
        <v>58</v>
      </c>
      <c r="F8">
        <v>100757</v>
      </c>
      <c r="G8">
        <v>5563</v>
      </c>
      <c r="H8">
        <v>18067</v>
      </c>
      <c r="I8">
        <v>95194</v>
      </c>
      <c r="J8">
        <v>77127</v>
      </c>
      <c r="K8" t="s">
        <v>2473</v>
      </c>
    </row>
    <row r="9" spans="1:18">
      <c r="A9" t="s">
        <v>2480</v>
      </c>
      <c r="B9" t="s">
        <v>2112</v>
      </c>
      <c r="C9" t="s">
        <v>53</v>
      </c>
      <c r="D9" t="str">
        <f>SUBSTITUTE(SUBSTITUTE(TRIM(Table5[[#This Row],[BusinessUnit]]),"Software and Analytics","Software &amp; Analytics"),"Sensors and Instruments","Sensors &amp; Instruments")</f>
        <v>Software &amp; Analytics</v>
      </c>
      <c r="E9" t="s">
        <v>32</v>
      </c>
      <c r="F9">
        <v>39651</v>
      </c>
      <c r="G9">
        <v>2223</v>
      </c>
      <c r="H9">
        <v>7049</v>
      </c>
      <c r="I9">
        <v>37428</v>
      </c>
      <c r="J9">
        <v>30379</v>
      </c>
      <c r="K9" t="s">
        <v>2473</v>
      </c>
    </row>
    <row r="10" spans="1:18">
      <c r="A10" t="s">
        <v>2481</v>
      </c>
      <c r="B10" t="s">
        <v>2112</v>
      </c>
      <c r="C10" t="s">
        <v>82</v>
      </c>
      <c r="D10" t="str">
        <f>SUBSTITUTE(SUBSTITUTE(TRIM(Table5[[#This Row],[BusinessUnit]]),"Software and Analytics","Software &amp; Analytics"),"Sensors and Instruments","Sensors &amp; Instruments")</f>
        <v>Field Services</v>
      </c>
      <c r="E10" t="s">
        <v>23</v>
      </c>
      <c r="F10">
        <v>158467</v>
      </c>
      <c r="G10">
        <v>76147</v>
      </c>
      <c r="H10">
        <v>25168</v>
      </c>
      <c r="I10">
        <v>82320</v>
      </c>
      <c r="J10">
        <v>57152</v>
      </c>
      <c r="K10" t="s">
        <v>2473</v>
      </c>
    </row>
    <row r="11" spans="1:18">
      <c r="A11" t="s">
        <v>2482</v>
      </c>
      <c r="B11" t="s">
        <v>2112</v>
      </c>
      <c r="C11" t="s">
        <v>82</v>
      </c>
      <c r="D11" t="str">
        <f>SUBSTITUTE(SUBSTITUTE(TRIM(Table5[[#This Row],[BusinessUnit]]),"Software and Analytics","Software &amp; Analytics"),"Sensors and Instruments","Sensors &amp; Instruments")</f>
        <v>Field Services</v>
      </c>
      <c r="E11" t="s">
        <v>47</v>
      </c>
      <c r="F11">
        <v>100593</v>
      </c>
      <c r="G11">
        <v>48664</v>
      </c>
      <c r="H11">
        <v>15344</v>
      </c>
      <c r="I11">
        <v>51929</v>
      </c>
      <c r="J11">
        <v>36585</v>
      </c>
      <c r="K11" t="s">
        <v>2473</v>
      </c>
    </row>
    <row r="12" spans="1:18">
      <c r="A12" t="s">
        <v>2483</v>
      </c>
      <c r="B12" t="s">
        <v>2112</v>
      </c>
      <c r="C12" t="s">
        <v>82</v>
      </c>
      <c r="D12" t="str">
        <f>SUBSTITUTE(SUBSTITUTE(TRIM(Table5[[#This Row],[BusinessUnit]]),"Software and Analytics","Software &amp; Analytics"),"Sensors and Instruments","Sensors &amp; Instruments")</f>
        <v>Field Services</v>
      </c>
      <c r="E12" t="s">
        <v>58</v>
      </c>
      <c r="F12">
        <v>66512</v>
      </c>
      <c r="G12">
        <v>31614</v>
      </c>
      <c r="H12">
        <v>10349</v>
      </c>
      <c r="I12">
        <v>34898</v>
      </c>
      <c r="J12">
        <v>24549</v>
      </c>
      <c r="K12" t="s">
        <v>2473</v>
      </c>
    </row>
    <row r="13" spans="1:18">
      <c r="A13" t="s">
        <v>2484</v>
      </c>
      <c r="B13" t="s">
        <v>2112</v>
      </c>
      <c r="C13" t="s">
        <v>82</v>
      </c>
      <c r="D13" t="str">
        <f>SUBSTITUTE(SUBSTITUTE(TRIM(Table5[[#This Row],[BusinessUnit]]),"Software and Analytics","Software &amp; Analytics"),"Sensors and Instruments","Sensors &amp; Instruments")</f>
        <v>Field Services</v>
      </c>
      <c r="E13" t="s">
        <v>32</v>
      </c>
      <c r="F13">
        <v>32590</v>
      </c>
      <c r="G13">
        <v>15505</v>
      </c>
      <c r="H13">
        <v>5109</v>
      </c>
      <c r="I13">
        <v>17085</v>
      </c>
      <c r="J13">
        <v>11976</v>
      </c>
      <c r="K13" t="s">
        <v>2473</v>
      </c>
    </row>
    <row r="14" spans="1:18">
      <c r="A14" t="s">
        <v>2485</v>
      </c>
      <c r="B14" t="s">
        <v>2117</v>
      </c>
      <c r="C14" t="s">
        <v>24</v>
      </c>
      <c r="D14" t="str">
        <f>SUBSTITUTE(SUBSTITUTE(TRIM(Table5[[#This Row],[BusinessUnit]]),"Software and Analytics","Software &amp; Analytics"),"Sensors and Instruments","Sensors &amp; Instruments")</f>
        <v>Sensors &amp; Instruments</v>
      </c>
      <c r="E14" t="s">
        <v>23</v>
      </c>
      <c r="F14">
        <v>354931</v>
      </c>
      <c r="G14">
        <v>137461</v>
      </c>
      <c r="H14">
        <v>42202</v>
      </c>
      <c r="I14">
        <v>217470</v>
      </c>
      <c r="J14">
        <v>175268</v>
      </c>
      <c r="K14" t="s">
        <v>2473</v>
      </c>
    </row>
    <row r="15" spans="1:18">
      <c r="A15" t="s">
        <v>2486</v>
      </c>
      <c r="B15" t="s">
        <v>2117</v>
      </c>
      <c r="C15" t="s">
        <v>24</v>
      </c>
      <c r="D15" t="str">
        <f>SUBSTITUTE(SUBSTITUTE(TRIM(Table5[[#This Row],[BusinessUnit]]),"Software and Analytics","Software &amp; Analytics"),"Sensors and Instruments","Sensors &amp; Instruments")</f>
        <v>Sensors &amp; Instruments</v>
      </c>
      <c r="E15" t="s">
        <v>47</v>
      </c>
      <c r="F15">
        <v>244607</v>
      </c>
      <c r="G15">
        <v>96952</v>
      </c>
      <c r="H15">
        <v>28000</v>
      </c>
      <c r="I15">
        <v>147655</v>
      </c>
      <c r="J15">
        <v>119655</v>
      </c>
      <c r="K15" t="s">
        <v>2473</v>
      </c>
    </row>
    <row r="16" spans="1:18">
      <c r="A16" t="s">
        <v>2487</v>
      </c>
      <c r="B16" t="s">
        <v>2117</v>
      </c>
      <c r="C16" t="s">
        <v>24</v>
      </c>
      <c r="D16" t="str">
        <f>SUBSTITUTE(SUBSTITUTE(TRIM(Table5[[#This Row],[BusinessUnit]]),"Software and Analytics","Software &amp; Analytics"),"Sensors and Instruments","Sensors &amp; Instruments")</f>
        <v>Sensors &amp; Instruments</v>
      </c>
      <c r="E16" t="s">
        <v>58</v>
      </c>
      <c r="F16">
        <v>160698</v>
      </c>
      <c r="G16">
        <v>64428</v>
      </c>
      <c r="H16">
        <v>18772</v>
      </c>
      <c r="I16">
        <v>96270</v>
      </c>
      <c r="J16">
        <v>77498</v>
      </c>
      <c r="K16" t="s">
        <v>2473</v>
      </c>
    </row>
    <row r="17" spans="1:11">
      <c r="A17" t="s">
        <v>2488</v>
      </c>
      <c r="B17" t="s">
        <v>2117</v>
      </c>
      <c r="C17" t="s">
        <v>24</v>
      </c>
      <c r="D17" t="str">
        <f>SUBSTITUTE(SUBSTITUTE(TRIM(Table5[[#This Row],[BusinessUnit]]),"Software and Analytics","Software &amp; Analytics"),"Sensors and Instruments","Sensors &amp; Instruments")</f>
        <v>Sensors &amp; Instruments</v>
      </c>
      <c r="E17" t="s">
        <v>32</v>
      </c>
      <c r="F17">
        <v>71523</v>
      </c>
      <c r="G17">
        <v>27825</v>
      </c>
      <c r="H17">
        <v>8415</v>
      </c>
      <c r="I17">
        <v>43698</v>
      </c>
      <c r="J17">
        <v>35283</v>
      </c>
      <c r="K17" t="s">
        <v>2473</v>
      </c>
    </row>
    <row r="18" spans="1:11">
      <c r="A18" t="s">
        <v>2489</v>
      </c>
      <c r="B18" t="s">
        <v>2117</v>
      </c>
      <c r="C18" t="s">
        <v>53</v>
      </c>
      <c r="D18" t="str">
        <f>SUBSTITUTE(SUBSTITUTE(TRIM(Table5[[#This Row],[BusinessUnit]]),"Software and Analytics","Software &amp; Analytics"),"Sensors and Instruments","Sensors &amp; Instruments")</f>
        <v>Software &amp; Analytics</v>
      </c>
      <c r="E18" t="s">
        <v>23</v>
      </c>
      <c r="F18">
        <v>269703</v>
      </c>
      <c r="G18">
        <v>15061</v>
      </c>
      <c r="H18">
        <v>45882</v>
      </c>
      <c r="I18">
        <v>254642</v>
      </c>
      <c r="J18">
        <v>208760</v>
      </c>
      <c r="K18" t="s">
        <v>2473</v>
      </c>
    </row>
    <row r="19" spans="1:11">
      <c r="A19" t="s">
        <v>2490</v>
      </c>
      <c r="B19" t="s">
        <v>2117</v>
      </c>
      <c r="C19" t="s">
        <v>53</v>
      </c>
      <c r="D19" t="str">
        <f>SUBSTITUTE(SUBSTITUTE(TRIM(Table5[[#This Row],[BusinessUnit]]),"Software and Analytics","Software &amp; Analytics"),"Sensors and Instruments","Sensors &amp; Instruments")</f>
        <v>Software &amp; Analytics</v>
      </c>
      <c r="E19" t="s">
        <v>47</v>
      </c>
      <c r="F19">
        <v>174808</v>
      </c>
      <c r="G19">
        <v>9644</v>
      </c>
      <c r="H19">
        <v>30646</v>
      </c>
      <c r="I19">
        <v>165164</v>
      </c>
      <c r="J19">
        <v>134518</v>
      </c>
      <c r="K19" t="s">
        <v>2473</v>
      </c>
    </row>
    <row r="20" spans="1:11">
      <c r="A20" t="s">
        <v>2491</v>
      </c>
      <c r="B20" t="s">
        <v>2117</v>
      </c>
      <c r="C20" t="s">
        <v>53</v>
      </c>
      <c r="D20" t="str">
        <f>SUBSTITUTE(SUBSTITUTE(TRIM(Table5[[#This Row],[BusinessUnit]]),"Software and Analytics","Software &amp; Analytics"),"Sensors and Instruments","Sensors &amp; Instruments")</f>
        <v>Software &amp; Analytics</v>
      </c>
      <c r="E20" t="s">
        <v>58</v>
      </c>
      <c r="F20">
        <v>103545</v>
      </c>
      <c r="G20">
        <v>5625</v>
      </c>
      <c r="H20">
        <v>17804</v>
      </c>
      <c r="I20">
        <v>97920</v>
      </c>
      <c r="J20">
        <v>80116</v>
      </c>
      <c r="K20" t="s">
        <v>2473</v>
      </c>
    </row>
    <row r="21" spans="1:11">
      <c r="A21" t="s">
        <v>2492</v>
      </c>
      <c r="B21" t="s">
        <v>2117</v>
      </c>
      <c r="C21" t="s">
        <v>53</v>
      </c>
      <c r="D21" t="str">
        <f>SUBSTITUTE(SUBSTITUTE(TRIM(Table5[[#This Row],[BusinessUnit]]),"Software and Analytics","Software &amp; Analytics"),"Sensors and Instruments","Sensors &amp; Instruments")</f>
        <v>Software &amp; Analytics</v>
      </c>
      <c r="E21" t="s">
        <v>32</v>
      </c>
      <c r="F21">
        <v>39508</v>
      </c>
      <c r="G21">
        <v>2210</v>
      </c>
      <c r="H21">
        <v>7054</v>
      </c>
      <c r="I21">
        <v>37298</v>
      </c>
      <c r="J21">
        <v>30244</v>
      </c>
      <c r="K21" t="s">
        <v>2473</v>
      </c>
    </row>
    <row r="22" spans="1:11">
      <c r="A22" t="s">
        <v>2493</v>
      </c>
      <c r="B22" t="s">
        <v>2117</v>
      </c>
      <c r="C22" t="s">
        <v>82</v>
      </c>
      <c r="D22" t="str">
        <f>SUBSTITUTE(SUBSTITUTE(TRIM(Table5[[#This Row],[BusinessUnit]]),"Software and Analytics","Software &amp; Analytics"),"Sensors and Instruments","Sensors &amp; Instruments")</f>
        <v>Field Services</v>
      </c>
      <c r="E22" t="s">
        <v>23</v>
      </c>
      <c r="F22">
        <v>150306</v>
      </c>
      <c r="G22">
        <v>71830</v>
      </c>
      <c r="H22">
        <v>23229</v>
      </c>
      <c r="I22">
        <v>78476</v>
      </c>
      <c r="J22">
        <v>55247</v>
      </c>
      <c r="K22" t="s">
        <v>2473</v>
      </c>
    </row>
    <row r="23" spans="1:11">
      <c r="A23" t="s">
        <v>2494</v>
      </c>
      <c r="B23" t="s">
        <v>2117</v>
      </c>
      <c r="C23" t="s">
        <v>82</v>
      </c>
      <c r="D23" t="str">
        <f>SUBSTITUTE(SUBSTITUTE(TRIM(Table5[[#This Row],[BusinessUnit]]),"Software and Analytics","Software &amp; Analytics"),"Sensors and Instruments","Sensors &amp; Instruments")</f>
        <v>Field Services</v>
      </c>
      <c r="E23" t="s">
        <v>47</v>
      </c>
      <c r="F23">
        <v>104943</v>
      </c>
      <c r="G23">
        <v>49166</v>
      </c>
      <c r="H23">
        <v>16676</v>
      </c>
      <c r="I23">
        <v>55777</v>
      </c>
      <c r="J23">
        <v>39101</v>
      </c>
      <c r="K23" t="s">
        <v>2473</v>
      </c>
    </row>
    <row r="24" spans="1:11">
      <c r="A24" t="s">
        <v>2495</v>
      </c>
      <c r="B24" t="s">
        <v>2117</v>
      </c>
      <c r="C24" t="s">
        <v>82</v>
      </c>
      <c r="D24" t="str">
        <f>SUBSTITUTE(SUBSTITUTE(TRIM(Table5[[#This Row],[BusinessUnit]]),"Software and Analytics","Software &amp; Analytics"),"Sensors and Instruments","Sensors &amp; Instruments")</f>
        <v>Field Services</v>
      </c>
      <c r="E24" t="s">
        <v>58</v>
      </c>
      <c r="F24">
        <v>65586</v>
      </c>
      <c r="G24">
        <v>30933</v>
      </c>
      <c r="H24">
        <v>9970</v>
      </c>
      <c r="I24">
        <v>34653</v>
      </c>
      <c r="J24">
        <v>24683</v>
      </c>
      <c r="K24" t="s">
        <v>2473</v>
      </c>
    </row>
    <row r="25" spans="1:11">
      <c r="A25" t="s">
        <v>2496</v>
      </c>
      <c r="B25" t="s">
        <v>2117</v>
      </c>
      <c r="C25" t="s">
        <v>82</v>
      </c>
      <c r="D25" t="str">
        <f>SUBSTITUTE(SUBSTITUTE(TRIM(Table5[[#This Row],[BusinessUnit]]),"Software and Analytics","Software &amp; Analytics"),"Sensors and Instruments","Sensors &amp; Instruments")</f>
        <v>Field Services</v>
      </c>
      <c r="E25" t="s">
        <v>32</v>
      </c>
      <c r="F25">
        <v>31247</v>
      </c>
      <c r="G25">
        <v>14731</v>
      </c>
      <c r="H25">
        <v>4741</v>
      </c>
      <c r="I25">
        <v>16516</v>
      </c>
      <c r="J25">
        <v>11775</v>
      </c>
      <c r="K25" t="s">
        <v>2473</v>
      </c>
    </row>
    <row r="26" spans="1:11">
      <c r="A26" t="s">
        <v>2497</v>
      </c>
      <c r="B26" t="s">
        <v>2170</v>
      </c>
      <c r="C26" t="s">
        <v>24</v>
      </c>
      <c r="D26" t="str">
        <f>SUBSTITUTE(SUBSTITUTE(TRIM(Table5[[#This Row],[BusinessUnit]]),"Software and Analytics","Software &amp; Analytics"),"Sensors and Instruments","Sensors &amp; Instruments")</f>
        <v>Sensors &amp; Instruments</v>
      </c>
      <c r="E26" t="s">
        <v>23</v>
      </c>
      <c r="F26">
        <v>359261</v>
      </c>
      <c r="G26">
        <v>143365</v>
      </c>
      <c r="H26">
        <v>43227</v>
      </c>
      <c r="I26">
        <v>215896</v>
      </c>
      <c r="J26">
        <v>172669</v>
      </c>
      <c r="K26" t="s">
        <v>2473</v>
      </c>
    </row>
    <row r="27" spans="1:11">
      <c r="A27" t="s">
        <v>2498</v>
      </c>
      <c r="B27" t="s">
        <v>2170</v>
      </c>
      <c r="C27" t="s">
        <v>24</v>
      </c>
      <c r="D27" t="str">
        <f>SUBSTITUTE(SUBSTITUTE(TRIM(Table5[[#This Row],[BusinessUnit]]),"Software and Analytics","Software &amp; Analytics"),"Sensors and Instruments","Sensors &amp; Instruments")</f>
        <v>Sensors &amp; Instruments</v>
      </c>
      <c r="E27" t="s">
        <v>47</v>
      </c>
      <c r="F27">
        <v>236566</v>
      </c>
      <c r="G27">
        <v>92888</v>
      </c>
      <c r="H27">
        <v>27087</v>
      </c>
      <c r="I27">
        <v>143678</v>
      </c>
      <c r="J27">
        <v>116591</v>
      </c>
      <c r="K27" t="s">
        <v>2473</v>
      </c>
    </row>
    <row r="28" spans="1:11">
      <c r="A28" t="s">
        <v>2499</v>
      </c>
      <c r="B28" t="s">
        <v>2170</v>
      </c>
      <c r="C28" t="s">
        <v>24</v>
      </c>
      <c r="D28" t="str">
        <f>SUBSTITUTE(SUBSTITUTE(TRIM(Table5[[#This Row],[BusinessUnit]]),"Software and Analytics","Software &amp; Analytics"),"Sensors and Instruments","Sensors &amp; Instruments")</f>
        <v>Sensors &amp; Instruments</v>
      </c>
      <c r="E28" t="s">
        <v>58</v>
      </c>
      <c r="F28">
        <v>161075</v>
      </c>
      <c r="G28">
        <v>64666</v>
      </c>
      <c r="H28">
        <v>18902</v>
      </c>
      <c r="I28">
        <v>96409</v>
      </c>
      <c r="J28">
        <v>77507</v>
      </c>
      <c r="K28" t="s">
        <v>2473</v>
      </c>
    </row>
    <row r="29" spans="1:11">
      <c r="A29" t="s">
        <v>2500</v>
      </c>
      <c r="B29" t="s">
        <v>2170</v>
      </c>
      <c r="C29" t="s">
        <v>24</v>
      </c>
      <c r="D29" t="str">
        <f>SUBSTITUTE(SUBSTITUTE(TRIM(Table5[[#This Row],[BusinessUnit]]),"Software and Analytics","Software &amp; Analytics"),"Sensors and Instruments","Sensors &amp; Instruments")</f>
        <v>Sensors &amp; Instruments</v>
      </c>
      <c r="E29" t="s">
        <v>32</v>
      </c>
      <c r="F29">
        <v>73369</v>
      </c>
      <c r="G29">
        <v>29500</v>
      </c>
      <c r="H29">
        <v>8521</v>
      </c>
      <c r="I29">
        <v>43869</v>
      </c>
      <c r="J29">
        <v>35348</v>
      </c>
      <c r="K29" t="s">
        <v>2473</v>
      </c>
    </row>
    <row r="30" spans="1:11">
      <c r="A30" t="s">
        <v>2501</v>
      </c>
      <c r="B30" t="s">
        <v>2170</v>
      </c>
      <c r="C30" t="s">
        <v>53</v>
      </c>
      <c r="D30" t="str">
        <f>SUBSTITUTE(SUBSTITUTE(TRIM(Table5[[#This Row],[BusinessUnit]]),"Software and Analytics","Software &amp; Analytics"),"Sensors and Instruments","Sensors &amp; Instruments")</f>
        <v>Software &amp; Analytics</v>
      </c>
      <c r="E30" t="s">
        <v>23</v>
      </c>
      <c r="F30">
        <v>263423</v>
      </c>
      <c r="G30">
        <v>14627</v>
      </c>
      <c r="H30">
        <v>46318</v>
      </c>
      <c r="I30">
        <v>248796</v>
      </c>
      <c r="J30">
        <v>202478</v>
      </c>
      <c r="K30" t="s">
        <v>2473</v>
      </c>
    </row>
    <row r="31" spans="1:11">
      <c r="A31" t="s">
        <v>2502</v>
      </c>
      <c r="B31" t="s">
        <v>2170</v>
      </c>
      <c r="C31" t="s">
        <v>53</v>
      </c>
      <c r="D31" t="str">
        <f>SUBSTITUTE(SUBSTITUTE(TRIM(Table5[[#This Row],[BusinessUnit]]),"Software and Analytics","Software &amp; Analytics"),"Sensors and Instruments","Sensors &amp; Instruments")</f>
        <v>Software &amp; Analytics</v>
      </c>
      <c r="E31" t="s">
        <v>47</v>
      </c>
      <c r="F31">
        <v>168639</v>
      </c>
      <c r="G31">
        <v>9226</v>
      </c>
      <c r="H31">
        <v>28770</v>
      </c>
      <c r="I31">
        <v>159413</v>
      </c>
      <c r="J31">
        <v>130643</v>
      </c>
      <c r="K31" t="s">
        <v>2473</v>
      </c>
    </row>
    <row r="32" spans="1:11">
      <c r="A32" t="s">
        <v>2503</v>
      </c>
      <c r="B32" t="s">
        <v>2170</v>
      </c>
      <c r="C32" t="s">
        <v>53</v>
      </c>
      <c r="D32" t="str">
        <f>SUBSTITUTE(SUBSTITUTE(TRIM(Table5[[#This Row],[BusinessUnit]]),"Software and Analytics","Software &amp; Analytics"),"Sensors and Instruments","Sensors &amp; Instruments")</f>
        <v>Software &amp; Analytics</v>
      </c>
      <c r="E32" t="s">
        <v>58</v>
      </c>
      <c r="F32">
        <v>103453</v>
      </c>
      <c r="G32">
        <v>5631</v>
      </c>
      <c r="H32">
        <v>17667</v>
      </c>
      <c r="I32">
        <v>97822</v>
      </c>
      <c r="J32">
        <v>80155</v>
      </c>
      <c r="K32" t="s">
        <v>2473</v>
      </c>
    </row>
    <row r="33" spans="1:11">
      <c r="A33" t="s">
        <v>2504</v>
      </c>
      <c r="B33" t="s">
        <v>2170</v>
      </c>
      <c r="C33" t="s">
        <v>53</v>
      </c>
      <c r="D33" t="str">
        <f>SUBSTITUTE(SUBSTITUTE(TRIM(Table5[[#This Row],[BusinessUnit]]),"Software and Analytics","Software &amp; Analytics"),"Sensors and Instruments","Sensors &amp; Instruments")</f>
        <v>Software &amp; Analytics</v>
      </c>
      <c r="E33" t="s">
        <v>32</v>
      </c>
      <c r="F33">
        <v>39288</v>
      </c>
      <c r="G33">
        <v>2160</v>
      </c>
      <c r="H33">
        <v>6984</v>
      </c>
      <c r="I33">
        <v>37128</v>
      </c>
      <c r="J33">
        <v>30144</v>
      </c>
      <c r="K33" t="s">
        <v>2473</v>
      </c>
    </row>
    <row r="34" spans="1:11">
      <c r="A34" t="s">
        <v>2505</v>
      </c>
      <c r="B34" t="s">
        <v>2170</v>
      </c>
      <c r="C34" t="s">
        <v>82</v>
      </c>
      <c r="D34" t="str">
        <f>SUBSTITUTE(SUBSTITUTE(TRIM(Table5[[#This Row],[BusinessUnit]]),"Software and Analytics","Software &amp; Analytics"),"Sensors and Instruments","Sensors &amp; Instruments")</f>
        <v>Field Services</v>
      </c>
      <c r="E34" t="s">
        <v>23</v>
      </c>
      <c r="F34">
        <v>158287</v>
      </c>
      <c r="G34">
        <v>74832</v>
      </c>
      <c r="H34">
        <v>23879</v>
      </c>
      <c r="I34">
        <v>83455</v>
      </c>
      <c r="J34">
        <v>59576</v>
      </c>
      <c r="K34" t="s">
        <v>2473</v>
      </c>
    </row>
    <row r="35" spans="1:11">
      <c r="A35" t="s">
        <v>2506</v>
      </c>
      <c r="B35" t="s">
        <v>2170</v>
      </c>
      <c r="C35" t="s">
        <v>82</v>
      </c>
      <c r="D35" t="str">
        <f>SUBSTITUTE(SUBSTITUTE(TRIM(Table5[[#This Row],[BusinessUnit]]),"Software and Analytics","Software &amp; Analytics"),"Sensors and Instruments","Sensors &amp; Instruments")</f>
        <v>Field Services</v>
      </c>
      <c r="E35" t="s">
        <v>47</v>
      </c>
      <c r="F35">
        <v>101514</v>
      </c>
      <c r="G35">
        <v>47353</v>
      </c>
      <c r="H35">
        <v>15403</v>
      </c>
      <c r="I35">
        <v>54161</v>
      </c>
      <c r="J35">
        <v>38758</v>
      </c>
      <c r="K35" t="s">
        <v>2473</v>
      </c>
    </row>
    <row r="36" spans="1:11">
      <c r="A36" t="s">
        <v>2507</v>
      </c>
      <c r="B36" t="s">
        <v>2170</v>
      </c>
      <c r="C36" t="s">
        <v>82</v>
      </c>
      <c r="D36" t="str">
        <f>SUBSTITUTE(SUBSTITUTE(TRIM(Table5[[#This Row],[BusinessUnit]]),"Software and Analytics","Software &amp; Analytics"),"Sensors and Instruments","Sensors &amp; Instruments")</f>
        <v>Field Services</v>
      </c>
      <c r="E36" t="s">
        <v>58</v>
      </c>
      <c r="F36">
        <v>67627</v>
      </c>
      <c r="G36">
        <v>32690</v>
      </c>
      <c r="H36">
        <v>10593</v>
      </c>
      <c r="I36">
        <v>34937</v>
      </c>
      <c r="J36">
        <v>24344</v>
      </c>
      <c r="K36" t="s">
        <v>2473</v>
      </c>
    </row>
    <row r="37" spans="1:11">
      <c r="A37" t="s">
        <v>2508</v>
      </c>
      <c r="B37" t="s">
        <v>2170</v>
      </c>
      <c r="C37" t="s">
        <v>82</v>
      </c>
      <c r="D37" t="str">
        <f>SUBSTITUTE(SUBSTITUTE(TRIM(Table5[[#This Row],[BusinessUnit]]),"Software and Analytics","Software &amp; Analytics"),"Sensors and Instruments","Sensors &amp; Instruments")</f>
        <v>Field Services</v>
      </c>
      <c r="E37" t="s">
        <v>32</v>
      </c>
      <c r="F37">
        <v>32648</v>
      </c>
      <c r="G37">
        <v>15651</v>
      </c>
      <c r="H37">
        <v>4946</v>
      </c>
      <c r="I37">
        <v>16997</v>
      </c>
      <c r="J37">
        <v>12051</v>
      </c>
      <c r="K37" t="s">
        <v>2473</v>
      </c>
    </row>
    <row r="38" spans="1:11">
      <c r="A38" t="s">
        <v>2509</v>
      </c>
      <c r="B38" t="s">
        <v>2120</v>
      </c>
      <c r="C38" t="s">
        <v>2510</v>
      </c>
      <c r="D38" t="str">
        <f>SUBSTITUTE(SUBSTITUTE(TRIM(Table5[[#This Row],[BusinessUnit]]),"Software and Analytics","Software &amp; Analytics"),"Sensors and Instruments","Sensors &amp; Instruments")</f>
        <v>Sensors &amp; Instruments</v>
      </c>
      <c r="E38" t="s">
        <v>23</v>
      </c>
      <c r="F38">
        <v>404501</v>
      </c>
      <c r="G38">
        <v>161046</v>
      </c>
      <c r="H38">
        <v>46406</v>
      </c>
      <c r="I38">
        <v>243455</v>
      </c>
      <c r="J38">
        <v>197049</v>
      </c>
      <c r="K38" t="s">
        <v>2473</v>
      </c>
    </row>
    <row r="39" spans="1:11">
      <c r="A39" t="s">
        <v>2511</v>
      </c>
      <c r="B39" t="s">
        <v>2120</v>
      </c>
      <c r="C39" t="s">
        <v>24</v>
      </c>
      <c r="D39" t="str">
        <f>SUBSTITUTE(SUBSTITUTE(TRIM(Table5[[#This Row],[BusinessUnit]]),"Software and Analytics","Software &amp; Analytics"),"Sensors and Instruments","Sensors &amp; Instruments")</f>
        <v>Sensors &amp; Instruments</v>
      </c>
      <c r="E39" t="s">
        <v>47</v>
      </c>
      <c r="F39">
        <v>291553</v>
      </c>
      <c r="G39">
        <v>115583</v>
      </c>
      <c r="H39">
        <v>33605</v>
      </c>
      <c r="I39">
        <v>175970</v>
      </c>
      <c r="J39">
        <v>142365</v>
      </c>
      <c r="K39" t="s">
        <v>2473</v>
      </c>
    </row>
    <row r="40" spans="1:11">
      <c r="A40" t="s">
        <v>2512</v>
      </c>
      <c r="B40" t="s">
        <v>2120</v>
      </c>
      <c r="C40" t="s">
        <v>24</v>
      </c>
      <c r="D40" t="str">
        <f>SUBSTITUTE(SUBSTITUTE(TRIM(Table5[[#This Row],[BusinessUnit]]),"Software and Analytics","Software &amp; Analytics"),"Sensors and Instruments","Sensors &amp; Instruments")</f>
        <v>Sensors &amp; Instruments</v>
      </c>
      <c r="E40" t="s">
        <v>58</v>
      </c>
      <c r="F40">
        <v>190806</v>
      </c>
      <c r="G40">
        <v>75689</v>
      </c>
      <c r="H40">
        <v>22348</v>
      </c>
      <c r="I40">
        <v>115117</v>
      </c>
      <c r="J40">
        <v>92769</v>
      </c>
      <c r="K40" t="s">
        <v>2473</v>
      </c>
    </row>
    <row r="41" spans="1:11">
      <c r="A41" t="s">
        <v>2513</v>
      </c>
      <c r="B41" t="s">
        <v>2120</v>
      </c>
      <c r="C41" t="s">
        <v>24</v>
      </c>
      <c r="D41" t="str">
        <f>SUBSTITUTE(SUBSTITUTE(TRIM(Table5[[#This Row],[BusinessUnit]]),"Software and Analytics","Software &amp; Analytics"),"Sensors and Instruments","Sensors &amp; Instruments")</f>
        <v>Sensors &amp; Instruments</v>
      </c>
      <c r="E41" t="s">
        <v>32</v>
      </c>
      <c r="F41">
        <v>85846</v>
      </c>
      <c r="G41">
        <v>33644</v>
      </c>
      <c r="H41">
        <v>10056</v>
      </c>
      <c r="I41">
        <v>52202</v>
      </c>
      <c r="J41">
        <v>42146</v>
      </c>
      <c r="K41" t="s">
        <v>2473</v>
      </c>
    </row>
    <row r="42" spans="1:11">
      <c r="A42" t="s">
        <v>2514</v>
      </c>
      <c r="B42" t="s">
        <v>2120</v>
      </c>
      <c r="C42" t="s">
        <v>53</v>
      </c>
      <c r="D42" t="str">
        <f>SUBSTITUTE(SUBSTITUTE(TRIM(Table5[[#This Row],[BusinessUnit]]),"Software and Analytics","Software &amp; Analytics"),"Sensors and Instruments","Sensors &amp; Instruments")</f>
        <v>Software &amp; Analytics</v>
      </c>
      <c r="E42" t="s">
        <v>23</v>
      </c>
      <c r="F42">
        <v>322359</v>
      </c>
      <c r="G42">
        <v>17908</v>
      </c>
      <c r="H42">
        <v>55646</v>
      </c>
      <c r="I42">
        <v>304451</v>
      </c>
      <c r="J42">
        <v>248805</v>
      </c>
      <c r="K42" t="s">
        <v>2473</v>
      </c>
    </row>
    <row r="43" spans="1:11">
      <c r="A43" t="s">
        <v>2515</v>
      </c>
      <c r="B43" t="s">
        <v>2120</v>
      </c>
      <c r="C43" t="s">
        <v>53</v>
      </c>
      <c r="D43" t="str">
        <f>SUBSTITUTE(SUBSTITUTE(TRIM(Table5[[#This Row],[BusinessUnit]]),"Software and Analytics","Software &amp; Analytics"),"Sensors and Instruments","Sensors &amp; Instruments")</f>
        <v>Software &amp; Analytics</v>
      </c>
      <c r="E43" t="s">
        <v>47</v>
      </c>
      <c r="F43">
        <v>194007</v>
      </c>
      <c r="G43">
        <v>10532</v>
      </c>
      <c r="H43">
        <v>33469</v>
      </c>
      <c r="I43">
        <v>183475</v>
      </c>
      <c r="J43">
        <v>150006</v>
      </c>
      <c r="K43" t="s">
        <v>2473</v>
      </c>
    </row>
    <row r="44" spans="1:11">
      <c r="A44" t="s">
        <v>2516</v>
      </c>
      <c r="B44" t="s">
        <v>2120</v>
      </c>
      <c r="C44" t="s">
        <v>53</v>
      </c>
      <c r="D44" t="str">
        <f>SUBSTITUTE(SUBSTITUTE(TRIM(Table5[[#This Row],[BusinessUnit]]),"Software and Analytics","Software &amp; Analytics"),"Sensors and Instruments","Sensors &amp; Instruments")</f>
        <v>Software &amp; Analytics</v>
      </c>
      <c r="E44" t="s">
        <v>58</v>
      </c>
      <c r="F44">
        <v>121687</v>
      </c>
      <c r="G44">
        <v>6798</v>
      </c>
      <c r="H44">
        <v>21501</v>
      </c>
      <c r="I44">
        <v>114889</v>
      </c>
      <c r="J44">
        <v>93388</v>
      </c>
      <c r="K44" t="s">
        <v>2473</v>
      </c>
    </row>
    <row r="45" spans="1:11">
      <c r="A45" t="s">
        <v>2517</v>
      </c>
      <c r="B45" t="s">
        <v>2120</v>
      </c>
      <c r="C45" t="s">
        <v>53</v>
      </c>
      <c r="D45" t="str">
        <f>SUBSTITUTE(SUBSTITUTE(TRIM(Table5[[#This Row],[BusinessUnit]]),"Software and Analytics","Software &amp; Analytics"),"Sensors and Instruments","Sensors &amp; Instruments")</f>
        <v>Software &amp; Analytics</v>
      </c>
      <c r="E45" t="s">
        <v>32</v>
      </c>
      <c r="F45">
        <v>45930</v>
      </c>
      <c r="G45">
        <v>2538</v>
      </c>
      <c r="H45">
        <v>8172</v>
      </c>
      <c r="I45">
        <v>43392</v>
      </c>
      <c r="J45">
        <v>35220</v>
      </c>
      <c r="K45" t="s">
        <v>2473</v>
      </c>
    </row>
    <row r="46" spans="1:11">
      <c r="A46" t="s">
        <v>2518</v>
      </c>
      <c r="B46" t="s">
        <v>2120</v>
      </c>
      <c r="C46" t="s">
        <v>82</v>
      </c>
      <c r="D46" t="str">
        <f>SUBSTITUTE(SUBSTITUTE(TRIM(Table5[[#This Row],[BusinessUnit]]),"Software and Analytics","Software &amp; Analytics"),"Sensors and Instruments","Sensors &amp; Instruments")</f>
        <v>Field Services</v>
      </c>
      <c r="E46" t="s">
        <v>23</v>
      </c>
      <c r="F46">
        <v>179820</v>
      </c>
      <c r="G46">
        <v>85574</v>
      </c>
      <c r="H46">
        <v>28157</v>
      </c>
      <c r="I46">
        <v>94246</v>
      </c>
      <c r="J46">
        <v>66089</v>
      </c>
      <c r="K46" t="s">
        <v>2473</v>
      </c>
    </row>
    <row r="47" spans="1:11">
      <c r="A47" t="s">
        <v>2519</v>
      </c>
      <c r="B47" t="s">
        <v>2120</v>
      </c>
      <c r="C47" t="s">
        <v>82</v>
      </c>
      <c r="D47" t="str">
        <f>SUBSTITUTE(SUBSTITUTE(TRIM(Table5[[#This Row],[BusinessUnit]]),"Software and Analytics","Software &amp; Analytics"),"Sensors and Instruments","Sensors &amp; Instruments")</f>
        <v>Field Services</v>
      </c>
      <c r="E47" t="s">
        <v>47</v>
      </c>
      <c r="F47">
        <v>120731</v>
      </c>
      <c r="G47">
        <v>57973</v>
      </c>
      <c r="H47">
        <v>19199</v>
      </c>
      <c r="I47">
        <v>62758</v>
      </c>
      <c r="J47">
        <v>43559</v>
      </c>
      <c r="K47" t="s">
        <v>2473</v>
      </c>
    </row>
    <row r="48" spans="1:11">
      <c r="A48" t="s">
        <v>2520</v>
      </c>
      <c r="B48" t="s">
        <v>2120</v>
      </c>
      <c r="C48" t="s">
        <v>82</v>
      </c>
      <c r="D48" t="str">
        <f>SUBSTITUTE(SUBSTITUTE(TRIM(Table5[[#This Row],[BusinessUnit]]),"Software and Analytics","Software &amp; Analytics"),"Sensors and Instruments","Sensors &amp; Instruments")</f>
        <v>Field Services</v>
      </c>
      <c r="E48" t="s">
        <v>58</v>
      </c>
      <c r="F48">
        <v>78524</v>
      </c>
      <c r="G48">
        <v>36664</v>
      </c>
      <c r="H48">
        <v>12252</v>
      </c>
      <c r="I48">
        <v>41860</v>
      </c>
      <c r="J48">
        <v>29608</v>
      </c>
      <c r="K48" t="s">
        <v>2473</v>
      </c>
    </row>
    <row r="49" spans="1:11">
      <c r="A49" t="s">
        <v>2521</v>
      </c>
      <c r="B49" t="s">
        <v>2120</v>
      </c>
      <c r="C49" t="s">
        <v>82</v>
      </c>
      <c r="D49" t="str">
        <f>SUBSTITUTE(SUBSTITUTE(TRIM(Table5[[#This Row],[BusinessUnit]]),"Software and Analytics","Software &amp; Analytics"),"Sensors and Instruments","Sensors &amp; Instruments")</f>
        <v>Field Services</v>
      </c>
      <c r="E49" t="s">
        <v>32</v>
      </c>
      <c r="F49">
        <v>38245</v>
      </c>
      <c r="G49">
        <v>18009</v>
      </c>
      <c r="H49">
        <v>5865</v>
      </c>
      <c r="I49">
        <v>20236</v>
      </c>
      <c r="J49">
        <v>14371</v>
      </c>
      <c r="K49" t="s">
        <v>2473</v>
      </c>
    </row>
    <row r="50" spans="1:11">
      <c r="A50" t="s">
        <v>2522</v>
      </c>
      <c r="B50" t="s">
        <v>2206</v>
      </c>
      <c r="C50" t="s">
        <v>24</v>
      </c>
      <c r="D50" t="str">
        <f>SUBSTITUTE(SUBSTITUTE(TRIM(Table5[[#This Row],[BusinessUnit]]),"Software and Analytics","Software &amp; Analytics"),"Sensors and Instruments","Sensors &amp; Instruments")</f>
        <v>Sensors &amp; Instruments</v>
      </c>
      <c r="E50" t="s">
        <v>23</v>
      </c>
      <c r="F50">
        <v>418180</v>
      </c>
      <c r="G50">
        <v>166550</v>
      </c>
      <c r="H50">
        <v>50445</v>
      </c>
      <c r="I50">
        <v>251630</v>
      </c>
      <c r="J50">
        <v>201185</v>
      </c>
      <c r="K50" t="s">
        <v>2473</v>
      </c>
    </row>
    <row r="51" spans="1:11">
      <c r="A51" t="s">
        <v>2523</v>
      </c>
      <c r="B51" t="s">
        <v>2206</v>
      </c>
      <c r="C51" t="s">
        <v>24</v>
      </c>
      <c r="D51" t="str">
        <f>SUBSTITUTE(SUBSTITUTE(TRIM(Table5[[#This Row],[BusinessUnit]]),"Software and Analytics","Software &amp; Analytics"),"Sensors and Instruments","Sensors &amp; Instruments")</f>
        <v>Sensors &amp; Instruments</v>
      </c>
      <c r="E51" t="s">
        <v>47</v>
      </c>
      <c r="F51">
        <v>290708</v>
      </c>
      <c r="G51">
        <v>113148</v>
      </c>
      <c r="H51">
        <v>33991</v>
      </c>
      <c r="I51">
        <v>177560</v>
      </c>
      <c r="J51">
        <v>143569</v>
      </c>
      <c r="K51" t="s">
        <v>2473</v>
      </c>
    </row>
    <row r="52" spans="1:11">
      <c r="A52" t="s">
        <v>2524</v>
      </c>
      <c r="B52" t="s">
        <v>2206</v>
      </c>
      <c r="C52" t="s">
        <v>24</v>
      </c>
      <c r="D52" t="str">
        <f>SUBSTITUTE(SUBSTITUTE(TRIM(Table5[[#This Row],[BusinessUnit]]),"Software and Analytics","Software &amp; Analytics"),"Sensors and Instruments","Sensors &amp; Instruments")</f>
        <v>Sensors &amp; Instruments</v>
      </c>
      <c r="E52" t="s">
        <v>58</v>
      </c>
      <c r="F52">
        <v>185017</v>
      </c>
      <c r="G52">
        <v>73833</v>
      </c>
      <c r="H52">
        <v>21526</v>
      </c>
      <c r="I52">
        <v>111184</v>
      </c>
      <c r="J52">
        <v>89658</v>
      </c>
      <c r="K52" t="s">
        <v>2473</v>
      </c>
    </row>
    <row r="53" spans="1:11">
      <c r="A53" t="s">
        <v>2525</v>
      </c>
      <c r="B53" t="s">
        <v>2206</v>
      </c>
      <c r="C53" t="s">
        <v>24</v>
      </c>
      <c r="D53" t="str">
        <f>SUBSTITUTE(SUBSTITUTE(TRIM(Table5[[#This Row],[BusinessUnit]]),"Software and Analytics","Software &amp; Analytics"),"Sensors and Instruments","Sensors &amp; Instruments")</f>
        <v>Sensors &amp; Instruments</v>
      </c>
      <c r="E53" t="s">
        <v>32</v>
      </c>
      <c r="F53">
        <v>82337</v>
      </c>
      <c r="G53">
        <v>31998</v>
      </c>
      <c r="H53">
        <v>9491</v>
      </c>
      <c r="I53">
        <v>50339</v>
      </c>
      <c r="J53">
        <v>40848</v>
      </c>
      <c r="K53" t="s">
        <v>2473</v>
      </c>
    </row>
    <row r="54" spans="1:11">
      <c r="A54" t="s">
        <v>2526</v>
      </c>
      <c r="B54" t="s">
        <v>2206</v>
      </c>
      <c r="C54" t="s">
        <v>53</v>
      </c>
      <c r="D54" t="str">
        <f>SUBSTITUTE(SUBSTITUTE(TRIM(Table5[[#This Row],[BusinessUnit]]),"Software and Analytics","Software &amp; Analytics"),"Sensors and Instruments","Sensors &amp; Instruments")</f>
        <v>Software &amp; Analytics</v>
      </c>
      <c r="E54" t="s">
        <v>23</v>
      </c>
      <c r="F54">
        <v>313766</v>
      </c>
      <c r="G54">
        <v>17452</v>
      </c>
      <c r="H54">
        <v>54045</v>
      </c>
      <c r="I54">
        <v>296314</v>
      </c>
      <c r="J54">
        <v>242269</v>
      </c>
      <c r="K54" t="s">
        <v>2473</v>
      </c>
    </row>
    <row r="55" spans="1:11">
      <c r="A55" t="s">
        <v>2527</v>
      </c>
      <c r="B55" t="s">
        <v>2206</v>
      </c>
      <c r="C55" t="s">
        <v>53</v>
      </c>
      <c r="D55" t="str">
        <f>SUBSTITUTE(SUBSTITUTE(TRIM(Table5[[#This Row],[BusinessUnit]]),"Software and Analytics","Software &amp; Analytics"),"Sensors and Instruments","Sensors &amp; Instruments")</f>
        <v>Software &amp; Analytics</v>
      </c>
      <c r="E55" t="s">
        <v>47</v>
      </c>
      <c r="F55">
        <v>197179</v>
      </c>
      <c r="G55">
        <v>11010</v>
      </c>
      <c r="H55">
        <v>34387</v>
      </c>
      <c r="I55">
        <v>186169</v>
      </c>
      <c r="J55">
        <v>151782</v>
      </c>
      <c r="K55" t="s">
        <v>2473</v>
      </c>
    </row>
    <row r="56" spans="1:11">
      <c r="A56" t="s">
        <v>2528</v>
      </c>
      <c r="B56" t="s">
        <v>2206</v>
      </c>
      <c r="C56" t="s">
        <v>53</v>
      </c>
      <c r="D56" t="str">
        <f>SUBSTITUTE(SUBSTITUTE(TRIM(Table5[[#This Row],[BusinessUnit]]),"Software and Analytics","Software &amp; Analytics"),"Sensors and Instruments","Sensors &amp; Instruments")</f>
        <v>Software &amp; Analytics</v>
      </c>
      <c r="E56" t="s">
        <v>58</v>
      </c>
      <c r="F56">
        <v>118863</v>
      </c>
      <c r="G56">
        <v>6407</v>
      </c>
      <c r="H56">
        <v>20279</v>
      </c>
      <c r="I56">
        <v>112456</v>
      </c>
      <c r="J56">
        <v>92177</v>
      </c>
      <c r="K56" t="s">
        <v>2473</v>
      </c>
    </row>
    <row r="57" spans="1:11">
      <c r="A57" t="s">
        <v>2529</v>
      </c>
      <c r="B57" t="s">
        <v>2206</v>
      </c>
      <c r="C57" t="s">
        <v>53</v>
      </c>
      <c r="D57" t="str">
        <f>SUBSTITUTE(SUBSTITUTE(TRIM(Table5[[#This Row],[BusinessUnit]]),"Software and Analytics","Software &amp; Analytics"),"Sensors and Instruments","Sensors &amp; Instruments")</f>
        <v>Software &amp; Analytics</v>
      </c>
      <c r="E57" t="s">
        <v>32</v>
      </c>
      <c r="F57">
        <v>46015</v>
      </c>
      <c r="G57">
        <v>2514</v>
      </c>
      <c r="H57">
        <v>7883</v>
      </c>
      <c r="I57">
        <v>43501</v>
      </c>
      <c r="J57">
        <v>35618</v>
      </c>
      <c r="K57" t="s">
        <v>2473</v>
      </c>
    </row>
    <row r="58" spans="1:11">
      <c r="A58" t="s">
        <v>2530</v>
      </c>
      <c r="B58" t="s">
        <v>2206</v>
      </c>
      <c r="C58" t="s">
        <v>82</v>
      </c>
      <c r="D58" t="str">
        <f>SUBSTITUTE(SUBSTITUTE(TRIM(Table5[[#This Row],[BusinessUnit]]),"Software and Analytics","Software &amp; Analytics"),"Sensors and Instruments","Sensors &amp; Instruments")</f>
        <v>Field Services</v>
      </c>
      <c r="E58" t="s">
        <v>23</v>
      </c>
      <c r="F58">
        <v>180665</v>
      </c>
      <c r="G58">
        <v>84254</v>
      </c>
      <c r="H58">
        <v>28355</v>
      </c>
      <c r="I58">
        <v>96411</v>
      </c>
      <c r="J58">
        <v>68056</v>
      </c>
      <c r="K58" t="s">
        <v>2473</v>
      </c>
    </row>
    <row r="59" spans="1:11">
      <c r="A59" t="s">
        <v>2531</v>
      </c>
      <c r="B59" t="s">
        <v>2206</v>
      </c>
      <c r="C59" t="s">
        <v>82</v>
      </c>
      <c r="D59" t="str">
        <f>SUBSTITUTE(SUBSTITUTE(TRIM(Table5[[#This Row],[BusinessUnit]]),"Software and Analytics","Software &amp; Analytics"),"Sensors and Instruments","Sensors &amp; Instruments")</f>
        <v>Field Services</v>
      </c>
      <c r="E59" t="s">
        <v>47</v>
      </c>
      <c r="F59">
        <v>117913</v>
      </c>
      <c r="G59">
        <v>55011</v>
      </c>
      <c r="H59">
        <v>18188</v>
      </c>
      <c r="I59">
        <v>62902</v>
      </c>
      <c r="J59">
        <v>44714</v>
      </c>
      <c r="K59" t="s">
        <v>2473</v>
      </c>
    </row>
    <row r="60" spans="1:11">
      <c r="A60" t="s">
        <v>2532</v>
      </c>
      <c r="B60" t="s">
        <v>2206</v>
      </c>
      <c r="C60" t="s">
        <v>82</v>
      </c>
      <c r="D60" t="str">
        <f>SUBSTITUTE(SUBSTITUTE(TRIM(Table5[[#This Row],[BusinessUnit]]),"Software and Analytics","Software &amp; Analytics"),"Sensors and Instruments","Sensors &amp; Instruments")</f>
        <v>Field Services</v>
      </c>
      <c r="E60" t="s">
        <v>58</v>
      </c>
      <c r="F60">
        <v>78166</v>
      </c>
      <c r="G60">
        <v>37521</v>
      </c>
      <c r="H60">
        <v>11804</v>
      </c>
      <c r="I60">
        <v>40645</v>
      </c>
      <c r="J60">
        <v>28841</v>
      </c>
      <c r="K60" t="s">
        <v>2473</v>
      </c>
    </row>
    <row r="61" spans="1:11">
      <c r="A61" t="s">
        <v>2533</v>
      </c>
      <c r="B61" t="s">
        <v>2206</v>
      </c>
      <c r="C61" t="s">
        <v>82</v>
      </c>
      <c r="D61" t="str">
        <f>SUBSTITUTE(SUBSTITUTE(TRIM(Table5[[#This Row],[BusinessUnit]]),"Software and Analytics","Software &amp; Analytics"),"Sensors and Instruments","Sensors &amp; Instruments")</f>
        <v>Field Services</v>
      </c>
      <c r="E61" t="s">
        <v>32</v>
      </c>
      <c r="F61">
        <v>37425</v>
      </c>
      <c r="G61">
        <v>17612</v>
      </c>
      <c r="H61">
        <v>5886</v>
      </c>
      <c r="I61">
        <v>19813</v>
      </c>
      <c r="J61">
        <v>13927</v>
      </c>
      <c r="K61" t="s">
        <v>2473</v>
      </c>
    </row>
    <row r="62" spans="1:11">
      <c r="A62" t="s">
        <v>2534</v>
      </c>
      <c r="B62" t="s">
        <v>2122</v>
      </c>
      <c r="C62" t="s">
        <v>24</v>
      </c>
      <c r="D62" t="str">
        <f>SUBSTITUTE(SUBSTITUTE(TRIM(Table5[[#This Row],[BusinessUnit]]),"Software and Analytics","Software &amp; Analytics"),"Sensors and Instruments","Sensors &amp; Instruments")</f>
        <v>Sensors &amp; Instruments</v>
      </c>
      <c r="E62" t="s">
        <v>23</v>
      </c>
      <c r="F62">
        <v>412542</v>
      </c>
      <c r="G62">
        <v>163787</v>
      </c>
      <c r="H62">
        <v>48649</v>
      </c>
      <c r="I62">
        <v>248755</v>
      </c>
      <c r="J62">
        <v>200106</v>
      </c>
      <c r="K62" t="s">
        <v>2473</v>
      </c>
    </row>
    <row r="63" spans="1:11">
      <c r="A63" t="s">
        <v>2535</v>
      </c>
      <c r="B63" t="s">
        <v>2122</v>
      </c>
      <c r="C63" t="s">
        <v>24</v>
      </c>
      <c r="D63" t="str">
        <f>SUBSTITUTE(SUBSTITUTE(TRIM(Table5[[#This Row],[BusinessUnit]]),"Software and Analytics","Software &amp; Analytics"),"Sensors and Instruments","Sensors &amp; Instruments")</f>
        <v>Sensors &amp; Instruments</v>
      </c>
      <c r="E63" t="s">
        <v>47</v>
      </c>
      <c r="F63">
        <v>287396</v>
      </c>
      <c r="G63">
        <v>112911</v>
      </c>
      <c r="H63">
        <v>33382</v>
      </c>
      <c r="I63">
        <v>174485</v>
      </c>
      <c r="J63">
        <v>141103</v>
      </c>
      <c r="K63" t="s">
        <v>2473</v>
      </c>
    </row>
    <row r="64" spans="1:11">
      <c r="A64" t="s">
        <v>2536</v>
      </c>
      <c r="B64" t="s">
        <v>2122</v>
      </c>
      <c r="C64" t="s">
        <v>24</v>
      </c>
      <c r="D64" t="str">
        <f>SUBSTITUTE(SUBSTITUTE(TRIM(Table5[[#This Row],[BusinessUnit]]),"Software and Analytics","Software &amp; Analytics"),"Sensors and Instruments","Sensors &amp; Instruments")</f>
        <v>Sensors &amp; Instruments</v>
      </c>
      <c r="E64" t="s">
        <v>58</v>
      </c>
      <c r="F64">
        <v>184007</v>
      </c>
      <c r="G64">
        <v>71733</v>
      </c>
      <c r="H64">
        <v>21286</v>
      </c>
      <c r="I64">
        <v>112274</v>
      </c>
      <c r="J64">
        <v>90988</v>
      </c>
      <c r="K64" t="s">
        <v>2473</v>
      </c>
    </row>
    <row r="65" spans="1:11">
      <c r="A65" t="s">
        <v>2537</v>
      </c>
      <c r="B65" t="s">
        <v>2122</v>
      </c>
      <c r="C65" t="s">
        <v>24</v>
      </c>
      <c r="D65" t="str">
        <f>SUBSTITUTE(SUBSTITUTE(TRIM(Table5[[#This Row],[BusinessUnit]]),"Software and Analytics","Software &amp; Analytics"),"Sensors and Instruments","Sensors &amp; Instruments")</f>
        <v>Sensors &amp; Instruments</v>
      </c>
      <c r="E65" t="s">
        <v>32</v>
      </c>
      <c r="F65">
        <v>86438</v>
      </c>
      <c r="G65">
        <v>34740</v>
      </c>
      <c r="H65">
        <v>10050</v>
      </c>
      <c r="I65">
        <v>51698</v>
      </c>
      <c r="J65">
        <v>41648</v>
      </c>
      <c r="K65" t="s">
        <v>2473</v>
      </c>
    </row>
    <row r="66" spans="1:11">
      <c r="A66" t="s">
        <v>2538</v>
      </c>
      <c r="B66" t="s">
        <v>2122</v>
      </c>
      <c r="C66" t="s">
        <v>53</v>
      </c>
      <c r="D66" t="str">
        <f>SUBSTITUTE(SUBSTITUTE(TRIM(Table5[[#This Row],[BusinessUnit]]),"Software and Analytics","Software &amp; Analytics"),"Sensors and Instruments","Sensors &amp; Instruments")</f>
        <v>Software &amp; Analytics</v>
      </c>
      <c r="E66" t="s">
        <v>23</v>
      </c>
      <c r="F66">
        <v>311061</v>
      </c>
      <c r="G66">
        <v>16959</v>
      </c>
      <c r="H66">
        <v>55404</v>
      </c>
      <c r="I66">
        <v>294102</v>
      </c>
      <c r="J66">
        <v>238698</v>
      </c>
      <c r="K66" t="s">
        <v>2473</v>
      </c>
    </row>
    <row r="67" spans="1:11">
      <c r="A67" t="s">
        <v>2539</v>
      </c>
      <c r="B67" t="s">
        <v>2122</v>
      </c>
      <c r="C67" t="s">
        <v>53</v>
      </c>
      <c r="D67" t="str">
        <f>SUBSTITUTE(SUBSTITUTE(TRIM(Table5[[#This Row],[BusinessUnit]]),"Software and Analytics","Software &amp; Analytics"),"Sensors and Instruments","Sensors &amp; Instruments")</f>
        <v>Software &amp; Analytics</v>
      </c>
      <c r="E67" t="s">
        <v>47</v>
      </c>
      <c r="F67">
        <v>204245</v>
      </c>
      <c r="G67">
        <v>11234</v>
      </c>
      <c r="H67">
        <v>35829</v>
      </c>
      <c r="I67">
        <v>193011</v>
      </c>
      <c r="J67">
        <v>157182</v>
      </c>
      <c r="K67" t="s">
        <v>2473</v>
      </c>
    </row>
    <row r="68" spans="1:11">
      <c r="A68" t="s">
        <v>2540</v>
      </c>
      <c r="B68" t="s">
        <v>2122</v>
      </c>
      <c r="C68" t="s">
        <v>119</v>
      </c>
      <c r="D68" t="str">
        <f>SUBSTITUTE(SUBSTITUTE(TRIM(Table5[[#This Row],[BusinessUnit]]),"Software and Analytics","Software &amp; Analytics"),"Sensors and Instruments","Sensors &amp; Instruments")</f>
        <v>Software &amp; Analytics</v>
      </c>
      <c r="E68" t="s">
        <v>58</v>
      </c>
      <c r="F68">
        <v>118506</v>
      </c>
      <c r="G68">
        <v>6435</v>
      </c>
      <c r="H68">
        <v>20178</v>
      </c>
      <c r="I68">
        <v>112071</v>
      </c>
      <c r="J68">
        <v>91893</v>
      </c>
      <c r="K68" t="s">
        <v>2473</v>
      </c>
    </row>
    <row r="69" spans="1:11">
      <c r="A69" t="s">
        <v>2541</v>
      </c>
      <c r="B69" t="s">
        <v>2122</v>
      </c>
      <c r="C69" t="s">
        <v>53</v>
      </c>
      <c r="D69" t="str">
        <f>SUBSTITUTE(SUBSTITUTE(TRIM(Table5[[#This Row],[BusinessUnit]]),"Software and Analytics","Software &amp; Analytics"),"Sensors and Instruments","Sensors &amp; Instruments")</f>
        <v>Software &amp; Analytics</v>
      </c>
      <c r="E69" t="s">
        <v>32</v>
      </c>
      <c r="F69">
        <v>45690</v>
      </c>
      <c r="G69">
        <v>2543</v>
      </c>
      <c r="H69">
        <v>8115</v>
      </c>
      <c r="I69">
        <v>43147</v>
      </c>
      <c r="J69">
        <v>35032</v>
      </c>
      <c r="K69" t="s">
        <v>2473</v>
      </c>
    </row>
    <row r="70" spans="1:11">
      <c r="A70" t="s">
        <v>2542</v>
      </c>
      <c r="B70" t="s">
        <v>2122</v>
      </c>
      <c r="C70" t="s">
        <v>82</v>
      </c>
      <c r="D70" t="str">
        <f>SUBSTITUTE(SUBSTITUTE(TRIM(Table5[[#This Row],[BusinessUnit]]),"Software and Analytics","Software &amp; Analytics"),"Sensors and Instruments","Sensors &amp; Instruments")</f>
        <v>Field Services</v>
      </c>
      <c r="E70" t="s">
        <v>23</v>
      </c>
      <c r="F70">
        <v>185798</v>
      </c>
      <c r="G70">
        <v>89361</v>
      </c>
      <c r="H70">
        <v>28432</v>
      </c>
      <c r="I70">
        <v>96437</v>
      </c>
      <c r="J70">
        <v>68005</v>
      </c>
      <c r="K70" t="s">
        <v>2473</v>
      </c>
    </row>
    <row r="71" spans="1:11">
      <c r="A71" t="s">
        <v>2543</v>
      </c>
      <c r="B71" t="s">
        <v>2122</v>
      </c>
      <c r="C71" t="s">
        <v>82</v>
      </c>
      <c r="D71" t="str">
        <f>SUBSTITUTE(SUBSTITUTE(TRIM(Table5[[#This Row],[BusinessUnit]]),"Software and Analytics","Software &amp; Analytics"),"Sensors and Instruments","Sensors &amp; Instruments")</f>
        <v>Field Services</v>
      </c>
      <c r="E71" t="s">
        <v>47</v>
      </c>
      <c r="F71">
        <v>118179</v>
      </c>
      <c r="G71">
        <v>55979</v>
      </c>
      <c r="H71">
        <v>18151</v>
      </c>
      <c r="I71">
        <v>62200</v>
      </c>
      <c r="J71">
        <v>44049</v>
      </c>
      <c r="K71" t="s">
        <v>2473</v>
      </c>
    </row>
    <row r="72" spans="1:11">
      <c r="A72" t="s">
        <v>2544</v>
      </c>
      <c r="B72" t="s">
        <v>2122</v>
      </c>
      <c r="C72" t="s">
        <v>82</v>
      </c>
      <c r="D72" t="str">
        <f>SUBSTITUTE(SUBSTITUTE(TRIM(Table5[[#This Row],[BusinessUnit]]),"Software and Analytics","Software &amp; Analytics"),"Sensors and Instruments","Sensors &amp; Instruments")</f>
        <v>Field Services</v>
      </c>
      <c r="E72" t="s">
        <v>58</v>
      </c>
      <c r="F72">
        <v>78826</v>
      </c>
      <c r="G72">
        <v>36795</v>
      </c>
      <c r="H72">
        <v>12543</v>
      </c>
      <c r="I72">
        <v>42031</v>
      </c>
      <c r="J72">
        <v>29488</v>
      </c>
      <c r="K72" t="s">
        <v>2473</v>
      </c>
    </row>
    <row r="73" spans="1:11">
      <c r="A73" t="s">
        <v>2545</v>
      </c>
      <c r="B73" t="s">
        <v>2122</v>
      </c>
      <c r="C73" t="s">
        <v>82</v>
      </c>
      <c r="D73" t="str">
        <f>SUBSTITUTE(SUBSTITUTE(TRIM(Table5[[#This Row],[BusinessUnit]]),"Software and Analytics","Software &amp; Analytics"),"Sensors and Instruments","Sensors &amp; Instruments")</f>
        <v>Field Services</v>
      </c>
      <c r="E73" t="s">
        <v>32</v>
      </c>
      <c r="F73">
        <v>38837</v>
      </c>
      <c r="G73">
        <v>18144</v>
      </c>
      <c r="H73">
        <v>5996</v>
      </c>
      <c r="I73">
        <v>20693</v>
      </c>
      <c r="J73">
        <v>14697</v>
      </c>
      <c r="K73" t="s">
        <v>2473</v>
      </c>
    </row>
    <row r="74" spans="1:11">
      <c r="A74" t="s">
        <v>2597</v>
      </c>
      <c r="F74">
        <f>SUBTOTAL(109,Table5[RevenueBudget])</f>
        <v>11524128</v>
      </c>
      <c r="G74">
        <f>SUBTOTAL(109,Table5[VariableCostBudget])</f>
        <v>3455918</v>
      </c>
      <c r="H74">
        <f>SUBTOTAL(109,Table5[FixedCostBudget])</f>
        <v>1652058</v>
      </c>
      <c r="I74">
        <f>SUBTOTAL(109,Table5[ContributionProfitTarget])</f>
        <v>8068210</v>
      </c>
      <c r="J74">
        <f>SUBTOTAL(109,Table5[OperatingProfitTarget])</f>
        <v>6416152</v>
      </c>
      <c r="K74">
        <f>SUBTOTAL(103,Table5[Version])</f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7173-172F-427B-8B58-BD2DE0BC8F0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59D9-8C2D-4A60-AC62-A27D867168A7}">
  <dimension ref="A1:H14"/>
  <sheetViews>
    <sheetView workbookViewId="0">
      <selection activeCell="O26" sqref="O26"/>
    </sheetView>
  </sheetViews>
  <sheetFormatPr defaultColWidth="9.140625" defaultRowHeight="15"/>
  <cols>
    <col min="1" max="8" width="11.28515625" customWidth="1"/>
  </cols>
  <sheetData>
    <row r="1" spans="1:8">
      <c r="A1" t="s">
        <v>2589</v>
      </c>
      <c r="B1" t="s">
        <v>2590</v>
      </c>
      <c r="C1" t="s">
        <v>2591</v>
      </c>
      <c r="D1" t="s">
        <v>2592</v>
      </c>
      <c r="E1" t="s">
        <v>2593</v>
      </c>
      <c r="F1" t="s">
        <v>2594</v>
      </c>
      <c r="G1" t="s">
        <v>2595</v>
      </c>
      <c r="H1" t="s">
        <v>2596</v>
      </c>
    </row>
    <row r="2" spans="1:8">
      <c r="A2" t="s">
        <v>8</v>
      </c>
      <c r="B2" t="s">
        <v>7</v>
      </c>
      <c r="C2" t="s">
        <v>2583</v>
      </c>
      <c r="D2" t="s">
        <v>2584</v>
      </c>
      <c r="E2" t="s">
        <v>2585</v>
      </c>
      <c r="F2" t="s">
        <v>2586</v>
      </c>
      <c r="G2" t="s">
        <v>2587</v>
      </c>
      <c r="H2" t="s">
        <v>2588</v>
      </c>
    </row>
    <row r="3" spans="1:8">
      <c r="A3" t="s">
        <v>24</v>
      </c>
      <c r="B3" t="s">
        <v>2118</v>
      </c>
      <c r="C3" t="s">
        <v>69</v>
      </c>
      <c r="D3" t="s">
        <v>23</v>
      </c>
      <c r="F3" t="s">
        <v>2546</v>
      </c>
      <c r="G3" t="s">
        <v>2547</v>
      </c>
      <c r="H3" t="s">
        <v>2548</v>
      </c>
    </row>
    <row r="4" spans="1:8">
      <c r="A4" t="s">
        <v>24</v>
      </c>
      <c r="B4" t="s">
        <v>2118</v>
      </c>
      <c r="C4" t="s">
        <v>47</v>
      </c>
      <c r="D4" t="s">
        <v>47</v>
      </c>
      <c r="E4" t="s">
        <v>2135</v>
      </c>
      <c r="F4" t="s">
        <v>2549</v>
      </c>
      <c r="G4" t="s">
        <v>2550</v>
      </c>
      <c r="H4" t="s">
        <v>2551</v>
      </c>
    </row>
    <row r="5" spans="1:8">
      <c r="A5" t="s">
        <v>24</v>
      </c>
      <c r="B5" t="s">
        <v>2118</v>
      </c>
      <c r="C5" t="s">
        <v>58</v>
      </c>
      <c r="D5" t="s">
        <v>58</v>
      </c>
      <c r="E5" t="s">
        <v>2141</v>
      </c>
      <c r="F5" t="s">
        <v>2552</v>
      </c>
      <c r="G5" t="s">
        <v>2553</v>
      </c>
      <c r="H5" t="s">
        <v>2554</v>
      </c>
    </row>
    <row r="6" spans="1:8">
      <c r="A6" t="s">
        <v>24</v>
      </c>
      <c r="B6" t="s">
        <v>2118</v>
      </c>
      <c r="C6" t="s">
        <v>33</v>
      </c>
      <c r="D6" t="s">
        <v>33</v>
      </c>
      <c r="E6" t="s">
        <v>2147</v>
      </c>
      <c r="F6" t="s">
        <v>2555</v>
      </c>
      <c r="G6" t="s">
        <v>2556</v>
      </c>
      <c r="H6" t="s">
        <v>2557</v>
      </c>
    </row>
    <row r="7" spans="1:8">
      <c r="A7" t="s">
        <v>53</v>
      </c>
      <c r="B7" t="s">
        <v>2115</v>
      </c>
      <c r="C7" t="s">
        <v>69</v>
      </c>
      <c r="D7" t="s">
        <v>23</v>
      </c>
      <c r="F7" t="s">
        <v>2558</v>
      </c>
      <c r="G7" t="s">
        <v>2559</v>
      </c>
      <c r="H7" t="s">
        <v>2560</v>
      </c>
    </row>
    <row r="8" spans="1:8">
      <c r="A8" t="s">
        <v>53</v>
      </c>
      <c r="B8" t="s">
        <v>2115</v>
      </c>
      <c r="C8" t="s">
        <v>47</v>
      </c>
      <c r="D8" t="s">
        <v>47</v>
      </c>
      <c r="E8" t="s">
        <v>2135</v>
      </c>
      <c r="F8" t="s">
        <v>2561</v>
      </c>
      <c r="G8" t="s">
        <v>2562</v>
      </c>
      <c r="H8" t="s">
        <v>2563</v>
      </c>
    </row>
    <row r="9" spans="1:8">
      <c r="A9" t="s">
        <v>53</v>
      </c>
      <c r="B9" t="s">
        <v>2115</v>
      </c>
      <c r="C9" t="s">
        <v>58</v>
      </c>
      <c r="D9" t="s">
        <v>58</v>
      </c>
      <c r="E9" t="s">
        <v>2141</v>
      </c>
      <c r="F9" t="s">
        <v>2564</v>
      </c>
      <c r="G9" t="s">
        <v>2565</v>
      </c>
      <c r="H9" t="s">
        <v>2566</v>
      </c>
    </row>
    <row r="10" spans="1:8">
      <c r="A10" t="s">
        <v>53</v>
      </c>
      <c r="B10" t="s">
        <v>2115</v>
      </c>
      <c r="C10" t="s">
        <v>33</v>
      </c>
      <c r="D10" t="s">
        <v>33</v>
      </c>
      <c r="E10" t="s">
        <v>2147</v>
      </c>
      <c r="F10" t="s">
        <v>2567</v>
      </c>
      <c r="G10" t="s">
        <v>2568</v>
      </c>
      <c r="H10" t="s">
        <v>2569</v>
      </c>
    </row>
    <row r="11" spans="1:8">
      <c r="A11" t="s">
        <v>82</v>
      </c>
      <c r="B11" t="s">
        <v>2239</v>
      </c>
      <c r="C11" t="s">
        <v>69</v>
      </c>
      <c r="D11" t="s">
        <v>23</v>
      </c>
      <c r="F11" t="s">
        <v>2570</v>
      </c>
      <c r="G11" t="s">
        <v>2571</v>
      </c>
      <c r="H11" t="s">
        <v>2572</v>
      </c>
    </row>
    <row r="12" spans="1:8">
      <c r="A12" t="s">
        <v>82</v>
      </c>
      <c r="B12" t="s">
        <v>2239</v>
      </c>
      <c r="C12" t="s">
        <v>47</v>
      </c>
      <c r="D12" t="s">
        <v>47</v>
      </c>
      <c r="E12" t="s">
        <v>2135</v>
      </c>
      <c r="F12" t="s">
        <v>2573</v>
      </c>
      <c r="G12" t="s">
        <v>2574</v>
      </c>
      <c r="H12" t="s">
        <v>2575</v>
      </c>
    </row>
    <row r="13" spans="1:8">
      <c r="A13" t="s">
        <v>82</v>
      </c>
      <c r="B13" t="s">
        <v>2239</v>
      </c>
      <c r="C13" t="s">
        <v>58</v>
      </c>
      <c r="D13" t="s">
        <v>58</v>
      </c>
      <c r="E13" t="s">
        <v>2141</v>
      </c>
      <c r="F13" t="s">
        <v>2576</v>
      </c>
      <c r="G13" t="s">
        <v>2577</v>
      </c>
      <c r="H13" t="s">
        <v>2578</v>
      </c>
    </row>
    <row r="14" spans="1:8">
      <c r="A14" t="s">
        <v>82</v>
      </c>
      <c r="B14" t="s">
        <v>2239</v>
      </c>
      <c r="C14" t="s">
        <v>33</v>
      </c>
      <c r="D14" t="s">
        <v>33</v>
      </c>
      <c r="E14" t="s">
        <v>2147</v>
      </c>
      <c r="F14" t="s">
        <v>2579</v>
      </c>
      <c r="G14" t="s">
        <v>2580</v>
      </c>
      <c r="H14" t="s">
        <v>2581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19AB-0C30-4694-BC3C-717F09256335}">
  <dimension ref="A1:C19"/>
  <sheetViews>
    <sheetView workbookViewId="0">
      <selection sqref="A1:C19"/>
    </sheetView>
  </sheetViews>
  <sheetFormatPr defaultColWidth="9.140625" defaultRowHeight="15"/>
  <cols>
    <col min="2" max="2" width="11.42578125" customWidth="1"/>
    <col min="3" max="3" width="13.28515625" customWidth="1"/>
  </cols>
  <sheetData>
    <row r="1" spans="1:3">
      <c r="A1" t="s">
        <v>2103</v>
      </c>
      <c r="B1" t="s">
        <v>17</v>
      </c>
      <c r="C1" t="s">
        <v>2582</v>
      </c>
    </row>
    <row r="2" spans="1:3">
      <c r="A2" t="s">
        <v>2112</v>
      </c>
      <c r="B2" t="s">
        <v>26</v>
      </c>
      <c r="C2">
        <v>1</v>
      </c>
    </row>
    <row r="3" spans="1:3">
      <c r="A3" t="s">
        <v>2112</v>
      </c>
      <c r="B3" t="s">
        <v>113</v>
      </c>
      <c r="C3">
        <v>1.0827</v>
      </c>
    </row>
    <row r="4" spans="1:3">
      <c r="A4" t="s">
        <v>2112</v>
      </c>
      <c r="B4" t="s">
        <v>126</v>
      </c>
      <c r="C4">
        <v>1.3004</v>
      </c>
    </row>
    <row r="5" spans="1:3">
      <c r="A5" t="s">
        <v>2117</v>
      </c>
      <c r="B5" t="s">
        <v>26</v>
      </c>
      <c r="C5">
        <v>1</v>
      </c>
    </row>
    <row r="6" spans="1:3">
      <c r="A6" t="s">
        <v>2117</v>
      </c>
      <c r="B6" t="s">
        <v>113</v>
      </c>
      <c r="C6">
        <v>1.1053999999999999</v>
      </c>
    </row>
    <row r="7" spans="1:3">
      <c r="A7" t="s">
        <v>2117</v>
      </c>
      <c r="B7" t="s">
        <v>126</v>
      </c>
      <c r="C7">
        <v>1.3131999999999999</v>
      </c>
    </row>
    <row r="8" spans="1:3">
      <c r="A8" t="s">
        <v>2170</v>
      </c>
      <c r="B8" t="s">
        <v>26</v>
      </c>
      <c r="C8">
        <v>1</v>
      </c>
    </row>
    <row r="9" spans="1:3">
      <c r="A9" t="s">
        <v>2170</v>
      </c>
      <c r="B9" t="s">
        <v>113</v>
      </c>
      <c r="C9">
        <v>1.1037999999999999</v>
      </c>
    </row>
    <row r="10" spans="1:3">
      <c r="A10" t="s">
        <v>2170</v>
      </c>
      <c r="B10" t="s">
        <v>126</v>
      </c>
      <c r="C10">
        <v>1.2807999999999999</v>
      </c>
    </row>
    <row r="11" spans="1:3">
      <c r="A11" t="s">
        <v>2120</v>
      </c>
      <c r="B11" t="s">
        <v>26</v>
      </c>
      <c r="C11">
        <v>1</v>
      </c>
    </row>
    <row r="12" spans="1:3">
      <c r="A12" t="s">
        <v>2120</v>
      </c>
      <c r="B12" t="s">
        <v>113</v>
      </c>
      <c r="C12">
        <v>1.083</v>
      </c>
    </row>
    <row r="13" spans="1:3">
      <c r="A13" t="s">
        <v>2120</v>
      </c>
      <c r="B13" t="s">
        <v>126</v>
      </c>
      <c r="C13">
        <v>1.3030999999999999</v>
      </c>
    </row>
    <row r="14" spans="1:3">
      <c r="A14" t="s">
        <v>2206</v>
      </c>
      <c r="B14" t="s">
        <v>26</v>
      </c>
      <c r="C14">
        <v>1</v>
      </c>
    </row>
    <row r="15" spans="1:3">
      <c r="A15" t="s">
        <v>2206</v>
      </c>
      <c r="B15" t="s">
        <v>113</v>
      </c>
      <c r="C15">
        <v>1.0906</v>
      </c>
    </row>
    <row r="16" spans="1:3">
      <c r="A16" t="s">
        <v>2206</v>
      </c>
      <c r="B16" t="s">
        <v>126</v>
      </c>
      <c r="C16">
        <v>1.3070999999999999</v>
      </c>
    </row>
    <row r="17" spans="1:3">
      <c r="A17" t="s">
        <v>2122</v>
      </c>
      <c r="B17" t="s">
        <v>26</v>
      </c>
      <c r="C17">
        <v>1</v>
      </c>
    </row>
    <row r="18" spans="1:3">
      <c r="A18" t="s">
        <v>2122</v>
      </c>
      <c r="B18" t="s">
        <v>113</v>
      </c>
      <c r="C18">
        <v>1.1126</v>
      </c>
    </row>
    <row r="19" spans="1:3">
      <c r="A19" t="s">
        <v>2122</v>
      </c>
      <c r="B19" t="s">
        <v>126</v>
      </c>
      <c r="C19">
        <v>1.2746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CC26-5B03-4E72-BA60-C7884816054C}">
  <dimension ref="A1:BJ88"/>
  <sheetViews>
    <sheetView topLeftCell="AQ1" zoomScaleNormal="100" workbookViewId="0">
      <selection activeCell="BD2" sqref="BD2"/>
    </sheetView>
  </sheetViews>
  <sheetFormatPr defaultColWidth="9.140625" defaultRowHeight="15"/>
  <cols>
    <col min="1" max="1" width="12.140625" customWidth="1"/>
    <col min="2" max="2" width="14.28515625" bestFit="1" customWidth="1"/>
    <col min="3" max="3" width="17" customWidth="1"/>
    <col min="4" max="4" width="15.140625" customWidth="1"/>
    <col min="5" max="5" width="13.85546875" customWidth="1"/>
    <col min="6" max="6" width="15.28515625" customWidth="1"/>
    <col min="7" max="8" width="10.7109375" bestFit="1" customWidth="1"/>
    <col min="9" max="9" width="10.5703125" bestFit="1" customWidth="1"/>
    <col min="12" max="12" width="16.28515625" bestFit="1" customWidth="1"/>
    <col min="13" max="13" width="14.28515625" bestFit="1" customWidth="1"/>
    <col min="14" max="19" width="10" bestFit="1" customWidth="1"/>
    <col min="22" max="22" width="16.28515625" bestFit="1" customWidth="1"/>
    <col min="23" max="23" width="16.7109375" bestFit="1" customWidth="1"/>
    <col min="24" max="24" width="13.140625" bestFit="1" customWidth="1"/>
    <col min="25" max="25" width="13.42578125" bestFit="1" customWidth="1"/>
    <col min="26" max="26" width="13.140625" bestFit="1" customWidth="1"/>
    <col min="27" max="27" width="13" bestFit="1" customWidth="1"/>
    <col min="28" max="28" width="16.7109375" bestFit="1" customWidth="1"/>
    <col min="29" max="29" width="21.28515625" customWidth="1"/>
    <col min="30" max="30" width="23.5703125" bestFit="1" customWidth="1"/>
    <col min="31" max="31" width="24.140625" customWidth="1"/>
    <col min="32" max="32" width="28.140625" customWidth="1"/>
    <col min="33" max="33" width="14.7109375" customWidth="1"/>
    <col min="34" max="34" width="16.7109375" customWidth="1"/>
    <col min="35" max="35" width="14.85546875" bestFit="1" customWidth="1"/>
    <col min="36" max="42" width="13.28515625" customWidth="1"/>
    <col min="43" max="43" width="11" customWidth="1"/>
    <col min="44" max="44" width="14.28515625" bestFit="1" customWidth="1"/>
    <col min="46" max="46" width="13.42578125" bestFit="1" customWidth="1"/>
    <col min="47" max="47" width="13.140625" bestFit="1" customWidth="1"/>
    <col min="48" max="48" width="13" bestFit="1" customWidth="1"/>
    <col min="49" max="49" width="13.5703125" bestFit="1" customWidth="1"/>
    <col min="50" max="50" width="13.140625" bestFit="1" customWidth="1"/>
    <col min="51" max="53" width="14.140625" customWidth="1"/>
    <col min="54" max="54" width="14.7109375" customWidth="1"/>
    <col min="55" max="55" width="16.7109375" bestFit="1" customWidth="1"/>
    <col min="56" max="56" width="13.140625" bestFit="1" customWidth="1"/>
    <col min="57" max="57" width="13.42578125" bestFit="1" customWidth="1"/>
    <col min="58" max="58" width="13.140625" bestFit="1" customWidth="1"/>
    <col min="59" max="59" width="13" bestFit="1" customWidth="1"/>
    <col min="60" max="60" width="13.5703125" bestFit="1" customWidth="1"/>
    <col min="61" max="61" width="13.140625" bestFit="1" customWidth="1"/>
    <col min="62" max="62" width="13.7109375" customWidth="1"/>
  </cols>
  <sheetData>
    <row r="1" spans="1:62">
      <c r="A1" t="s">
        <v>4</v>
      </c>
      <c r="B1" t="s">
        <v>7</v>
      </c>
      <c r="C1" s="1" t="s">
        <v>2639</v>
      </c>
      <c r="D1" s="1" t="s">
        <v>2640</v>
      </c>
      <c r="E1" s="1" t="s">
        <v>2641</v>
      </c>
      <c r="F1" s="1" t="s">
        <v>2642</v>
      </c>
      <c r="G1" s="1" t="s">
        <v>2643</v>
      </c>
      <c r="H1" s="1" t="s">
        <v>2644</v>
      </c>
      <c r="I1" t="s">
        <v>2655</v>
      </c>
      <c r="L1" t="s">
        <v>4</v>
      </c>
      <c r="M1" t="s">
        <v>7</v>
      </c>
      <c r="N1" s="42" t="s">
        <v>2112</v>
      </c>
      <c r="O1" s="1" t="s">
        <v>2117</v>
      </c>
      <c r="P1" s="1" t="s">
        <v>2170</v>
      </c>
      <c r="Q1" s="1" t="s">
        <v>2120</v>
      </c>
      <c r="R1" s="1" t="s">
        <v>2206</v>
      </c>
      <c r="S1" s="1" t="s">
        <v>2122</v>
      </c>
      <c r="V1" t="s">
        <v>4</v>
      </c>
      <c r="W1" t="s">
        <v>7</v>
      </c>
      <c r="X1" s="40" t="s">
        <v>2633</v>
      </c>
      <c r="Y1" s="40" t="s">
        <v>2634</v>
      </c>
      <c r="Z1" s="40" t="s">
        <v>2635</v>
      </c>
      <c r="AA1" s="40" t="s">
        <v>2636</v>
      </c>
      <c r="AB1" s="40" t="s">
        <v>2637</v>
      </c>
      <c r="AC1" s="40" t="s">
        <v>2638</v>
      </c>
      <c r="AD1" t="s">
        <v>2654</v>
      </c>
      <c r="AG1" t="s">
        <v>4</v>
      </c>
      <c r="AH1" t="s">
        <v>7</v>
      </c>
      <c r="AI1" s="42" t="s">
        <v>2112</v>
      </c>
      <c r="AJ1" s="1" t="s">
        <v>2117</v>
      </c>
      <c r="AK1" s="1" t="s">
        <v>2170</v>
      </c>
      <c r="AL1" s="1" t="s">
        <v>2120</v>
      </c>
      <c r="AM1" s="1" t="s">
        <v>2206</v>
      </c>
      <c r="AN1" s="1" t="s">
        <v>2122</v>
      </c>
      <c r="AO1" s="1"/>
      <c r="AP1" s="1"/>
      <c r="AQ1" t="s">
        <v>4</v>
      </c>
      <c r="AR1" t="s">
        <v>7</v>
      </c>
      <c r="AS1" s="40" t="s">
        <v>2633</v>
      </c>
      <c r="AT1" s="40" t="s">
        <v>2634</v>
      </c>
      <c r="AU1" s="40" t="s">
        <v>2635</v>
      </c>
      <c r="AV1" s="40" t="s">
        <v>2636</v>
      </c>
      <c r="AW1" s="40" t="s">
        <v>2637</v>
      </c>
      <c r="AX1" s="40" t="s">
        <v>2638</v>
      </c>
      <c r="AY1" t="s">
        <v>2657</v>
      </c>
      <c r="BB1" t="s">
        <v>4</v>
      </c>
      <c r="BC1" t="s">
        <v>7</v>
      </c>
      <c r="BD1" s="40" t="s">
        <v>2633</v>
      </c>
      <c r="BE1" s="40" t="s">
        <v>2634</v>
      </c>
      <c r="BF1" s="40" t="s">
        <v>2635</v>
      </c>
      <c r="BG1" s="40" t="s">
        <v>2636</v>
      </c>
      <c r="BH1" s="40" t="s">
        <v>2637</v>
      </c>
      <c r="BI1" s="40" t="s">
        <v>2638</v>
      </c>
      <c r="BJ1" t="s">
        <v>2651</v>
      </c>
    </row>
    <row r="2" spans="1:62">
      <c r="A2" t="s">
        <v>133</v>
      </c>
      <c r="B2" t="s">
        <v>23</v>
      </c>
      <c r="C2">
        <f>SUMIFS(Table1[Quantity],Table1[ProductID],Table33[[#This Row],[ProductID]],Table1[RegionClean_],Table33[[#This Row],[Region]],Table1[TransactionDate_Clean],"&gt;"&amp;EOMONTH($C$1,-1),Table1[TransactionDate_Clean],"&lt;="&amp;EOMONTH($C$1,0))</f>
        <v>3</v>
      </c>
      <c r="D2">
        <f>SUMIFS(Table1[Quantity],Table1[ProductID],Table33[[#This Row],[ProductID]],Table1[RegionClean_],Table33[[#This Row],[Region]],Table1[TransactionDate_Clean],"&gt;"&amp;EOMONTH($D$1,-1),Table1[TransactionDate_Clean],"&lt;="&amp;EOMONTH($D$1,0))</f>
        <v>4</v>
      </c>
      <c r="E2">
        <f>SUMIFS(Table1[Quantity],Table1[ProductID],Table33[[#This Row],[ProductID]],Table1[RegionClean_],Table33[[#This Row],[Region]],Table1[TransactionDate_Clean],"&gt;"&amp;EOMONTH($E$1,-1),Table1[TransactionDate_Clean],"&lt;="&amp;EOMONTH($E$1,0))</f>
        <v>6</v>
      </c>
      <c r="F2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2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2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2">
        <f>SUM(Table33[[#This Row],[1/1/2025]:[6/1/2025]])</f>
        <v>18</v>
      </c>
      <c r="L2" t="s">
        <v>133</v>
      </c>
      <c r="M2" t="s">
        <v>23</v>
      </c>
      <c r="N2">
        <f>SUMIFS(Table4[ActualCost_Clean],Table4[ProductID_Clean],Product_Month_Actual_Variable_Cost[[#This Row],[ProductID]],Table4[Period_Clean],Product_Month_Actual_Variable_Cost[[#Headers],[2025-01]],Table4[CostType],"Variable")</f>
        <v>1126.25</v>
      </c>
      <c r="O2">
        <f>SUMIFS(Table4[ActualCost_Clean],Table4[ProductID_Clean],Product_Month_Actual_Variable_Cost[[#This Row],[ProductID]],Table4[Period_Clean],Product_Month_Actual_Variable_Cost[[#Headers],[2025-02]],Table4[CostType],"Variable")</f>
        <v>1124.28</v>
      </c>
      <c r="P2">
        <f>SUMIFS(Table4[ActualCost_Clean],Table4[ProductID_Clean],Product_Month_Actual_Variable_Cost[[#This Row],[ProductID]],Table4[Period_Clean],Product_Month_Actual_Variable_Cost[[#Headers],[2025-03]],Table4[CostType],"Variable")</f>
        <v>1108.08</v>
      </c>
      <c r="Q2">
        <f>SUMIFS(Table4[ActualCost_Clean],Table4[ProductID_Clean],Product_Month_Actual_Variable_Cost[[#This Row],[ProductID]],Table4[Period_Clean],Product_Month_Actual_Variable_Cost[[#Headers],[2025-04]],Table4[CostType],"Variable")</f>
        <v>1123.73</v>
      </c>
      <c r="R2">
        <f>SUMIFS(Table4[ActualCost_Clean],Table4[ProductID_Clean],Product_Month_Actual_Variable_Cost[[#This Row],[ProductID]],Table4[Period_Clean],Product_Month_Actual_Variable_Cost[[#Headers],[2025-05]],Table4[CostType],"Variable")</f>
        <v>1153.56</v>
      </c>
      <c r="S2">
        <f>SUMIFS(Table4[ActualCost_Clean],Table4[ProductID_Clean],Product_Month_Actual_Variable_Cost[[#This Row],[ProductID]],Table4[Period_Clean],Product_Month_Actual_Variable_Cost[[#Headers],[2025-06]],Table4[CostType],"Variable")</f>
        <v>1118.05</v>
      </c>
      <c r="V2" t="s">
        <v>133</v>
      </c>
      <c r="W2" t="s">
        <v>23</v>
      </c>
      <c r="X2">
        <f>Table33[[#This Row],[1/1/2025]]*Product_Month_Actual_Variable_Cost[[#This Row],[2025-01]]</f>
        <v>3378.75</v>
      </c>
      <c r="Y2">
        <f>Table33[[#This Row],[2/1/2025]]*Product_Month_Actual_Variable_Cost[[#This Row],[2025-02]]</f>
        <v>4497.12</v>
      </c>
      <c r="Z2">
        <f>Table33[[#This Row],[3/1/2025]]*Product_Month_Actual_Variable_Cost[[#This Row],[2025-03]]</f>
        <v>6648.48</v>
      </c>
      <c r="AA2">
        <f>Table33[[#This Row],[4/1/2025]]*Product_Month_Actual_Variable_Cost[[#This Row],[2025-04]]</f>
        <v>2247.46</v>
      </c>
      <c r="AB2">
        <f>Table33[[#This Row],[5/1/2025]]*Product_Month_Actual_Variable_Cost[[#This Row],[2025-05]]</f>
        <v>1153.56</v>
      </c>
      <c r="AC2">
        <f>Table33[[#This Row],[6/1/2025]]*Product_Month_Actual_Variable_Cost[[#This Row],[2025-06]]</f>
        <v>2236.1</v>
      </c>
      <c r="AD2">
        <f>SUM(Product_Region_Monthly_Variable_Cost[[#This Row],[25-Jan]:[25-Jun]])</f>
        <v>20161.469999999998</v>
      </c>
      <c r="AG2" t="s">
        <v>133</v>
      </c>
      <c r="AH2" t="s">
        <v>23</v>
      </c>
      <c r="AI2">
        <f>SUMIFS(Table4[ActualCost_Clean],Table4[ProductID_Clean],Product_Month_Actual_Fixed_Cost[[#This Row],[ProductID]],Table4[Period_Clean],Product_Month_Actual_Variable_Cost[[#Headers],[2025-01]],Table4[CostType],"Fixed")</f>
        <v>217.99</v>
      </c>
      <c r="AJ2">
        <f>SUMIFS(Table4[ActualCost_Clean],Table4[ProductID_Clean],Product_Month_Actual_Fixed_Cost[[#This Row],[ProductID]],Table4[Period_Clean],Product_Month_Actual_Variable_Cost[[#Headers],[2025-02]],Table4[CostType],"Fixed")</f>
        <v>211.2</v>
      </c>
      <c r="AK2">
        <f>SUMIFS(Table4[ActualCost_Clean],Table4[ProductID_Clean],Product_Month_Actual_Fixed_Cost[[#This Row],[ProductID]],Table4[Period_Clean],Product_Month_Actual_Variable_Cost[[#Headers],[2025-03]],Table4[CostType],"Fixed")</f>
        <v>224.06</v>
      </c>
      <c r="AL2">
        <f>SUMIFS(Table4[ActualCost_Clean],Table4[ProductID_Clean],Product_Month_Actual_Fixed_Cost[[#This Row],[ProductID]],Table4[Period_Clean],Product_Month_Actual_Variable_Cost[[#Headers],[2025-04]],Table4[CostType],"Fixed")</f>
        <v>220.46</v>
      </c>
      <c r="AM2">
        <f>SUMIFS(Table4[ActualCost_Clean],Table4[ProductID_Clean],Product_Month_Actual_Fixed_Cost[[#This Row],[ProductID]],Table4[Period_Clean],Product_Month_Actual_Variable_Cost[[#Headers],[2025-05]],Table4[CostType],"Fixed")</f>
        <v>213.28</v>
      </c>
      <c r="AN2">
        <f>SUMIFS(Table4[ActualCost_Clean],Table4[ProductID_Clean],Product_Month_Actual_Fixed_Cost[[#This Row],[ProductID]],Table4[Period_Clean],Product_Month_Actual_Variable_Cost[[#Headers],[2025-06]],Table4[CostType],"Fixed")</f>
        <v>213.4</v>
      </c>
      <c r="AQ2" t="s">
        <v>133</v>
      </c>
      <c r="AR2" t="s">
        <v>23</v>
      </c>
      <c r="AS2">
        <f>Product_Month_Actual_Fixed_Cost[[#This Row],[2025-01]]*Table33[[#This Row],[1/1/2025]]</f>
        <v>653.97</v>
      </c>
      <c r="AT2">
        <f>Product_Month_Actual_Fixed_Cost[[#This Row],[2025-02]]*Table33[[#This Row],[2/1/2025]]</f>
        <v>844.8</v>
      </c>
      <c r="AU2">
        <f>Product_Month_Actual_Fixed_Cost[[#This Row],[2025-03]]*Table33[[#This Row],[3/1/2025]]</f>
        <v>1344.3600000000001</v>
      </c>
      <c r="AV2">
        <f>Product_Month_Actual_Fixed_Cost[[#This Row],[2025-04]]*Table33[[#This Row],[4/1/2025]]</f>
        <v>440.92</v>
      </c>
      <c r="AW2">
        <f>Product_Month_Actual_Fixed_Cost[[#This Row],[2025-05]]*Table33[[#This Row],[5/1/2025]]</f>
        <v>213.28</v>
      </c>
      <c r="AX2">
        <f>Product_Month_Actual_Fixed_Cost[[#This Row],[2025-06]]*Table33[[#This Row],[6/1/2025]]</f>
        <v>426.8</v>
      </c>
      <c r="AY2">
        <f>SUM(Product_Region_Monthly_Fixed_Cost[[#This Row],[25-Jan]:[25-Jun]])</f>
        <v>3924.1300000000006</v>
      </c>
      <c r="BB2" t="s">
        <v>133</v>
      </c>
      <c r="BC2" t="s">
        <v>23</v>
      </c>
      <c r="BD2">
        <f>Product_Region_Monthly_Fixed_Cost[[#This Row],[25-Jan]]+Product_Region_Monthly_Variable_Cost[[#This Row],[25-Jan]]</f>
        <v>4032.7200000000003</v>
      </c>
      <c r="BE2">
        <f>Product_Region_Monthly_Fixed_Cost[[#This Row],[25-Feb]]+Product_Region_Monthly_Variable_Cost[[#This Row],[25-Feb]]</f>
        <v>5341.92</v>
      </c>
      <c r="BF2">
        <f>Product_Region_Monthly_Fixed_Cost[[#This Row],[25-Mar]]+Product_Region_Monthly_Variable_Cost[[#This Row],[25-Mar]]</f>
        <v>7992.84</v>
      </c>
      <c r="BG2">
        <f>Product_Region_Monthly_Fixed_Cost[[#This Row],[25-Apr]]+Product_Region_Monthly_Variable_Cost[[#This Row],[25-Apr]]</f>
        <v>2688.38</v>
      </c>
      <c r="BH2">
        <f>Product_Region_Monthly_Fixed_Cost[[#This Row],[25-May]]+Product_Region_Monthly_Variable_Cost[[#This Row],[25-May]]</f>
        <v>1366.84</v>
      </c>
      <c r="BI2">
        <f>Product_Region_Monthly_Fixed_Cost[[#This Row],[25-Jun]]+Product_Region_Monthly_Variable_Cost[[#This Row],[25-Jun]]</f>
        <v>2662.9</v>
      </c>
      <c r="BJ2">
        <f>Product_Region_Monthly_Fixed_Cost[[#This Row],[H1 Fixed Cost]]+Product_Region_Monthly_Variable_Cost[[#This Row],[H1 Variable Cost]]</f>
        <v>24085.599999999999</v>
      </c>
    </row>
    <row r="3" spans="1:62">
      <c r="A3" t="s">
        <v>133</v>
      </c>
      <c r="B3" t="s">
        <v>47</v>
      </c>
      <c r="C3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3">
        <f>SUMIFS(Table1[Quantity],Table1[ProductID],Table33[[#This Row],[ProductID]],Table1[RegionClean_],Table33[[#This Row],[Region]],Table1[TransactionDate_Clean],"&gt;"&amp;EOMONTH($D$1,-1),Table1[TransactionDate_Clean],"&lt;="&amp;EOMONTH($D$1,0))</f>
        <v>3</v>
      </c>
      <c r="E3">
        <f>SUMIFS(Table1[Quantity],Table1[ProductID],Table33[[#This Row],[ProductID]],Table1[RegionClean_],Table33[[#This Row],[Region]],Table1[TransactionDate_Clean],"&gt;"&amp;EOMONTH($E$1,-1),Table1[TransactionDate_Clean],"&lt;="&amp;EOMONTH($E$1,0))</f>
        <v>2</v>
      </c>
      <c r="F3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3">
        <f>SUMIFS(Table1[Quantity],Table1[ProductID],Table33[[#This Row],[ProductID]],Table1[RegionClean_],Table33[[#This Row],[Region]],Table1[TransactionDate_Clean],"&gt;"&amp;EOMONTH($G$1,-1),Table1[TransactionDate_Clean],"&lt;="&amp;EOMONTH($G$1,0))</f>
        <v>4</v>
      </c>
      <c r="H3">
        <f>SUMIFS(Table1[Quantity],Table1[ProductID],Table33[[#This Row],[ProductID]],Table1[RegionClean_],Table33[[#This Row],[Region]],Table1[TransactionDate_Clean],"&gt;"&amp;EOMONTH($H$1,-1),Table1[TransactionDate_Clean],"&lt;="&amp;EOMONTH($H$1,0))</f>
        <v>4</v>
      </c>
      <c r="I3">
        <f>SUM(Table33[[#This Row],[1/1/2025]:[6/1/2025]])</f>
        <v>16</v>
      </c>
      <c r="L3" t="s">
        <v>133</v>
      </c>
      <c r="M3" t="s">
        <v>47</v>
      </c>
      <c r="N3">
        <f>SUMIFS(Table4[ActualCost_Clean],Table4[ProductID_Clean],Product_Month_Actual_Variable_Cost[[#This Row],[ProductID]],Table4[Period_Clean],Product_Month_Actual_Variable_Cost[[#Headers],[2025-01]],Table4[CostType],"Variable")</f>
        <v>1126.25</v>
      </c>
      <c r="O3">
        <f>SUMIFS(Table4[ActualCost_Clean],Table4[ProductID_Clean],Product_Month_Actual_Variable_Cost[[#This Row],[ProductID]],Table4[Period_Clean],Product_Month_Actual_Variable_Cost[[#Headers],[2025-02]],Table4[CostType],"Variable")</f>
        <v>1124.28</v>
      </c>
      <c r="P3">
        <f>SUMIFS(Table4[ActualCost_Clean],Table4[ProductID_Clean],Product_Month_Actual_Variable_Cost[[#This Row],[ProductID]],Table4[Period_Clean],Product_Month_Actual_Variable_Cost[[#Headers],[2025-03]],Table4[CostType],"Variable")</f>
        <v>1108.08</v>
      </c>
      <c r="Q3">
        <f>SUMIFS(Table4[ActualCost_Clean],Table4[ProductID_Clean],Product_Month_Actual_Variable_Cost[[#This Row],[ProductID]],Table4[Period_Clean],Product_Month_Actual_Variable_Cost[[#Headers],[2025-04]],Table4[CostType],"Variable")</f>
        <v>1123.73</v>
      </c>
      <c r="R3">
        <f>SUMIFS(Table4[ActualCost_Clean],Table4[ProductID_Clean],Product_Month_Actual_Variable_Cost[[#This Row],[ProductID]],Table4[Period_Clean],Product_Month_Actual_Variable_Cost[[#Headers],[2025-05]],Table4[CostType],"Variable")</f>
        <v>1153.56</v>
      </c>
      <c r="S3">
        <f>SUMIFS(Table4[ActualCost_Clean],Table4[ProductID_Clean],Product_Month_Actual_Variable_Cost[[#This Row],[ProductID]],Table4[Period_Clean],Product_Month_Actual_Variable_Cost[[#Headers],[2025-06]],Table4[CostType],"Variable")</f>
        <v>1118.05</v>
      </c>
      <c r="V3" t="s">
        <v>133</v>
      </c>
      <c r="W3" t="s">
        <v>47</v>
      </c>
      <c r="X3">
        <f>Table33[[#This Row],[1/1/2025]]*Product_Month_Actual_Variable_Cost[[#This Row],[2025-01]]</f>
        <v>1126.25</v>
      </c>
      <c r="Y3">
        <f>Table33[[#This Row],[2/1/2025]]*Product_Month_Actual_Variable_Cost[[#This Row],[2025-02]]</f>
        <v>3372.84</v>
      </c>
      <c r="Z3">
        <f>Table33[[#This Row],[3/1/2025]]*Product_Month_Actual_Variable_Cost[[#This Row],[2025-03]]</f>
        <v>2216.16</v>
      </c>
      <c r="AA3">
        <f>Table33[[#This Row],[4/1/2025]]*Product_Month_Actual_Variable_Cost[[#This Row],[2025-04]]</f>
        <v>2247.46</v>
      </c>
      <c r="AB3">
        <f>Table33[[#This Row],[5/1/2025]]*Product_Month_Actual_Variable_Cost[[#This Row],[2025-05]]</f>
        <v>4614.24</v>
      </c>
      <c r="AC3">
        <f>Table33[[#This Row],[6/1/2025]]*Product_Month_Actual_Variable_Cost[[#This Row],[2025-06]]</f>
        <v>4472.2</v>
      </c>
      <c r="AD3">
        <f>SUM(Product_Region_Monthly_Variable_Cost[[#This Row],[25-Jan]:[25-Jun]])</f>
        <v>18049.149999999998</v>
      </c>
      <c r="AG3" t="s">
        <v>133</v>
      </c>
      <c r="AH3" t="s">
        <v>47</v>
      </c>
      <c r="AI3">
        <f>SUMIFS(Table4[ActualCost_Clean],Table4[ProductID_Clean],Product_Month_Actual_Fixed_Cost[[#This Row],[ProductID]],Table4[Period_Clean],Product_Month_Actual_Variable_Cost[[#Headers],[2025-01]],Table4[CostType],"Fixed")</f>
        <v>217.99</v>
      </c>
      <c r="AJ3">
        <f>SUMIFS(Table4[ActualCost_Clean],Table4[ProductID_Clean],Product_Month_Actual_Fixed_Cost[[#This Row],[ProductID]],Table4[Period_Clean],Product_Month_Actual_Variable_Cost[[#Headers],[2025-02]],Table4[CostType],"Fixed")</f>
        <v>211.2</v>
      </c>
      <c r="AK3">
        <f>SUMIFS(Table4[ActualCost_Clean],Table4[ProductID_Clean],Product_Month_Actual_Fixed_Cost[[#This Row],[ProductID]],Table4[Period_Clean],Product_Month_Actual_Variable_Cost[[#Headers],[2025-03]],Table4[CostType],"Fixed")</f>
        <v>224.06</v>
      </c>
      <c r="AL3">
        <f>SUMIFS(Table4[ActualCost_Clean],Table4[ProductID_Clean],Product_Month_Actual_Fixed_Cost[[#This Row],[ProductID]],Table4[Period_Clean],Product_Month_Actual_Variable_Cost[[#Headers],[2025-04]],Table4[CostType],"Fixed")</f>
        <v>220.46</v>
      </c>
      <c r="AM3">
        <f>SUMIFS(Table4[ActualCost_Clean],Table4[ProductID_Clean],Product_Month_Actual_Fixed_Cost[[#This Row],[ProductID]],Table4[Period_Clean],Product_Month_Actual_Variable_Cost[[#Headers],[2025-05]],Table4[CostType],"Fixed")</f>
        <v>213.28</v>
      </c>
      <c r="AN3">
        <f>SUMIFS(Table4[ActualCost_Clean],Table4[ProductID_Clean],Product_Month_Actual_Fixed_Cost[[#This Row],[ProductID]],Table4[Period_Clean],Product_Month_Actual_Variable_Cost[[#Headers],[2025-06]],Table4[CostType],"Fixed")</f>
        <v>213.4</v>
      </c>
      <c r="AQ3" t="s">
        <v>133</v>
      </c>
      <c r="AR3" t="s">
        <v>47</v>
      </c>
      <c r="AS3">
        <f>Product_Month_Actual_Fixed_Cost[[#This Row],[2025-01]]*Table33[[#This Row],[1/1/2025]]</f>
        <v>217.99</v>
      </c>
      <c r="AT3">
        <f>Product_Month_Actual_Fixed_Cost[[#This Row],[2025-02]]*Table33[[#This Row],[2/1/2025]]</f>
        <v>633.59999999999991</v>
      </c>
      <c r="AU3">
        <f>Product_Month_Actual_Fixed_Cost[[#This Row],[2025-03]]*Table33[[#This Row],[3/1/2025]]</f>
        <v>448.12</v>
      </c>
      <c r="AV3">
        <f>Product_Month_Actual_Fixed_Cost[[#This Row],[2025-04]]*Table33[[#This Row],[4/1/2025]]</f>
        <v>440.92</v>
      </c>
      <c r="AW3">
        <f>Product_Month_Actual_Fixed_Cost[[#This Row],[2025-05]]*Table33[[#This Row],[5/1/2025]]</f>
        <v>853.12</v>
      </c>
      <c r="AX3">
        <f>Product_Month_Actual_Fixed_Cost[[#This Row],[2025-06]]*Table33[[#This Row],[6/1/2025]]</f>
        <v>853.6</v>
      </c>
      <c r="AY3">
        <f>SUM(Product_Region_Monthly_Fixed_Cost[[#This Row],[25-Jan]:[25-Jun]])</f>
        <v>3447.35</v>
      </c>
      <c r="BB3" t="s">
        <v>133</v>
      </c>
      <c r="BC3" t="s">
        <v>47</v>
      </c>
      <c r="BD3">
        <f>Product_Region_Monthly_Fixed_Cost[[#This Row],[25-Jan]]+Product_Region_Monthly_Variable_Cost[[#This Row],[25-Jan]]</f>
        <v>1344.24</v>
      </c>
      <c r="BE3">
        <f>Product_Region_Monthly_Fixed_Cost[[#This Row],[25-Feb]]+Product_Region_Monthly_Variable_Cost[[#This Row],[25-Feb]]</f>
        <v>4006.44</v>
      </c>
      <c r="BF3">
        <f>Product_Region_Monthly_Fixed_Cost[[#This Row],[25-Mar]]+Product_Region_Monthly_Variable_Cost[[#This Row],[25-Mar]]</f>
        <v>2664.2799999999997</v>
      </c>
      <c r="BG3">
        <f>Product_Region_Monthly_Fixed_Cost[[#This Row],[25-Apr]]+Product_Region_Monthly_Variable_Cost[[#This Row],[25-Apr]]</f>
        <v>2688.38</v>
      </c>
      <c r="BH3">
        <f>Product_Region_Monthly_Fixed_Cost[[#This Row],[25-May]]+Product_Region_Monthly_Variable_Cost[[#This Row],[25-May]]</f>
        <v>5467.36</v>
      </c>
      <c r="BI3">
        <f>Product_Region_Monthly_Fixed_Cost[[#This Row],[25-Jun]]+Product_Region_Monthly_Variable_Cost[[#This Row],[25-Jun]]</f>
        <v>5325.8</v>
      </c>
      <c r="BJ3">
        <f>Product_Region_Monthly_Fixed_Cost[[#This Row],[H1 Fixed Cost]]+Product_Region_Monthly_Variable_Cost[[#This Row],[H1 Variable Cost]]</f>
        <v>21496.499999999996</v>
      </c>
    </row>
    <row r="4" spans="1:62">
      <c r="A4" t="s">
        <v>133</v>
      </c>
      <c r="B4" t="s">
        <v>58</v>
      </c>
      <c r="C4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4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4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4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4">
        <f>SUMIFS(Table1[Quantity],Table1[ProductID],Table33[[#This Row],[ProductID]],Table1[RegionClean_],Table33[[#This Row],[Region]],Table1[TransactionDate_Clean],"&gt;"&amp;EOMONTH($G$1,-1),Table1[TransactionDate_Clean],"&lt;="&amp;EOMONTH($G$1,0))</f>
        <v>4</v>
      </c>
      <c r="H4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4">
        <f>SUM(Table33[[#This Row],[1/1/2025]:[6/1/2025]])</f>
        <v>8</v>
      </c>
      <c r="L4" t="s">
        <v>133</v>
      </c>
      <c r="M4" t="s">
        <v>58</v>
      </c>
      <c r="N4">
        <f>SUMIFS(Table4[ActualCost_Clean],Table4[ProductID_Clean],Product_Month_Actual_Variable_Cost[[#This Row],[ProductID]],Table4[Period_Clean],Product_Month_Actual_Variable_Cost[[#Headers],[2025-01]],Table4[CostType],"Variable")</f>
        <v>1126.25</v>
      </c>
      <c r="O4">
        <f>SUMIFS(Table4[ActualCost_Clean],Table4[ProductID_Clean],Product_Month_Actual_Variable_Cost[[#This Row],[ProductID]],Table4[Period_Clean],Product_Month_Actual_Variable_Cost[[#Headers],[2025-02]],Table4[CostType],"Variable")</f>
        <v>1124.28</v>
      </c>
      <c r="P4">
        <f>SUMIFS(Table4[ActualCost_Clean],Table4[ProductID_Clean],Product_Month_Actual_Variable_Cost[[#This Row],[ProductID]],Table4[Period_Clean],Product_Month_Actual_Variable_Cost[[#Headers],[2025-03]],Table4[CostType],"Variable")</f>
        <v>1108.08</v>
      </c>
      <c r="Q4">
        <f>SUMIFS(Table4[ActualCost_Clean],Table4[ProductID_Clean],Product_Month_Actual_Variable_Cost[[#This Row],[ProductID]],Table4[Period_Clean],Product_Month_Actual_Variable_Cost[[#Headers],[2025-04]],Table4[CostType],"Variable")</f>
        <v>1123.73</v>
      </c>
      <c r="R4">
        <f>SUMIFS(Table4[ActualCost_Clean],Table4[ProductID_Clean],Product_Month_Actual_Variable_Cost[[#This Row],[ProductID]],Table4[Period_Clean],Product_Month_Actual_Variable_Cost[[#Headers],[2025-05]],Table4[CostType],"Variable")</f>
        <v>1153.56</v>
      </c>
      <c r="S4">
        <f>SUMIFS(Table4[ActualCost_Clean],Table4[ProductID_Clean],Product_Month_Actual_Variable_Cost[[#This Row],[ProductID]],Table4[Period_Clean],Product_Month_Actual_Variable_Cost[[#Headers],[2025-06]],Table4[CostType],"Variable")</f>
        <v>1118.05</v>
      </c>
      <c r="V4" t="s">
        <v>133</v>
      </c>
      <c r="W4" t="s">
        <v>58</v>
      </c>
      <c r="X4">
        <f>Table33[[#This Row],[1/1/2025]]*Product_Month_Actual_Variable_Cost[[#This Row],[2025-01]]</f>
        <v>0</v>
      </c>
      <c r="Y4">
        <f>Table33[[#This Row],[2/1/2025]]*Product_Month_Actual_Variable_Cost[[#This Row],[2025-02]]</f>
        <v>0</v>
      </c>
      <c r="Z4">
        <f>Table33[[#This Row],[3/1/2025]]*Product_Month_Actual_Variable_Cost[[#This Row],[2025-03]]</f>
        <v>1108.08</v>
      </c>
      <c r="AA4">
        <f>Table33[[#This Row],[4/1/2025]]*Product_Month_Actual_Variable_Cost[[#This Row],[2025-04]]</f>
        <v>1123.73</v>
      </c>
      <c r="AB4">
        <f>Table33[[#This Row],[5/1/2025]]*Product_Month_Actual_Variable_Cost[[#This Row],[2025-05]]</f>
        <v>4614.24</v>
      </c>
      <c r="AC4">
        <f>Table33[[#This Row],[6/1/2025]]*Product_Month_Actual_Variable_Cost[[#This Row],[2025-06]]</f>
        <v>2236.1</v>
      </c>
      <c r="AD4">
        <f>SUM(Product_Region_Monthly_Variable_Cost[[#This Row],[25-Jan]:[25-Jun]])</f>
        <v>9082.15</v>
      </c>
      <c r="AG4" t="s">
        <v>133</v>
      </c>
      <c r="AH4" t="s">
        <v>58</v>
      </c>
      <c r="AI4">
        <f>SUMIFS(Table4[ActualCost_Clean],Table4[ProductID_Clean],Product_Month_Actual_Fixed_Cost[[#This Row],[ProductID]],Table4[Period_Clean],Product_Month_Actual_Variable_Cost[[#Headers],[2025-01]],Table4[CostType],"Fixed")</f>
        <v>217.99</v>
      </c>
      <c r="AJ4">
        <f>SUMIFS(Table4[ActualCost_Clean],Table4[ProductID_Clean],Product_Month_Actual_Fixed_Cost[[#This Row],[ProductID]],Table4[Period_Clean],Product_Month_Actual_Variable_Cost[[#Headers],[2025-02]],Table4[CostType],"Fixed")</f>
        <v>211.2</v>
      </c>
      <c r="AK4">
        <f>SUMIFS(Table4[ActualCost_Clean],Table4[ProductID_Clean],Product_Month_Actual_Fixed_Cost[[#This Row],[ProductID]],Table4[Period_Clean],Product_Month_Actual_Variable_Cost[[#Headers],[2025-03]],Table4[CostType],"Fixed")</f>
        <v>224.06</v>
      </c>
      <c r="AL4">
        <f>SUMIFS(Table4[ActualCost_Clean],Table4[ProductID_Clean],Product_Month_Actual_Fixed_Cost[[#This Row],[ProductID]],Table4[Period_Clean],Product_Month_Actual_Variable_Cost[[#Headers],[2025-04]],Table4[CostType],"Fixed")</f>
        <v>220.46</v>
      </c>
      <c r="AM4">
        <f>SUMIFS(Table4[ActualCost_Clean],Table4[ProductID_Clean],Product_Month_Actual_Fixed_Cost[[#This Row],[ProductID]],Table4[Period_Clean],Product_Month_Actual_Variable_Cost[[#Headers],[2025-05]],Table4[CostType],"Fixed")</f>
        <v>213.28</v>
      </c>
      <c r="AN4">
        <f>SUMIFS(Table4[ActualCost_Clean],Table4[ProductID_Clean],Product_Month_Actual_Fixed_Cost[[#This Row],[ProductID]],Table4[Period_Clean],Product_Month_Actual_Variable_Cost[[#Headers],[2025-06]],Table4[CostType],"Fixed")</f>
        <v>213.4</v>
      </c>
      <c r="AQ4" t="s">
        <v>133</v>
      </c>
      <c r="AR4" t="s">
        <v>58</v>
      </c>
      <c r="AS4">
        <f>Product_Month_Actual_Fixed_Cost[[#This Row],[2025-01]]*Table33[[#This Row],[1/1/2025]]</f>
        <v>0</v>
      </c>
      <c r="AT4">
        <f>Product_Month_Actual_Fixed_Cost[[#This Row],[2025-02]]*Table33[[#This Row],[2/1/2025]]</f>
        <v>0</v>
      </c>
      <c r="AU4">
        <f>Product_Month_Actual_Fixed_Cost[[#This Row],[2025-03]]*Table33[[#This Row],[3/1/2025]]</f>
        <v>224.06</v>
      </c>
      <c r="AV4">
        <f>Product_Month_Actual_Fixed_Cost[[#This Row],[2025-04]]*Table33[[#This Row],[4/1/2025]]</f>
        <v>220.46</v>
      </c>
      <c r="AW4">
        <f>Product_Month_Actual_Fixed_Cost[[#This Row],[2025-05]]*Table33[[#This Row],[5/1/2025]]</f>
        <v>853.12</v>
      </c>
      <c r="AX4">
        <f>Product_Month_Actual_Fixed_Cost[[#This Row],[2025-06]]*Table33[[#This Row],[6/1/2025]]</f>
        <v>426.8</v>
      </c>
      <c r="AY4">
        <f>SUM(Product_Region_Monthly_Fixed_Cost[[#This Row],[25-Jan]:[25-Jun]])</f>
        <v>1724.4399999999998</v>
      </c>
      <c r="BB4" t="s">
        <v>133</v>
      </c>
      <c r="BC4" t="s">
        <v>58</v>
      </c>
      <c r="BD4">
        <f>Product_Region_Monthly_Fixed_Cost[[#This Row],[25-Jan]]+Product_Region_Monthly_Variable_Cost[[#This Row],[25-Jan]]</f>
        <v>0</v>
      </c>
      <c r="BE4">
        <f>Product_Region_Monthly_Fixed_Cost[[#This Row],[25-Feb]]+Product_Region_Monthly_Variable_Cost[[#This Row],[25-Feb]]</f>
        <v>0</v>
      </c>
      <c r="BF4">
        <f>Product_Region_Monthly_Fixed_Cost[[#This Row],[25-Mar]]+Product_Region_Monthly_Variable_Cost[[#This Row],[25-Mar]]</f>
        <v>1332.1399999999999</v>
      </c>
      <c r="BG4">
        <f>Product_Region_Monthly_Fixed_Cost[[#This Row],[25-Apr]]+Product_Region_Monthly_Variable_Cost[[#This Row],[25-Apr]]</f>
        <v>1344.19</v>
      </c>
      <c r="BH4">
        <f>Product_Region_Monthly_Fixed_Cost[[#This Row],[25-May]]+Product_Region_Monthly_Variable_Cost[[#This Row],[25-May]]</f>
        <v>5467.36</v>
      </c>
      <c r="BI4">
        <f>Product_Region_Monthly_Fixed_Cost[[#This Row],[25-Jun]]+Product_Region_Monthly_Variable_Cost[[#This Row],[25-Jun]]</f>
        <v>2662.9</v>
      </c>
      <c r="BJ4">
        <f>Product_Region_Monthly_Fixed_Cost[[#This Row],[H1 Fixed Cost]]+Product_Region_Monthly_Variable_Cost[[#This Row],[H1 Variable Cost]]</f>
        <v>10806.59</v>
      </c>
    </row>
    <row r="5" spans="1:62">
      <c r="A5" t="s">
        <v>133</v>
      </c>
      <c r="B5" t="s">
        <v>32</v>
      </c>
      <c r="C5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5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5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5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5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5">
        <f>SUMIFS(Table1[Quantity],Table1[ProductID],Table33[[#This Row],[ProductID]],Table1[RegionClean_],Table33[[#This Row],[Region]],Table1[TransactionDate_Clean],"&gt;"&amp;EOMONTH($H$1,-1),Table1[TransactionDate_Clean],"&lt;="&amp;EOMONTH($H$1,0))</f>
        <v>3</v>
      </c>
      <c r="I5">
        <f>SUM(Table33[[#This Row],[1/1/2025]:[6/1/2025]])</f>
        <v>8</v>
      </c>
      <c r="L5" t="s">
        <v>133</v>
      </c>
      <c r="M5" t="s">
        <v>32</v>
      </c>
      <c r="N5">
        <f>SUMIFS(Table4[ActualCost_Clean],Table4[ProductID_Clean],Product_Month_Actual_Variable_Cost[[#This Row],[ProductID]],Table4[Period_Clean],Product_Month_Actual_Variable_Cost[[#Headers],[2025-01]],Table4[CostType],"Variable")</f>
        <v>1126.25</v>
      </c>
      <c r="O5">
        <f>SUMIFS(Table4[ActualCost_Clean],Table4[ProductID_Clean],Product_Month_Actual_Variable_Cost[[#This Row],[ProductID]],Table4[Period_Clean],Product_Month_Actual_Variable_Cost[[#Headers],[2025-02]],Table4[CostType],"Variable")</f>
        <v>1124.28</v>
      </c>
      <c r="P5">
        <f>SUMIFS(Table4[ActualCost_Clean],Table4[ProductID_Clean],Product_Month_Actual_Variable_Cost[[#This Row],[ProductID]],Table4[Period_Clean],Product_Month_Actual_Variable_Cost[[#Headers],[2025-03]],Table4[CostType],"Variable")</f>
        <v>1108.08</v>
      </c>
      <c r="Q5">
        <f>SUMIFS(Table4[ActualCost_Clean],Table4[ProductID_Clean],Product_Month_Actual_Variable_Cost[[#This Row],[ProductID]],Table4[Period_Clean],Product_Month_Actual_Variable_Cost[[#Headers],[2025-04]],Table4[CostType],"Variable")</f>
        <v>1123.73</v>
      </c>
      <c r="R5">
        <f>SUMIFS(Table4[ActualCost_Clean],Table4[ProductID_Clean],Product_Month_Actual_Variable_Cost[[#This Row],[ProductID]],Table4[Period_Clean],Product_Month_Actual_Variable_Cost[[#Headers],[2025-05]],Table4[CostType],"Variable")</f>
        <v>1153.56</v>
      </c>
      <c r="S5">
        <f>SUMIFS(Table4[ActualCost_Clean],Table4[ProductID_Clean],Product_Month_Actual_Variable_Cost[[#This Row],[ProductID]],Table4[Period_Clean],Product_Month_Actual_Variable_Cost[[#Headers],[2025-06]],Table4[CostType],"Variable")</f>
        <v>1118.05</v>
      </c>
      <c r="V5" t="s">
        <v>133</v>
      </c>
      <c r="W5" t="s">
        <v>32</v>
      </c>
      <c r="X5">
        <f>Table33[[#This Row],[1/1/2025]]*Product_Month_Actual_Variable_Cost[[#This Row],[2025-01]]</f>
        <v>2252.5</v>
      </c>
      <c r="Y5">
        <f>Table33[[#This Row],[2/1/2025]]*Product_Month_Actual_Variable_Cost[[#This Row],[2025-02]]</f>
        <v>0</v>
      </c>
      <c r="Z5">
        <f>Table33[[#This Row],[3/1/2025]]*Product_Month_Actual_Variable_Cost[[#This Row],[2025-03]]</f>
        <v>1108.08</v>
      </c>
      <c r="AA5">
        <f>Table33[[#This Row],[4/1/2025]]*Product_Month_Actual_Variable_Cost[[#This Row],[2025-04]]</f>
        <v>2247.46</v>
      </c>
      <c r="AB5">
        <f>Table33[[#This Row],[5/1/2025]]*Product_Month_Actual_Variable_Cost[[#This Row],[2025-05]]</f>
        <v>0</v>
      </c>
      <c r="AC5">
        <f>Table33[[#This Row],[6/1/2025]]*Product_Month_Actual_Variable_Cost[[#This Row],[2025-06]]</f>
        <v>3354.1499999999996</v>
      </c>
      <c r="AD5">
        <f>SUM(Product_Region_Monthly_Variable_Cost[[#This Row],[25-Jan]:[25-Jun]])</f>
        <v>8962.1899999999987</v>
      </c>
      <c r="AG5" t="s">
        <v>133</v>
      </c>
      <c r="AH5" t="s">
        <v>32</v>
      </c>
      <c r="AI5">
        <f>SUMIFS(Table4[ActualCost_Clean],Table4[ProductID_Clean],Product_Month_Actual_Fixed_Cost[[#This Row],[ProductID]],Table4[Period_Clean],Product_Month_Actual_Variable_Cost[[#Headers],[2025-01]],Table4[CostType],"Fixed")</f>
        <v>217.99</v>
      </c>
      <c r="AJ5">
        <f>SUMIFS(Table4[ActualCost_Clean],Table4[ProductID_Clean],Product_Month_Actual_Fixed_Cost[[#This Row],[ProductID]],Table4[Period_Clean],Product_Month_Actual_Variable_Cost[[#Headers],[2025-02]],Table4[CostType],"Fixed")</f>
        <v>211.2</v>
      </c>
      <c r="AK5">
        <f>SUMIFS(Table4[ActualCost_Clean],Table4[ProductID_Clean],Product_Month_Actual_Fixed_Cost[[#This Row],[ProductID]],Table4[Period_Clean],Product_Month_Actual_Variable_Cost[[#Headers],[2025-03]],Table4[CostType],"Fixed")</f>
        <v>224.06</v>
      </c>
      <c r="AL5">
        <f>SUMIFS(Table4[ActualCost_Clean],Table4[ProductID_Clean],Product_Month_Actual_Fixed_Cost[[#This Row],[ProductID]],Table4[Period_Clean],Product_Month_Actual_Variable_Cost[[#Headers],[2025-04]],Table4[CostType],"Fixed")</f>
        <v>220.46</v>
      </c>
      <c r="AM5">
        <f>SUMIFS(Table4[ActualCost_Clean],Table4[ProductID_Clean],Product_Month_Actual_Fixed_Cost[[#This Row],[ProductID]],Table4[Period_Clean],Product_Month_Actual_Variable_Cost[[#Headers],[2025-05]],Table4[CostType],"Fixed")</f>
        <v>213.28</v>
      </c>
      <c r="AN5">
        <f>SUMIFS(Table4[ActualCost_Clean],Table4[ProductID_Clean],Product_Month_Actual_Fixed_Cost[[#This Row],[ProductID]],Table4[Period_Clean],Product_Month_Actual_Variable_Cost[[#Headers],[2025-06]],Table4[CostType],"Fixed")</f>
        <v>213.4</v>
      </c>
      <c r="AQ5" t="s">
        <v>133</v>
      </c>
      <c r="AR5" t="s">
        <v>32</v>
      </c>
      <c r="AS5">
        <f>Product_Month_Actual_Fixed_Cost[[#This Row],[2025-01]]*Table33[[#This Row],[1/1/2025]]</f>
        <v>435.98</v>
      </c>
      <c r="AT5">
        <f>Product_Month_Actual_Fixed_Cost[[#This Row],[2025-02]]*Table33[[#This Row],[2/1/2025]]</f>
        <v>0</v>
      </c>
      <c r="AU5">
        <f>Product_Month_Actual_Fixed_Cost[[#This Row],[2025-03]]*Table33[[#This Row],[3/1/2025]]</f>
        <v>224.06</v>
      </c>
      <c r="AV5">
        <f>Product_Month_Actual_Fixed_Cost[[#This Row],[2025-04]]*Table33[[#This Row],[4/1/2025]]</f>
        <v>440.92</v>
      </c>
      <c r="AW5">
        <f>Product_Month_Actual_Fixed_Cost[[#This Row],[2025-05]]*Table33[[#This Row],[5/1/2025]]</f>
        <v>0</v>
      </c>
      <c r="AX5">
        <f>Product_Month_Actual_Fixed_Cost[[#This Row],[2025-06]]*Table33[[#This Row],[6/1/2025]]</f>
        <v>640.20000000000005</v>
      </c>
      <c r="AY5">
        <f>SUM(Product_Region_Monthly_Fixed_Cost[[#This Row],[25-Jan]:[25-Jun]])</f>
        <v>1741.16</v>
      </c>
      <c r="BB5" t="s">
        <v>133</v>
      </c>
      <c r="BC5" t="s">
        <v>32</v>
      </c>
      <c r="BD5">
        <f>Product_Region_Monthly_Fixed_Cost[[#This Row],[25-Jan]]+Product_Region_Monthly_Variable_Cost[[#This Row],[25-Jan]]</f>
        <v>2688.48</v>
      </c>
      <c r="BE5">
        <f>Product_Region_Monthly_Fixed_Cost[[#This Row],[25-Feb]]+Product_Region_Monthly_Variable_Cost[[#This Row],[25-Feb]]</f>
        <v>0</v>
      </c>
      <c r="BF5">
        <f>Product_Region_Monthly_Fixed_Cost[[#This Row],[25-Mar]]+Product_Region_Monthly_Variable_Cost[[#This Row],[25-Mar]]</f>
        <v>1332.1399999999999</v>
      </c>
      <c r="BG5">
        <f>Product_Region_Monthly_Fixed_Cost[[#This Row],[25-Apr]]+Product_Region_Monthly_Variable_Cost[[#This Row],[25-Apr]]</f>
        <v>2688.38</v>
      </c>
      <c r="BH5">
        <f>Product_Region_Monthly_Fixed_Cost[[#This Row],[25-May]]+Product_Region_Monthly_Variable_Cost[[#This Row],[25-May]]</f>
        <v>0</v>
      </c>
      <c r="BI5">
        <f>Product_Region_Monthly_Fixed_Cost[[#This Row],[25-Jun]]+Product_Region_Monthly_Variable_Cost[[#This Row],[25-Jun]]</f>
        <v>3994.3499999999995</v>
      </c>
      <c r="BJ5">
        <f>Product_Region_Monthly_Fixed_Cost[[#This Row],[H1 Fixed Cost]]+Product_Region_Monthly_Variable_Cost[[#This Row],[H1 Variable Cost]]</f>
        <v>10703.349999999999</v>
      </c>
    </row>
    <row r="6" spans="1:62">
      <c r="A6" t="s">
        <v>81</v>
      </c>
      <c r="B6" t="s">
        <v>23</v>
      </c>
      <c r="C6">
        <f>SUMIFS(Table1[Quantity],Table1[ProductID],Table33[[#This Row],[ProductID]],Table1[RegionClean_],Table33[[#This Row],[Region]],Table1[TransactionDate_Clean],"&gt;"&amp;EOMONTH($C$1,-1),Table1[TransactionDate_Clean],"&lt;="&amp;EOMONTH($C$1,0))</f>
        <v>6</v>
      </c>
      <c r="D6">
        <f>SUMIFS(Table1[Quantity],Table1[ProductID],Table33[[#This Row],[ProductID]],Table1[RegionClean_],Table33[[#This Row],[Region]],Table1[TransactionDate_Clean],"&gt;"&amp;EOMONTH($D$1,-1),Table1[TransactionDate_Clean],"&lt;="&amp;EOMONTH($D$1,0))</f>
        <v>1</v>
      </c>
      <c r="E6">
        <f>SUMIFS(Table1[Quantity],Table1[ProductID],Table33[[#This Row],[ProductID]],Table1[RegionClean_],Table33[[#This Row],[Region]],Table1[TransactionDate_Clean],"&gt;"&amp;EOMONTH($E$1,-1),Table1[TransactionDate_Clean],"&lt;="&amp;EOMONTH($E$1,0))</f>
        <v>4</v>
      </c>
      <c r="F6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6">
        <f>SUMIFS(Table1[Quantity],Table1[ProductID],Table33[[#This Row],[ProductID]],Table1[RegionClean_],Table33[[#This Row],[Region]],Table1[TransactionDate_Clean],"&gt;"&amp;EOMONTH($G$1,-1),Table1[TransactionDate_Clean],"&lt;="&amp;EOMONTH($G$1,0))</f>
        <v>3</v>
      </c>
      <c r="H6">
        <f>SUMIFS(Table1[Quantity],Table1[ProductID],Table33[[#This Row],[ProductID]],Table1[RegionClean_],Table33[[#This Row],[Region]],Table1[TransactionDate_Clean],"&gt;"&amp;EOMONTH($H$1,-1),Table1[TransactionDate_Clean],"&lt;="&amp;EOMONTH($H$1,0))</f>
        <v>4</v>
      </c>
      <c r="I6">
        <f>SUM(Table33[[#This Row],[1/1/2025]:[6/1/2025]])</f>
        <v>20</v>
      </c>
      <c r="L6" t="s">
        <v>81</v>
      </c>
      <c r="M6" t="s">
        <v>23</v>
      </c>
      <c r="N6">
        <f>SUMIFS(Table4[ActualCost_Clean],Table4[ProductID_Clean],Product_Month_Actual_Variable_Cost[[#This Row],[ProductID]],Table4[Period_Clean],Product_Month_Actual_Variable_Cost[[#Headers],[2025-01]],Table4[CostType],"Variable")</f>
        <v>1263.71</v>
      </c>
      <c r="O6">
        <f>SUMIFS(Table4[ActualCost_Clean],Table4[ProductID_Clean],Product_Month_Actual_Variable_Cost[[#This Row],[ProductID]],Table4[Period_Clean],Product_Month_Actual_Variable_Cost[[#Headers],[2025-02]],Table4[CostType],"Variable")</f>
        <v>1242.76</v>
      </c>
      <c r="P6">
        <f>SUMIFS(Table4[ActualCost_Clean],Table4[ProductID_Clean],Product_Month_Actual_Variable_Cost[[#This Row],[ProductID]],Table4[Period_Clean],Product_Month_Actual_Variable_Cost[[#Headers],[2025-03]],Table4[CostType],"Variable")</f>
        <v>1218.76</v>
      </c>
      <c r="Q6">
        <f>SUMIFS(Table4[ActualCost_Clean],Table4[ProductID_Clean],Product_Month_Actual_Variable_Cost[[#This Row],[ProductID]],Table4[Period_Clean],Product_Month_Actual_Variable_Cost[[#Headers],[2025-04]],Table4[CostType],"Variable")</f>
        <v>1247.48</v>
      </c>
      <c r="R6">
        <f>SUMIFS(Table4[ActualCost_Clean],Table4[ProductID_Clean],Product_Month_Actual_Variable_Cost[[#This Row],[ProductID]],Table4[Period_Clean],Product_Month_Actual_Variable_Cost[[#Headers],[2025-05]],Table4[CostType],"Variable")</f>
        <v>1247.2</v>
      </c>
      <c r="S6">
        <f>SUMIFS(Table4[ActualCost_Clean],Table4[ProductID_Clean],Product_Month_Actual_Variable_Cost[[#This Row],[ProductID]],Table4[Period_Clean],Product_Month_Actual_Variable_Cost[[#Headers],[2025-06]],Table4[CostType],"Variable")</f>
        <v>1271.29</v>
      </c>
      <c r="V6" t="s">
        <v>81</v>
      </c>
      <c r="W6" t="s">
        <v>23</v>
      </c>
      <c r="X6">
        <f>Table33[[#This Row],[1/1/2025]]*Product_Month_Actual_Variable_Cost[[#This Row],[2025-01]]</f>
        <v>7582.26</v>
      </c>
      <c r="Y6">
        <f>Table33[[#This Row],[2/1/2025]]*Product_Month_Actual_Variable_Cost[[#This Row],[2025-02]]</f>
        <v>1242.76</v>
      </c>
      <c r="Z6">
        <f>Table33[[#This Row],[3/1/2025]]*Product_Month_Actual_Variable_Cost[[#This Row],[2025-03]]</f>
        <v>4875.04</v>
      </c>
      <c r="AA6">
        <f>Table33[[#This Row],[4/1/2025]]*Product_Month_Actual_Variable_Cost[[#This Row],[2025-04]]</f>
        <v>2494.96</v>
      </c>
      <c r="AB6">
        <f>Table33[[#This Row],[5/1/2025]]*Product_Month_Actual_Variable_Cost[[#This Row],[2025-05]]</f>
        <v>3741.6000000000004</v>
      </c>
      <c r="AC6">
        <f>Table33[[#This Row],[6/1/2025]]*Product_Month_Actual_Variable_Cost[[#This Row],[2025-06]]</f>
        <v>5085.16</v>
      </c>
      <c r="AD6">
        <f>SUM(Product_Region_Monthly_Variable_Cost[[#This Row],[25-Jan]:[25-Jun]])</f>
        <v>25021.780000000002</v>
      </c>
      <c r="AG6" t="s">
        <v>81</v>
      </c>
      <c r="AH6" t="s">
        <v>23</v>
      </c>
      <c r="AI6">
        <f>SUMIFS(Table4[ActualCost_Clean],Table4[ProductID_Clean],Product_Month_Actual_Fixed_Cost[[#This Row],[ProductID]],Table4[Period_Clean],Product_Month_Actual_Variable_Cost[[#Headers],[2025-01]],Table4[CostType],"Fixed")</f>
        <v>301.18</v>
      </c>
      <c r="AJ6">
        <f>SUMIFS(Table4[ActualCost_Clean],Table4[ProductID_Clean],Product_Month_Actual_Fixed_Cost[[#This Row],[ProductID]],Table4[Period_Clean],Product_Month_Actual_Variable_Cost[[#Headers],[2025-02]],Table4[CostType],"Fixed")</f>
        <v>290.14</v>
      </c>
      <c r="AK6">
        <f>SUMIFS(Table4[ActualCost_Clean],Table4[ProductID_Clean],Product_Month_Actual_Fixed_Cost[[#This Row],[ProductID]],Table4[Period_Clean],Product_Month_Actual_Variable_Cost[[#Headers],[2025-03]],Table4[CostType],"Fixed")</f>
        <v>277.74</v>
      </c>
      <c r="AL6">
        <f>SUMIFS(Table4[ActualCost_Clean],Table4[ProductID_Clean],Product_Month_Actual_Fixed_Cost[[#This Row],[ProductID]],Table4[Period_Clean],Product_Month_Actual_Variable_Cost[[#Headers],[2025-04]],Table4[CostType],"Fixed")</f>
        <v>290.36</v>
      </c>
      <c r="AM6">
        <f>SUMIFS(Table4[ActualCost_Clean],Table4[ProductID_Clean],Product_Month_Actual_Fixed_Cost[[#This Row],[ProductID]],Table4[Period_Clean],Product_Month_Actual_Variable_Cost[[#Headers],[2025-05]],Table4[CostType],"Fixed")</f>
        <v>283.91000000000003</v>
      </c>
      <c r="AN6">
        <f>SUMIFS(Table4[ActualCost_Clean],Table4[ProductID_Clean],Product_Month_Actual_Fixed_Cost[[#This Row],[ProductID]],Table4[Period_Clean],Product_Month_Actual_Variable_Cost[[#Headers],[2025-06]],Table4[CostType],"Fixed")</f>
        <v>296.85000000000002</v>
      </c>
      <c r="AQ6" t="s">
        <v>81</v>
      </c>
      <c r="AR6" t="s">
        <v>23</v>
      </c>
      <c r="AS6">
        <f>Product_Month_Actual_Fixed_Cost[[#This Row],[2025-01]]*Table33[[#This Row],[1/1/2025]]</f>
        <v>1807.08</v>
      </c>
      <c r="AT6">
        <f>Product_Month_Actual_Fixed_Cost[[#This Row],[2025-02]]*Table33[[#This Row],[2/1/2025]]</f>
        <v>290.14</v>
      </c>
      <c r="AU6">
        <f>Product_Month_Actual_Fixed_Cost[[#This Row],[2025-03]]*Table33[[#This Row],[3/1/2025]]</f>
        <v>1110.96</v>
      </c>
      <c r="AV6">
        <f>Product_Month_Actual_Fixed_Cost[[#This Row],[2025-04]]*Table33[[#This Row],[4/1/2025]]</f>
        <v>580.72</v>
      </c>
      <c r="AW6">
        <f>Product_Month_Actual_Fixed_Cost[[#This Row],[2025-05]]*Table33[[#This Row],[5/1/2025]]</f>
        <v>851.73</v>
      </c>
      <c r="AX6">
        <f>Product_Month_Actual_Fixed_Cost[[#This Row],[2025-06]]*Table33[[#This Row],[6/1/2025]]</f>
        <v>1187.4000000000001</v>
      </c>
      <c r="AY6">
        <f>SUM(Product_Region_Monthly_Fixed_Cost[[#This Row],[25-Jan]:[25-Jun]])</f>
        <v>5828.0299999999988</v>
      </c>
      <c r="BB6" t="s">
        <v>81</v>
      </c>
      <c r="BC6" t="s">
        <v>23</v>
      </c>
      <c r="BD6">
        <f>Product_Region_Monthly_Fixed_Cost[[#This Row],[25-Jan]]+Product_Region_Monthly_Variable_Cost[[#This Row],[25-Jan]]</f>
        <v>9389.34</v>
      </c>
      <c r="BE6">
        <f>Product_Region_Monthly_Fixed_Cost[[#This Row],[25-Feb]]+Product_Region_Monthly_Variable_Cost[[#This Row],[25-Feb]]</f>
        <v>1532.9</v>
      </c>
      <c r="BF6">
        <f>Product_Region_Monthly_Fixed_Cost[[#This Row],[25-Mar]]+Product_Region_Monthly_Variable_Cost[[#This Row],[25-Mar]]</f>
        <v>5986</v>
      </c>
      <c r="BG6">
        <f>Product_Region_Monthly_Fixed_Cost[[#This Row],[25-Apr]]+Product_Region_Monthly_Variable_Cost[[#This Row],[25-Apr]]</f>
        <v>3075.6800000000003</v>
      </c>
      <c r="BH6">
        <f>Product_Region_Monthly_Fixed_Cost[[#This Row],[25-May]]+Product_Region_Monthly_Variable_Cost[[#This Row],[25-May]]</f>
        <v>4593.33</v>
      </c>
      <c r="BI6">
        <f>Product_Region_Monthly_Fixed_Cost[[#This Row],[25-Jun]]+Product_Region_Monthly_Variable_Cost[[#This Row],[25-Jun]]</f>
        <v>6272.5599999999995</v>
      </c>
      <c r="BJ6">
        <f>Product_Region_Monthly_Fixed_Cost[[#This Row],[H1 Fixed Cost]]+Product_Region_Monthly_Variable_Cost[[#This Row],[H1 Variable Cost]]</f>
        <v>30849.81</v>
      </c>
    </row>
    <row r="7" spans="1:62">
      <c r="A7" t="s">
        <v>81</v>
      </c>
      <c r="B7" t="s">
        <v>47</v>
      </c>
      <c r="C7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7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7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7">
        <f>SUMIFS(Table1[Quantity],Table1[ProductID],Table33[[#This Row],[ProductID]],Table1[RegionClean_],Table33[[#This Row],[Region]],Table1[TransactionDate_Clean],"&gt;"&amp;EOMONTH($F$1,-1),Table1[TransactionDate_Clean],"&lt;="&amp;EOMONTH($F$1,0))</f>
        <v>4</v>
      </c>
      <c r="G7">
        <f>SUMIFS(Table1[Quantity],Table1[ProductID],Table33[[#This Row],[ProductID]],Table1[RegionClean_],Table33[[#This Row],[Region]],Table1[TransactionDate_Clean],"&gt;"&amp;EOMONTH($G$1,-1),Table1[TransactionDate_Clean],"&lt;="&amp;EOMONTH($G$1,0))</f>
        <v>5</v>
      </c>
      <c r="H7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7">
        <f>SUM(Table33[[#This Row],[1/1/2025]:[6/1/2025]])</f>
        <v>14</v>
      </c>
      <c r="L7" t="s">
        <v>81</v>
      </c>
      <c r="M7" t="s">
        <v>47</v>
      </c>
      <c r="N7">
        <f>SUMIFS(Table4[ActualCost_Clean],Table4[ProductID_Clean],Product_Month_Actual_Variable_Cost[[#This Row],[ProductID]],Table4[Period_Clean],Product_Month_Actual_Variable_Cost[[#Headers],[2025-01]],Table4[CostType],"Variable")</f>
        <v>1263.71</v>
      </c>
      <c r="O7">
        <f>SUMIFS(Table4[ActualCost_Clean],Table4[ProductID_Clean],Product_Month_Actual_Variable_Cost[[#This Row],[ProductID]],Table4[Period_Clean],Product_Month_Actual_Variable_Cost[[#Headers],[2025-02]],Table4[CostType],"Variable")</f>
        <v>1242.76</v>
      </c>
      <c r="P7">
        <f>SUMIFS(Table4[ActualCost_Clean],Table4[ProductID_Clean],Product_Month_Actual_Variable_Cost[[#This Row],[ProductID]],Table4[Period_Clean],Product_Month_Actual_Variable_Cost[[#Headers],[2025-03]],Table4[CostType],"Variable")</f>
        <v>1218.76</v>
      </c>
      <c r="Q7">
        <f>SUMIFS(Table4[ActualCost_Clean],Table4[ProductID_Clean],Product_Month_Actual_Variable_Cost[[#This Row],[ProductID]],Table4[Period_Clean],Product_Month_Actual_Variable_Cost[[#Headers],[2025-04]],Table4[CostType],"Variable")</f>
        <v>1247.48</v>
      </c>
      <c r="R7">
        <f>SUMIFS(Table4[ActualCost_Clean],Table4[ProductID_Clean],Product_Month_Actual_Variable_Cost[[#This Row],[ProductID]],Table4[Period_Clean],Product_Month_Actual_Variable_Cost[[#Headers],[2025-05]],Table4[CostType],"Variable")</f>
        <v>1247.2</v>
      </c>
      <c r="S7">
        <f>SUMIFS(Table4[ActualCost_Clean],Table4[ProductID_Clean],Product_Month_Actual_Variable_Cost[[#This Row],[ProductID]],Table4[Period_Clean],Product_Month_Actual_Variable_Cost[[#Headers],[2025-06]],Table4[CostType],"Variable")</f>
        <v>1271.29</v>
      </c>
      <c r="V7" t="s">
        <v>81</v>
      </c>
      <c r="W7" t="s">
        <v>47</v>
      </c>
      <c r="X7">
        <f>Table33[[#This Row],[1/1/2025]]*Product_Month_Actual_Variable_Cost[[#This Row],[2025-01]]</f>
        <v>2527.42</v>
      </c>
      <c r="Y7">
        <f>Table33[[#This Row],[2/1/2025]]*Product_Month_Actual_Variable_Cost[[#This Row],[2025-02]]</f>
        <v>0</v>
      </c>
      <c r="Z7">
        <f>Table33[[#This Row],[3/1/2025]]*Product_Month_Actual_Variable_Cost[[#This Row],[2025-03]]</f>
        <v>1218.76</v>
      </c>
      <c r="AA7">
        <f>Table33[[#This Row],[4/1/2025]]*Product_Month_Actual_Variable_Cost[[#This Row],[2025-04]]</f>
        <v>4989.92</v>
      </c>
      <c r="AB7">
        <f>Table33[[#This Row],[5/1/2025]]*Product_Month_Actual_Variable_Cost[[#This Row],[2025-05]]</f>
        <v>6236</v>
      </c>
      <c r="AC7">
        <f>Table33[[#This Row],[6/1/2025]]*Product_Month_Actual_Variable_Cost[[#This Row],[2025-06]]</f>
        <v>2542.58</v>
      </c>
      <c r="AD7">
        <f>SUM(Product_Region_Monthly_Variable_Cost[[#This Row],[25-Jan]:[25-Jun]])</f>
        <v>17514.68</v>
      </c>
      <c r="AG7" t="s">
        <v>81</v>
      </c>
      <c r="AH7" t="s">
        <v>47</v>
      </c>
      <c r="AI7">
        <f>SUMIFS(Table4[ActualCost_Clean],Table4[ProductID_Clean],Product_Month_Actual_Fixed_Cost[[#This Row],[ProductID]],Table4[Period_Clean],Product_Month_Actual_Variable_Cost[[#Headers],[2025-01]],Table4[CostType],"Fixed")</f>
        <v>301.18</v>
      </c>
      <c r="AJ7">
        <f>SUMIFS(Table4[ActualCost_Clean],Table4[ProductID_Clean],Product_Month_Actual_Fixed_Cost[[#This Row],[ProductID]],Table4[Period_Clean],Product_Month_Actual_Variable_Cost[[#Headers],[2025-02]],Table4[CostType],"Fixed")</f>
        <v>290.14</v>
      </c>
      <c r="AK7">
        <f>SUMIFS(Table4[ActualCost_Clean],Table4[ProductID_Clean],Product_Month_Actual_Fixed_Cost[[#This Row],[ProductID]],Table4[Period_Clean],Product_Month_Actual_Variable_Cost[[#Headers],[2025-03]],Table4[CostType],"Fixed")</f>
        <v>277.74</v>
      </c>
      <c r="AL7">
        <f>SUMIFS(Table4[ActualCost_Clean],Table4[ProductID_Clean],Product_Month_Actual_Fixed_Cost[[#This Row],[ProductID]],Table4[Period_Clean],Product_Month_Actual_Variable_Cost[[#Headers],[2025-04]],Table4[CostType],"Fixed")</f>
        <v>290.36</v>
      </c>
      <c r="AM7">
        <f>SUMIFS(Table4[ActualCost_Clean],Table4[ProductID_Clean],Product_Month_Actual_Fixed_Cost[[#This Row],[ProductID]],Table4[Period_Clean],Product_Month_Actual_Variable_Cost[[#Headers],[2025-05]],Table4[CostType],"Fixed")</f>
        <v>283.91000000000003</v>
      </c>
      <c r="AN7">
        <f>SUMIFS(Table4[ActualCost_Clean],Table4[ProductID_Clean],Product_Month_Actual_Fixed_Cost[[#This Row],[ProductID]],Table4[Period_Clean],Product_Month_Actual_Variable_Cost[[#Headers],[2025-06]],Table4[CostType],"Fixed")</f>
        <v>296.85000000000002</v>
      </c>
      <c r="AQ7" t="s">
        <v>81</v>
      </c>
      <c r="AR7" t="s">
        <v>47</v>
      </c>
      <c r="AS7">
        <f>Product_Month_Actual_Fixed_Cost[[#This Row],[2025-01]]*Table33[[#This Row],[1/1/2025]]</f>
        <v>602.36</v>
      </c>
      <c r="AT7">
        <f>Product_Month_Actual_Fixed_Cost[[#This Row],[2025-02]]*Table33[[#This Row],[2/1/2025]]</f>
        <v>0</v>
      </c>
      <c r="AU7">
        <f>Product_Month_Actual_Fixed_Cost[[#This Row],[2025-03]]*Table33[[#This Row],[3/1/2025]]</f>
        <v>277.74</v>
      </c>
      <c r="AV7">
        <f>Product_Month_Actual_Fixed_Cost[[#This Row],[2025-04]]*Table33[[#This Row],[4/1/2025]]</f>
        <v>1161.44</v>
      </c>
      <c r="AW7">
        <f>Product_Month_Actual_Fixed_Cost[[#This Row],[2025-05]]*Table33[[#This Row],[5/1/2025]]</f>
        <v>1419.5500000000002</v>
      </c>
      <c r="AX7">
        <f>Product_Month_Actual_Fixed_Cost[[#This Row],[2025-06]]*Table33[[#This Row],[6/1/2025]]</f>
        <v>593.70000000000005</v>
      </c>
      <c r="AY7">
        <f>SUM(Product_Region_Monthly_Fixed_Cost[[#This Row],[25-Jan]:[25-Jun]])</f>
        <v>4054.79</v>
      </c>
      <c r="BB7" t="s">
        <v>81</v>
      </c>
      <c r="BC7" t="s">
        <v>47</v>
      </c>
      <c r="BD7">
        <f>Product_Region_Monthly_Fixed_Cost[[#This Row],[25-Jan]]+Product_Region_Monthly_Variable_Cost[[#This Row],[25-Jan]]</f>
        <v>3129.78</v>
      </c>
      <c r="BE7">
        <f>Product_Region_Monthly_Fixed_Cost[[#This Row],[25-Feb]]+Product_Region_Monthly_Variable_Cost[[#This Row],[25-Feb]]</f>
        <v>0</v>
      </c>
      <c r="BF7">
        <f>Product_Region_Monthly_Fixed_Cost[[#This Row],[25-Mar]]+Product_Region_Monthly_Variable_Cost[[#This Row],[25-Mar]]</f>
        <v>1496.5</v>
      </c>
      <c r="BG7">
        <f>Product_Region_Monthly_Fixed_Cost[[#This Row],[25-Apr]]+Product_Region_Monthly_Variable_Cost[[#This Row],[25-Apr]]</f>
        <v>6151.3600000000006</v>
      </c>
      <c r="BH7">
        <f>Product_Region_Monthly_Fixed_Cost[[#This Row],[25-May]]+Product_Region_Monthly_Variable_Cost[[#This Row],[25-May]]</f>
        <v>7655.55</v>
      </c>
      <c r="BI7">
        <f>Product_Region_Monthly_Fixed_Cost[[#This Row],[25-Jun]]+Product_Region_Monthly_Variable_Cost[[#This Row],[25-Jun]]</f>
        <v>3136.2799999999997</v>
      </c>
      <c r="BJ7">
        <f>Product_Region_Monthly_Fixed_Cost[[#This Row],[H1 Fixed Cost]]+Product_Region_Monthly_Variable_Cost[[#This Row],[H1 Variable Cost]]</f>
        <v>21569.47</v>
      </c>
    </row>
    <row r="8" spans="1:62">
      <c r="A8" t="s">
        <v>81</v>
      </c>
      <c r="B8" t="s">
        <v>58</v>
      </c>
      <c r="C8">
        <f>SUMIFS(Table1[Quantity],Table1[ProductID],Table33[[#This Row],[ProductID]],Table1[RegionClean_],Table33[[#This Row],[Region]],Table1[TransactionDate_Clean],"&gt;"&amp;EOMONTH($C$1,-1),Table1[TransactionDate_Clean],"&lt;="&amp;EOMONTH($C$1,0))</f>
        <v>3</v>
      </c>
      <c r="D8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8">
        <f>SUMIFS(Table1[Quantity],Table1[ProductID],Table33[[#This Row],[ProductID]],Table1[RegionClean_],Table33[[#This Row],[Region]],Table1[TransactionDate_Clean],"&gt;"&amp;EOMONTH($E$1,-1),Table1[TransactionDate_Clean],"&lt;="&amp;EOMONTH($E$1,0))</f>
        <v>2</v>
      </c>
      <c r="F8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8">
        <f>SUMIFS(Table1[Quantity],Table1[ProductID],Table33[[#This Row],[ProductID]],Table1[RegionClean_],Table33[[#This Row],[Region]],Table1[TransactionDate_Clean],"&gt;"&amp;EOMONTH($G$1,-1),Table1[TransactionDate_Clean],"&lt;="&amp;EOMONTH($G$1,0))</f>
        <v>7</v>
      </c>
      <c r="H8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8">
        <f>SUM(Table33[[#This Row],[1/1/2025]:[6/1/2025]])</f>
        <v>13</v>
      </c>
      <c r="L8" t="s">
        <v>81</v>
      </c>
      <c r="M8" t="s">
        <v>58</v>
      </c>
      <c r="N8">
        <f>SUMIFS(Table4[ActualCost_Clean],Table4[ProductID_Clean],Product_Month_Actual_Variable_Cost[[#This Row],[ProductID]],Table4[Period_Clean],Product_Month_Actual_Variable_Cost[[#Headers],[2025-01]],Table4[CostType],"Variable")</f>
        <v>1263.71</v>
      </c>
      <c r="O8">
        <f>SUMIFS(Table4[ActualCost_Clean],Table4[ProductID_Clean],Product_Month_Actual_Variable_Cost[[#This Row],[ProductID]],Table4[Period_Clean],Product_Month_Actual_Variable_Cost[[#Headers],[2025-02]],Table4[CostType],"Variable")</f>
        <v>1242.76</v>
      </c>
      <c r="P8">
        <f>SUMIFS(Table4[ActualCost_Clean],Table4[ProductID_Clean],Product_Month_Actual_Variable_Cost[[#This Row],[ProductID]],Table4[Period_Clean],Product_Month_Actual_Variable_Cost[[#Headers],[2025-03]],Table4[CostType],"Variable")</f>
        <v>1218.76</v>
      </c>
      <c r="Q8">
        <f>SUMIFS(Table4[ActualCost_Clean],Table4[ProductID_Clean],Product_Month_Actual_Variable_Cost[[#This Row],[ProductID]],Table4[Period_Clean],Product_Month_Actual_Variable_Cost[[#Headers],[2025-04]],Table4[CostType],"Variable")</f>
        <v>1247.48</v>
      </c>
      <c r="R8">
        <f>SUMIFS(Table4[ActualCost_Clean],Table4[ProductID_Clean],Product_Month_Actual_Variable_Cost[[#This Row],[ProductID]],Table4[Period_Clean],Product_Month_Actual_Variable_Cost[[#Headers],[2025-05]],Table4[CostType],"Variable")</f>
        <v>1247.2</v>
      </c>
      <c r="S8">
        <f>SUMIFS(Table4[ActualCost_Clean],Table4[ProductID_Clean],Product_Month_Actual_Variable_Cost[[#This Row],[ProductID]],Table4[Period_Clean],Product_Month_Actual_Variable_Cost[[#Headers],[2025-06]],Table4[CostType],"Variable")</f>
        <v>1271.29</v>
      </c>
      <c r="V8" t="s">
        <v>81</v>
      </c>
      <c r="W8" t="s">
        <v>58</v>
      </c>
      <c r="X8">
        <f>Table33[[#This Row],[1/1/2025]]*Product_Month_Actual_Variable_Cost[[#This Row],[2025-01]]</f>
        <v>3791.13</v>
      </c>
      <c r="Y8">
        <f>Table33[[#This Row],[2/1/2025]]*Product_Month_Actual_Variable_Cost[[#This Row],[2025-02]]</f>
        <v>0</v>
      </c>
      <c r="Z8">
        <f>Table33[[#This Row],[3/1/2025]]*Product_Month_Actual_Variable_Cost[[#This Row],[2025-03]]</f>
        <v>2437.52</v>
      </c>
      <c r="AA8">
        <f>Table33[[#This Row],[4/1/2025]]*Product_Month_Actual_Variable_Cost[[#This Row],[2025-04]]</f>
        <v>1247.48</v>
      </c>
      <c r="AB8">
        <f>Table33[[#This Row],[5/1/2025]]*Product_Month_Actual_Variable_Cost[[#This Row],[2025-05]]</f>
        <v>8730.4</v>
      </c>
      <c r="AC8">
        <f>Table33[[#This Row],[6/1/2025]]*Product_Month_Actual_Variable_Cost[[#This Row],[2025-06]]</f>
        <v>0</v>
      </c>
      <c r="AD8">
        <f>SUM(Product_Region_Monthly_Variable_Cost[[#This Row],[25-Jan]:[25-Jun]])</f>
        <v>16206.529999999999</v>
      </c>
      <c r="AG8" t="s">
        <v>81</v>
      </c>
      <c r="AH8" t="s">
        <v>58</v>
      </c>
      <c r="AI8">
        <f>SUMIFS(Table4[ActualCost_Clean],Table4[ProductID_Clean],Product_Month_Actual_Fixed_Cost[[#This Row],[ProductID]],Table4[Period_Clean],Product_Month_Actual_Variable_Cost[[#Headers],[2025-01]],Table4[CostType],"Fixed")</f>
        <v>301.18</v>
      </c>
      <c r="AJ8">
        <f>SUMIFS(Table4[ActualCost_Clean],Table4[ProductID_Clean],Product_Month_Actual_Fixed_Cost[[#This Row],[ProductID]],Table4[Period_Clean],Product_Month_Actual_Variable_Cost[[#Headers],[2025-02]],Table4[CostType],"Fixed")</f>
        <v>290.14</v>
      </c>
      <c r="AK8">
        <f>SUMIFS(Table4[ActualCost_Clean],Table4[ProductID_Clean],Product_Month_Actual_Fixed_Cost[[#This Row],[ProductID]],Table4[Period_Clean],Product_Month_Actual_Variable_Cost[[#Headers],[2025-03]],Table4[CostType],"Fixed")</f>
        <v>277.74</v>
      </c>
      <c r="AL8">
        <f>SUMIFS(Table4[ActualCost_Clean],Table4[ProductID_Clean],Product_Month_Actual_Fixed_Cost[[#This Row],[ProductID]],Table4[Period_Clean],Product_Month_Actual_Variable_Cost[[#Headers],[2025-04]],Table4[CostType],"Fixed")</f>
        <v>290.36</v>
      </c>
      <c r="AM8">
        <f>SUMIFS(Table4[ActualCost_Clean],Table4[ProductID_Clean],Product_Month_Actual_Fixed_Cost[[#This Row],[ProductID]],Table4[Period_Clean],Product_Month_Actual_Variable_Cost[[#Headers],[2025-05]],Table4[CostType],"Fixed")</f>
        <v>283.91000000000003</v>
      </c>
      <c r="AN8">
        <f>SUMIFS(Table4[ActualCost_Clean],Table4[ProductID_Clean],Product_Month_Actual_Fixed_Cost[[#This Row],[ProductID]],Table4[Period_Clean],Product_Month_Actual_Variable_Cost[[#Headers],[2025-06]],Table4[CostType],"Fixed")</f>
        <v>296.85000000000002</v>
      </c>
      <c r="AQ8" t="s">
        <v>81</v>
      </c>
      <c r="AR8" t="s">
        <v>58</v>
      </c>
      <c r="AS8">
        <f>Product_Month_Actual_Fixed_Cost[[#This Row],[2025-01]]*Table33[[#This Row],[1/1/2025]]</f>
        <v>903.54</v>
      </c>
      <c r="AT8">
        <f>Product_Month_Actual_Fixed_Cost[[#This Row],[2025-02]]*Table33[[#This Row],[2/1/2025]]</f>
        <v>0</v>
      </c>
      <c r="AU8">
        <f>Product_Month_Actual_Fixed_Cost[[#This Row],[2025-03]]*Table33[[#This Row],[3/1/2025]]</f>
        <v>555.48</v>
      </c>
      <c r="AV8">
        <f>Product_Month_Actual_Fixed_Cost[[#This Row],[2025-04]]*Table33[[#This Row],[4/1/2025]]</f>
        <v>290.36</v>
      </c>
      <c r="AW8">
        <f>Product_Month_Actual_Fixed_Cost[[#This Row],[2025-05]]*Table33[[#This Row],[5/1/2025]]</f>
        <v>1987.3700000000001</v>
      </c>
      <c r="AX8">
        <f>Product_Month_Actual_Fixed_Cost[[#This Row],[2025-06]]*Table33[[#This Row],[6/1/2025]]</f>
        <v>0</v>
      </c>
      <c r="AY8">
        <f>SUM(Product_Region_Monthly_Fixed_Cost[[#This Row],[25-Jan]:[25-Jun]])</f>
        <v>3736.75</v>
      </c>
      <c r="BB8" t="s">
        <v>81</v>
      </c>
      <c r="BC8" t="s">
        <v>58</v>
      </c>
      <c r="BD8">
        <f>Product_Region_Monthly_Fixed_Cost[[#This Row],[25-Jan]]+Product_Region_Monthly_Variable_Cost[[#This Row],[25-Jan]]</f>
        <v>4694.67</v>
      </c>
      <c r="BE8">
        <f>Product_Region_Monthly_Fixed_Cost[[#This Row],[25-Feb]]+Product_Region_Monthly_Variable_Cost[[#This Row],[25-Feb]]</f>
        <v>0</v>
      </c>
      <c r="BF8">
        <f>Product_Region_Monthly_Fixed_Cost[[#This Row],[25-Mar]]+Product_Region_Monthly_Variable_Cost[[#This Row],[25-Mar]]</f>
        <v>2993</v>
      </c>
      <c r="BG8">
        <f>Product_Region_Monthly_Fixed_Cost[[#This Row],[25-Apr]]+Product_Region_Monthly_Variable_Cost[[#This Row],[25-Apr]]</f>
        <v>1537.8400000000001</v>
      </c>
      <c r="BH8">
        <f>Product_Region_Monthly_Fixed_Cost[[#This Row],[25-May]]+Product_Region_Monthly_Variable_Cost[[#This Row],[25-May]]</f>
        <v>10717.77</v>
      </c>
      <c r="BI8">
        <f>Product_Region_Monthly_Fixed_Cost[[#This Row],[25-Jun]]+Product_Region_Monthly_Variable_Cost[[#This Row],[25-Jun]]</f>
        <v>0</v>
      </c>
      <c r="BJ8">
        <f>Product_Region_Monthly_Fixed_Cost[[#This Row],[H1 Fixed Cost]]+Product_Region_Monthly_Variable_Cost[[#This Row],[H1 Variable Cost]]</f>
        <v>19943.28</v>
      </c>
    </row>
    <row r="9" spans="1:62">
      <c r="A9" t="s">
        <v>81</v>
      </c>
      <c r="B9" t="s">
        <v>32</v>
      </c>
      <c r="C9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9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9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9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9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9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9">
        <f>SUM(Table33[[#This Row],[1/1/2025]:[6/1/2025]])</f>
        <v>4</v>
      </c>
      <c r="L9" t="s">
        <v>81</v>
      </c>
      <c r="M9" t="s">
        <v>32</v>
      </c>
      <c r="N9">
        <f>SUMIFS(Table4[ActualCost_Clean],Table4[ProductID_Clean],Product_Month_Actual_Variable_Cost[[#This Row],[ProductID]],Table4[Period_Clean],Product_Month_Actual_Variable_Cost[[#Headers],[2025-01]],Table4[CostType],"Variable")</f>
        <v>1263.71</v>
      </c>
      <c r="O9">
        <f>SUMIFS(Table4[ActualCost_Clean],Table4[ProductID_Clean],Product_Month_Actual_Variable_Cost[[#This Row],[ProductID]],Table4[Period_Clean],Product_Month_Actual_Variable_Cost[[#Headers],[2025-02]],Table4[CostType],"Variable")</f>
        <v>1242.76</v>
      </c>
      <c r="P9">
        <f>SUMIFS(Table4[ActualCost_Clean],Table4[ProductID_Clean],Product_Month_Actual_Variable_Cost[[#This Row],[ProductID]],Table4[Period_Clean],Product_Month_Actual_Variable_Cost[[#Headers],[2025-03]],Table4[CostType],"Variable")</f>
        <v>1218.76</v>
      </c>
      <c r="Q9">
        <f>SUMIFS(Table4[ActualCost_Clean],Table4[ProductID_Clean],Product_Month_Actual_Variable_Cost[[#This Row],[ProductID]],Table4[Period_Clean],Product_Month_Actual_Variable_Cost[[#Headers],[2025-04]],Table4[CostType],"Variable")</f>
        <v>1247.48</v>
      </c>
      <c r="R9">
        <f>SUMIFS(Table4[ActualCost_Clean],Table4[ProductID_Clean],Product_Month_Actual_Variable_Cost[[#This Row],[ProductID]],Table4[Period_Clean],Product_Month_Actual_Variable_Cost[[#Headers],[2025-05]],Table4[CostType],"Variable")</f>
        <v>1247.2</v>
      </c>
      <c r="S9">
        <f>SUMIFS(Table4[ActualCost_Clean],Table4[ProductID_Clean],Product_Month_Actual_Variable_Cost[[#This Row],[ProductID]],Table4[Period_Clean],Product_Month_Actual_Variable_Cost[[#Headers],[2025-06]],Table4[CostType],"Variable")</f>
        <v>1271.29</v>
      </c>
      <c r="V9" t="s">
        <v>81</v>
      </c>
      <c r="W9" t="s">
        <v>32</v>
      </c>
      <c r="X9">
        <f>Table33[[#This Row],[1/1/2025]]*Product_Month_Actual_Variable_Cost[[#This Row],[2025-01]]</f>
        <v>0</v>
      </c>
      <c r="Y9">
        <f>Table33[[#This Row],[2/1/2025]]*Product_Month_Actual_Variable_Cost[[#This Row],[2025-02]]</f>
        <v>0</v>
      </c>
      <c r="Z9">
        <f>Table33[[#This Row],[3/1/2025]]*Product_Month_Actual_Variable_Cost[[#This Row],[2025-03]]</f>
        <v>0</v>
      </c>
      <c r="AA9">
        <f>Table33[[#This Row],[4/1/2025]]*Product_Month_Actual_Variable_Cost[[#This Row],[2025-04]]</f>
        <v>2494.96</v>
      </c>
      <c r="AB9">
        <f>Table33[[#This Row],[5/1/2025]]*Product_Month_Actual_Variable_Cost[[#This Row],[2025-05]]</f>
        <v>2494.4</v>
      </c>
      <c r="AC9">
        <f>Table33[[#This Row],[6/1/2025]]*Product_Month_Actual_Variable_Cost[[#This Row],[2025-06]]</f>
        <v>0</v>
      </c>
      <c r="AD9">
        <f>SUM(Product_Region_Monthly_Variable_Cost[[#This Row],[25-Jan]:[25-Jun]])</f>
        <v>4989.3600000000006</v>
      </c>
      <c r="AG9" t="s">
        <v>81</v>
      </c>
      <c r="AH9" t="s">
        <v>32</v>
      </c>
      <c r="AI9">
        <f>SUMIFS(Table4[ActualCost_Clean],Table4[ProductID_Clean],Product_Month_Actual_Fixed_Cost[[#This Row],[ProductID]],Table4[Period_Clean],Product_Month_Actual_Variable_Cost[[#Headers],[2025-01]],Table4[CostType],"Fixed")</f>
        <v>301.18</v>
      </c>
      <c r="AJ9">
        <f>SUMIFS(Table4[ActualCost_Clean],Table4[ProductID_Clean],Product_Month_Actual_Fixed_Cost[[#This Row],[ProductID]],Table4[Period_Clean],Product_Month_Actual_Variable_Cost[[#Headers],[2025-02]],Table4[CostType],"Fixed")</f>
        <v>290.14</v>
      </c>
      <c r="AK9">
        <f>SUMIFS(Table4[ActualCost_Clean],Table4[ProductID_Clean],Product_Month_Actual_Fixed_Cost[[#This Row],[ProductID]],Table4[Period_Clean],Product_Month_Actual_Variable_Cost[[#Headers],[2025-03]],Table4[CostType],"Fixed")</f>
        <v>277.74</v>
      </c>
      <c r="AL9">
        <f>SUMIFS(Table4[ActualCost_Clean],Table4[ProductID_Clean],Product_Month_Actual_Fixed_Cost[[#This Row],[ProductID]],Table4[Period_Clean],Product_Month_Actual_Variable_Cost[[#Headers],[2025-04]],Table4[CostType],"Fixed")</f>
        <v>290.36</v>
      </c>
      <c r="AM9">
        <f>SUMIFS(Table4[ActualCost_Clean],Table4[ProductID_Clean],Product_Month_Actual_Fixed_Cost[[#This Row],[ProductID]],Table4[Period_Clean],Product_Month_Actual_Variable_Cost[[#Headers],[2025-05]],Table4[CostType],"Fixed")</f>
        <v>283.91000000000003</v>
      </c>
      <c r="AN9">
        <f>SUMIFS(Table4[ActualCost_Clean],Table4[ProductID_Clean],Product_Month_Actual_Fixed_Cost[[#This Row],[ProductID]],Table4[Period_Clean],Product_Month_Actual_Variable_Cost[[#Headers],[2025-06]],Table4[CostType],"Fixed")</f>
        <v>296.85000000000002</v>
      </c>
      <c r="AQ9" t="s">
        <v>81</v>
      </c>
      <c r="AR9" t="s">
        <v>32</v>
      </c>
      <c r="AS9">
        <f>Product_Month_Actual_Fixed_Cost[[#This Row],[2025-01]]*Table33[[#This Row],[1/1/2025]]</f>
        <v>0</v>
      </c>
      <c r="AT9">
        <f>Product_Month_Actual_Fixed_Cost[[#This Row],[2025-02]]*Table33[[#This Row],[2/1/2025]]</f>
        <v>0</v>
      </c>
      <c r="AU9">
        <f>Product_Month_Actual_Fixed_Cost[[#This Row],[2025-03]]*Table33[[#This Row],[3/1/2025]]</f>
        <v>0</v>
      </c>
      <c r="AV9">
        <f>Product_Month_Actual_Fixed_Cost[[#This Row],[2025-04]]*Table33[[#This Row],[4/1/2025]]</f>
        <v>580.72</v>
      </c>
      <c r="AW9">
        <f>Product_Month_Actual_Fixed_Cost[[#This Row],[2025-05]]*Table33[[#This Row],[5/1/2025]]</f>
        <v>567.82000000000005</v>
      </c>
      <c r="AX9">
        <f>Product_Month_Actual_Fixed_Cost[[#This Row],[2025-06]]*Table33[[#This Row],[6/1/2025]]</f>
        <v>0</v>
      </c>
      <c r="AY9">
        <f>SUM(Product_Region_Monthly_Fixed_Cost[[#This Row],[25-Jan]:[25-Jun]])</f>
        <v>1148.54</v>
      </c>
      <c r="BB9" t="s">
        <v>81</v>
      </c>
      <c r="BC9" t="s">
        <v>32</v>
      </c>
      <c r="BD9">
        <f>Product_Region_Monthly_Fixed_Cost[[#This Row],[25-Jan]]+Product_Region_Monthly_Variable_Cost[[#This Row],[25-Jan]]</f>
        <v>0</v>
      </c>
      <c r="BE9">
        <f>Product_Region_Monthly_Fixed_Cost[[#This Row],[25-Feb]]+Product_Region_Monthly_Variable_Cost[[#This Row],[25-Feb]]</f>
        <v>0</v>
      </c>
      <c r="BF9">
        <f>Product_Region_Monthly_Fixed_Cost[[#This Row],[25-Mar]]+Product_Region_Monthly_Variable_Cost[[#This Row],[25-Mar]]</f>
        <v>0</v>
      </c>
      <c r="BG9">
        <f>Product_Region_Monthly_Fixed_Cost[[#This Row],[25-Apr]]+Product_Region_Monthly_Variable_Cost[[#This Row],[25-Apr]]</f>
        <v>3075.6800000000003</v>
      </c>
      <c r="BH9">
        <f>Product_Region_Monthly_Fixed_Cost[[#This Row],[25-May]]+Product_Region_Monthly_Variable_Cost[[#This Row],[25-May]]</f>
        <v>3062.2200000000003</v>
      </c>
      <c r="BI9">
        <f>Product_Region_Monthly_Fixed_Cost[[#This Row],[25-Jun]]+Product_Region_Monthly_Variable_Cost[[#This Row],[25-Jun]]</f>
        <v>0</v>
      </c>
      <c r="BJ9">
        <f>Product_Region_Monthly_Fixed_Cost[[#This Row],[H1 Fixed Cost]]+Product_Region_Monthly_Variable_Cost[[#This Row],[H1 Variable Cost]]</f>
        <v>6137.9000000000005</v>
      </c>
    </row>
    <row r="10" spans="1:62">
      <c r="A10" t="s">
        <v>216</v>
      </c>
      <c r="B10" t="s">
        <v>23</v>
      </c>
      <c r="C10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10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0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10">
        <f>SUMIFS(Table1[Quantity],Table1[ProductID],Table33[[#This Row],[ProductID]],Table1[RegionClean_],Table33[[#This Row],[Region]],Table1[TransactionDate_Clean],"&gt;"&amp;EOMONTH($F$1,-1),Table1[TransactionDate_Clean],"&lt;="&amp;EOMONTH($F$1,0))</f>
        <v>3</v>
      </c>
      <c r="G10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10">
        <f>SUMIFS(Table1[Quantity],Table1[ProductID],Table33[[#This Row],[ProductID]],Table1[RegionClean_],Table33[[#This Row],[Region]],Table1[TransactionDate_Clean],"&gt;"&amp;EOMONTH($H$1,-1),Table1[TransactionDate_Clean],"&lt;="&amp;EOMONTH($H$1,0))</f>
        <v>4</v>
      </c>
      <c r="I10">
        <f>SUM(Table33[[#This Row],[1/1/2025]:[6/1/2025]])</f>
        <v>10</v>
      </c>
      <c r="L10" t="s">
        <v>216</v>
      </c>
      <c r="M10" t="s">
        <v>23</v>
      </c>
      <c r="N10">
        <f>SUMIFS(Table4[ActualCost_Clean],Table4[ProductID_Clean],Product_Month_Actual_Variable_Cost[[#This Row],[ProductID]],Table4[Period_Clean],Product_Month_Actual_Variable_Cost[[#Headers],[2025-01]],Table4[CostType],"Variable")</f>
        <v>2111.06</v>
      </c>
      <c r="O10">
        <f>SUMIFS(Table4[ActualCost_Clean],Table4[ProductID_Clean],Product_Month_Actual_Variable_Cost[[#This Row],[ProductID]],Table4[Period_Clean],Product_Month_Actual_Variable_Cost[[#Headers],[2025-02]],Table4[CostType],"Variable")</f>
        <v>2067.25</v>
      </c>
      <c r="P10">
        <f>SUMIFS(Table4[ActualCost_Clean],Table4[ProductID_Clean],Product_Month_Actual_Variable_Cost[[#This Row],[ProductID]],Table4[Period_Clean],Product_Month_Actual_Variable_Cost[[#Headers],[2025-03]],Table4[CostType],"Variable")</f>
        <v>2105</v>
      </c>
      <c r="Q10">
        <f>SUMIFS(Table4[ActualCost_Clean],Table4[ProductID_Clean],Product_Month_Actual_Variable_Cost[[#This Row],[ProductID]],Table4[Period_Clean],Product_Month_Actual_Variable_Cost[[#Headers],[2025-04]],Table4[CostType],"Variable")</f>
        <v>2112.37</v>
      </c>
      <c r="R10">
        <f>SUMIFS(Table4[ActualCost_Clean],Table4[ProductID_Clean],Product_Month_Actual_Variable_Cost[[#This Row],[ProductID]],Table4[Period_Clean],Product_Month_Actual_Variable_Cost[[#Headers],[2025-05]],Table4[CostType],"Variable")</f>
        <v>2122.36</v>
      </c>
      <c r="S10">
        <f>SUMIFS(Table4[ActualCost_Clean],Table4[ProductID_Clean],Product_Month_Actual_Variable_Cost[[#This Row],[ProductID]],Table4[Period_Clean],Product_Month_Actual_Variable_Cost[[#Headers],[2025-06]],Table4[CostType],"Variable")</f>
        <v>2152.2199999999998</v>
      </c>
      <c r="V10" t="s">
        <v>216</v>
      </c>
      <c r="W10" t="s">
        <v>23</v>
      </c>
      <c r="X10">
        <f>Table33[[#This Row],[1/1/2025]]*Product_Month_Actual_Variable_Cost[[#This Row],[2025-01]]</f>
        <v>2111.06</v>
      </c>
      <c r="Y10">
        <f>Table33[[#This Row],[2/1/2025]]*Product_Month_Actual_Variable_Cost[[#This Row],[2025-02]]</f>
        <v>0</v>
      </c>
      <c r="Z10">
        <f>Table33[[#This Row],[3/1/2025]]*Product_Month_Actual_Variable_Cost[[#This Row],[2025-03]]</f>
        <v>0</v>
      </c>
      <c r="AA10">
        <f>Table33[[#This Row],[4/1/2025]]*Product_Month_Actual_Variable_Cost[[#This Row],[2025-04]]</f>
        <v>6337.11</v>
      </c>
      <c r="AB10">
        <f>Table33[[#This Row],[5/1/2025]]*Product_Month_Actual_Variable_Cost[[#This Row],[2025-05]]</f>
        <v>4244.72</v>
      </c>
      <c r="AC10">
        <f>Table33[[#This Row],[6/1/2025]]*Product_Month_Actual_Variable_Cost[[#This Row],[2025-06]]</f>
        <v>8608.8799999999992</v>
      </c>
      <c r="AD10">
        <f>SUM(Product_Region_Monthly_Variable_Cost[[#This Row],[25-Jan]:[25-Jun]])</f>
        <v>21301.769999999997</v>
      </c>
      <c r="AG10" t="s">
        <v>216</v>
      </c>
      <c r="AH10" t="s">
        <v>23</v>
      </c>
      <c r="AI10">
        <f>SUMIFS(Table4[ActualCost_Clean],Table4[ProductID_Clean],Product_Month_Actual_Fixed_Cost[[#This Row],[ProductID]],Table4[Period_Clean],Product_Month_Actual_Variable_Cost[[#Headers],[2025-01]],Table4[CostType],"Fixed")</f>
        <v>424.87</v>
      </c>
      <c r="AJ10">
        <f>SUMIFS(Table4[ActualCost_Clean],Table4[ProductID_Clean],Product_Month_Actual_Fixed_Cost[[#This Row],[ProductID]],Table4[Period_Clean],Product_Month_Actual_Variable_Cost[[#Headers],[2025-02]],Table4[CostType],"Fixed")</f>
        <v>415.32</v>
      </c>
      <c r="AK10">
        <f>SUMIFS(Table4[ActualCost_Clean],Table4[ProductID_Clean],Product_Month_Actual_Fixed_Cost[[#This Row],[ProductID]],Table4[Period_Clean],Product_Month_Actual_Variable_Cost[[#Headers],[2025-03]],Table4[CostType],"Fixed")</f>
        <v>408.18</v>
      </c>
      <c r="AL10">
        <f>SUMIFS(Table4[ActualCost_Clean],Table4[ProductID_Clean],Product_Month_Actual_Fixed_Cost[[#This Row],[ProductID]],Table4[Period_Clean],Product_Month_Actual_Variable_Cost[[#Headers],[2025-04]],Table4[CostType],"Fixed")</f>
        <v>434.23</v>
      </c>
      <c r="AM10">
        <f>SUMIFS(Table4[ActualCost_Clean],Table4[ProductID_Clean],Product_Month_Actual_Fixed_Cost[[#This Row],[ProductID]],Table4[Period_Clean],Product_Month_Actual_Variable_Cost[[#Headers],[2025-05]],Table4[CostType],"Fixed")</f>
        <v>393.61</v>
      </c>
      <c r="AN10">
        <f>SUMIFS(Table4[ActualCost_Clean],Table4[ProductID_Clean],Product_Month_Actual_Fixed_Cost[[#This Row],[ProductID]],Table4[Period_Clean],Product_Month_Actual_Variable_Cost[[#Headers],[2025-06]],Table4[CostType],"Fixed")</f>
        <v>393.65</v>
      </c>
      <c r="AQ10" t="s">
        <v>216</v>
      </c>
      <c r="AR10" t="s">
        <v>23</v>
      </c>
      <c r="AS10">
        <f>Product_Month_Actual_Fixed_Cost[[#This Row],[2025-01]]*Table33[[#This Row],[1/1/2025]]</f>
        <v>424.87</v>
      </c>
      <c r="AT10">
        <f>Product_Month_Actual_Fixed_Cost[[#This Row],[2025-02]]*Table33[[#This Row],[2/1/2025]]</f>
        <v>0</v>
      </c>
      <c r="AU10">
        <f>Product_Month_Actual_Fixed_Cost[[#This Row],[2025-03]]*Table33[[#This Row],[3/1/2025]]</f>
        <v>0</v>
      </c>
      <c r="AV10">
        <f>Product_Month_Actual_Fixed_Cost[[#This Row],[2025-04]]*Table33[[#This Row],[4/1/2025]]</f>
        <v>1302.69</v>
      </c>
      <c r="AW10">
        <f>Product_Month_Actual_Fixed_Cost[[#This Row],[2025-05]]*Table33[[#This Row],[5/1/2025]]</f>
        <v>787.22</v>
      </c>
      <c r="AX10">
        <f>Product_Month_Actual_Fixed_Cost[[#This Row],[2025-06]]*Table33[[#This Row],[6/1/2025]]</f>
        <v>1574.6</v>
      </c>
      <c r="AY10">
        <f>SUM(Product_Region_Monthly_Fixed_Cost[[#This Row],[25-Jan]:[25-Jun]])</f>
        <v>4089.3799999999997</v>
      </c>
      <c r="BB10" t="s">
        <v>216</v>
      </c>
      <c r="BC10" t="s">
        <v>23</v>
      </c>
      <c r="BD10">
        <f>Product_Region_Monthly_Fixed_Cost[[#This Row],[25-Jan]]+Product_Region_Monthly_Variable_Cost[[#This Row],[25-Jan]]</f>
        <v>2535.9299999999998</v>
      </c>
      <c r="BE10">
        <f>Product_Region_Monthly_Fixed_Cost[[#This Row],[25-Feb]]+Product_Region_Monthly_Variable_Cost[[#This Row],[25-Feb]]</f>
        <v>0</v>
      </c>
      <c r="BF10">
        <f>Product_Region_Monthly_Fixed_Cost[[#This Row],[25-Mar]]+Product_Region_Monthly_Variable_Cost[[#This Row],[25-Mar]]</f>
        <v>0</v>
      </c>
      <c r="BG10">
        <f>Product_Region_Monthly_Fixed_Cost[[#This Row],[25-Apr]]+Product_Region_Monthly_Variable_Cost[[#This Row],[25-Apr]]</f>
        <v>7639.7999999999993</v>
      </c>
      <c r="BH10">
        <f>Product_Region_Monthly_Fixed_Cost[[#This Row],[25-May]]+Product_Region_Monthly_Variable_Cost[[#This Row],[25-May]]</f>
        <v>5031.9400000000005</v>
      </c>
      <c r="BI10">
        <f>Product_Region_Monthly_Fixed_Cost[[#This Row],[25-Jun]]+Product_Region_Monthly_Variable_Cost[[#This Row],[25-Jun]]</f>
        <v>10183.48</v>
      </c>
      <c r="BJ10">
        <f>Product_Region_Monthly_Fixed_Cost[[#This Row],[H1 Fixed Cost]]+Product_Region_Monthly_Variable_Cost[[#This Row],[H1 Variable Cost]]</f>
        <v>25391.149999999998</v>
      </c>
    </row>
    <row r="11" spans="1:62">
      <c r="A11" t="s">
        <v>216</v>
      </c>
      <c r="B11" t="s">
        <v>47</v>
      </c>
      <c r="C11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11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1">
        <f>SUMIFS(Table1[Quantity],Table1[ProductID],Table33[[#This Row],[ProductID]],Table1[RegionClean_],Table33[[#This Row],[Region]],Table1[TransactionDate_Clean],"&gt;"&amp;EOMONTH($E$1,-1),Table1[TransactionDate_Clean],"&lt;="&amp;EOMONTH($E$1,0))</f>
        <v>2</v>
      </c>
      <c r="F11">
        <f>SUMIFS(Table1[Quantity],Table1[ProductID],Table33[[#This Row],[ProductID]],Table1[RegionClean_],Table33[[#This Row],[Region]],Table1[TransactionDate_Clean],"&gt;"&amp;EOMONTH($F$1,-1),Table1[TransactionDate_Clean],"&lt;="&amp;EOMONTH($F$1,0))</f>
        <v>3</v>
      </c>
      <c r="G11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11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11">
        <f>SUM(Table33[[#This Row],[1/1/2025]:[6/1/2025]])</f>
        <v>7</v>
      </c>
      <c r="L11" t="s">
        <v>216</v>
      </c>
      <c r="M11" t="s">
        <v>47</v>
      </c>
      <c r="N11">
        <f>SUMIFS(Table4[ActualCost_Clean],Table4[ProductID_Clean],Product_Month_Actual_Variable_Cost[[#This Row],[ProductID]],Table4[Period_Clean],Product_Month_Actual_Variable_Cost[[#Headers],[2025-01]],Table4[CostType],"Variable")</f>
        <v>2111.06</v>
      </c>
      <c r="O11">
        <f>SUMIFS(Table4[ActualCost_Clean],Table4[ProductID_Clean],Product_Month_Actual_Variable_Cost[[#This Row],[ProductID]],Table4[Period_Clean],Product_Month_Actual_Variable_Cost[[#Headers],[2025-02]],Table4[CostType],"Variable")</f>
        <v>2067.25</v>
      </c>
      <c r="P11">
        <f>SUMIFS(Table4[ActualCost_Clean],Table4[ProductID_Clean],Product_Month_Actual_Variable_Cost[[#This Row],[ProductID]],Table4[Period_Clean],Product_Month_Actual_Variable_Cost[[#Headers],[2025-03]],Table4[CostType],"Variable")</f>
        <v>2105</v>
      </c>
      <c r="Q11">
        <f>SUMIFS(Table4[ActualCost_Clean],Table4[ProductID_Clean],Product_Month_Actual_Variable_Cost[[#This Row],[ProductID]],Table4[Period_Clean],Product_Month_Actual_Variable_Cost[[#Headers],[2025-04]],Table4[CostType],"Variable")</f>
        <v>2112.37</v>
      </c>
      <c r="R11">
        <f>SUMIFS(Table4[ActualCost_Clean],Table4[ProductID_Clean],Product_Month_Actual_Variable_Cost[[#This Row],[ProductID]],Table4[Period_Clean],Product_Month_Actual_Variable_Cost[[#Headers],[2025-05]],Table4[CostType],"Variable")</f>
        <v>2122.36</v>
      </c>
      <c r="S11">
        <f>SUMIFS(Table4[ActualCost_Clean],Table4[ProductID_Clean],Product_Month_Actual_Variable_Cost[[#This Row],[ProductID]],Table4[Period_Clean],Product_Month_Actual_Variable_Cost[[#Headers],[2025-06]],Table4[CostType],"Variable")</f>
        <v>2152.2199999999998</v>
      </c>
      <c r="V11" t="s">
        <v>216</v>
      </c>
      <c r="W11" t="s">
        <v>47</v>
      </c>
      <c r="X11">
        <f>Table33[[#This Row],[1/1/2025]]*Product_Month_Actual_Variable_Cost[[#This Row],[2025-01]]</f>
        <v>0</v>
      </c>
      <c r="Y11">
        <f>Table33[[#This Row],[2/1/2025]]*Product_Month_Actual_Variable_Cost[[#This Row],[2025-02]]</f>
        <v>0</v>
      </c>
      <c r="Z11">
        <f>Table33[[#This Row],[3/1/2025]]*Product_Month_Actual_Variable_Cost[[#This Row],[2025-03]]</f>
        <v>4210</v>
      </c>
      <c r="AA11">
        <f>Table33[[#This Row],[4/1/2025]]*Product_Month_Actual_Variable_Cost[[#This Row],[2025-04]]</f>
        <v>6337.11</v>
      </c>
      <c r="AB11">
        <f>Table33[[#This Row],[5/1/2025]]*Product_Month_Actual_Variable_Cost[[#This Row],[2025-05]]</f>
        <v>0</v>
      </c>
      <c r="AC11">
        <f>Table33[[#This Row],[6/1/2025]]*Product_Month_Actual_Variable_Cost[[#This Row],[2025-06]]</f>
        <v>4304.4399999999996</v>
      </c>
      <c r="AD11">
        <f>SUM(Product_Region_Monthly_Variable_Cost[[#This Row],[25-Jan]:[25-Jun]])</f>
        <v>14851.55</v>
      </c>
      <c r="AG11" t="s">
        <v>216</v>
      </c>
      <c r="AH11" t="s">
        <v>47</v>
      </c>
      <c r="AI11">
        <f>SUMIFS(Table4[ActualCost_Clean],Table4[ProductID_Clean],Product_Month_Actual_Fixed_Cost[[#This Row],[ProductID]],Table4[Period_Clean],Product_Month_Actual_Variable_Cost[[#Headers],[2025-01]],Table4[CostType],"Fixed")</f>
        <v>424.87</v>
      </c>
      <c r="AJ11">
        <f>SUMIFS(Table4[ActualCost_Clean],Table4[ProductID_Clean],Product_Month_Actual_Fixed_Cost[[#This Row],[ProductID]],Table4[Period_Clean],Product_Month_Actual_Variable_Cost[[#Headers],[2025-02]],Table4[CostType],"Fixed")</f>
        <v>415.32</v>
      </c>
      <c r="AK11">
        <f>SUMIFS(Table4[ActualCost_Clean],Table4[ProductID_Clean],Product_Month_Actual_Fixed_Cost[[#This Row],[ProductID]],Table4[Period_Clean],Product_Month_Actual_Variable_Cost[[#Headers],[2025-03]],Table4[CostType],"Fixed")</f>
        <v>408.18</v>
      </c>
      <c r="AL11">
        <f>SUMIFS(Table4[ActualCost_Clean],Table4[ProductID_Clean],Product_Month_Actual_Fixed_Cost[[#This Row],[ProductID]],Table4[Period_Clean],Product_Month_Actual_Variable_Cost[[#Headers],[2025-04]],Table4[CostType],"Fixed")</f>
        <v>434.23</v>
      </c>
      <c r="AM11">
        <f>SUMIFS(Table4[ActualCost_Clean],Table4[ProductID_Clean],Product_Month_Actual_Fixed_Cost[[#This Row],[ProductID]],Table4[Period_Clean],Product_Month_Actual_Variable_Cost[[#Headers],[2025-05]],Table4[CostType],"Fixed")</f>
        <v>393.61</v>
      </c>
      <c r="AN11">
        <f>SUMIFS(Table4[ActualCost_Clean],Table4[ProductID_Clean],Product_Month_Actual_Fixed_Cost[[#This Row],[ProductID]],Table4[Period_Clean],Product_Month_Actual_Variable_Cost[[#Headers],[2025-06]],Table4[CostType],"Fixed")</f>
        <v>393.65</v>
      </c>
      <c r="AQ11" t="s">
        <v>216</v>
      </c>
      <c r="AR11" t="s">
        <v>47</v>
      </c>
      <c r="AS11">
        <f>Product_Month_Actual_Fixed_Cost[[#This Row],[2025-01]]*Table33[[#This Row],[1/1/2025]]</f>
        <v>0</v>
      </c>
      <c r="AT11">
        <f>Product_Month_Actual_Fixed_Cost[[#This Row],[2025-02]]*Table33[[#This Row],[2/1/2025]]</f>
        <v>0</v>
      </c>
      <c r="AU11">
        <f>Product_Month_Actual_Fixed_Cost[[#This Row],[2025-03]]*Table33[[#This Row],[3/1/2025]]</f>
        <v>816.36</v>
      </c>
      <c r="AV11">
        <f>Product_Month_Actual_Fixed_Cost[[#This Row],[2025-04]]*Table33[[#This Row],[4/1/2025]]</f>
        <v>1302.69</v>
      </c>
      <c r="AW11">
        <f>Product_Month_Actual_Fixed_Cost[[#This Row],[2025-05]]*Table33[[#This Row],[5/1/2025]]</f>
        <v>0</v>
      </c>
      <c r="AX11">
        <f>Product_Month_Actual_Fixed_Cost[[#This Row],[2025-06]]*Table33[[#This Row],[6/1/2025]]</f>
        <v>787.3</v>
      </c>
      <c r="AY11">
        <f>SUM(Product_Region_Monthly_Fixed_Cost[[#This Row],[25-Jan]:[25-Jun]])</f>
        <v>2906.3500000000004</v>
      </c>
      <c r="BB11" t="s">
        <v>216</v>
      </c>
      <c r="BC11" t="s">
        <v>47</v>
      </c>
      <c r="BD11">
        <f>Product_Region_Monthly_Fixed_Cost[[#This Row],[25-Jan]]+Product_Region_Monthly_Variable_Cost[[#This Row],[25-Jan]]</f>
        <v>0</v>
      </c>
      <c r="BE11">
        <f>Product_Region_Monthly_Fixed_Cost[[#This Row],[25-Feb]]+Product_Region_Monthly_Variable_Cost[[#This Row],[25-Feb]]</f>
        <v>0</v>
      </c>
      <c r="BF11">
        <f>Product_Region_Monthly_Fixed_Cost[[#This Row],[25-Mar]]+Product_Region_Monthly_Variable_Cost[[#This Row],[25-Mar]]</f>
        <v>5026.3599999999997</v>
      </c>
      <c r="BG11">
        <f>Product_Region_Monthly_Fixed_Cost[[#This Row],[25-Apr]]+Product_Region_Monthly_Variable_Cost[[#This Row],[25-Apr]]</f>
        <v>7639.7999999999993</v>
      </c>
      <c r="BH11">
        <f>Product_Region_Monthly_Fixed_Cost[[#This Row],[25-May]]+Product_Region_Monthly_Variable_Cost[[#This Row],[25-May]]</f>
        <v>0</v>
      </c>
      <c r="BI11">
        <f>Product_Region_Monthly_Fixed_Cost[[#This Row],[25-Jun]]+Product_Region_Monthly_Variable_Cost[[#This Row],[25-Jun]]</f>
        <v>5091.74</v>
      </c>
      <c r="BJ11">
        <f>Product_Region_Monthly_Fixed_Cost[[#This Row],[H1 Fixed Cost]]+Product_Region_Monthly_Variable_Cost[[#This Row],[H1 Variable Cost]]</f>
        <v>17757.900000000001</v>
      </c>
    </row>
    <row r="12" spans="1:62">
      <c r="A12" t="s">
        <v>216</v>
      </c>
      <c r="B12" t="s">
        <v>58</v>
      </c>
      <c r="C12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12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2">
        <f>SUMIFS(Table1[Quantity],Table1[ProductID],Table33[[#This Row],[ProductID]],Table1[RegionClean_],Table33[[#This Row],[Region]],Table1[TransactionDate_Clean],"&gt;"&amp;EOMONTH($E$1,-1),Table1[TransactionDate_Clean],"&lt;="&amp;EOMONTH($E$1,0))</f>
        <v>3</v>
      </c>
      <c r="F12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12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12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12">
        <f>SUM(Table33[[#This Row],[1/1/2025]:[6/1/2025]])</f>
        <v>7</v>
      </c>
      <c r="L12" t="s">
        <v>216</v>
      </c>
      <c r="M12" t="s">
        <v>58</v>
      </c>
      <c r="N12">
        <f>SUMIFS(Table4[ActualCost_Clean],Table4[ProductID_Clean],Product_Month_Actual_Variable_Cost[[#This Row],[ProductID]],Table4[Period_Clean],Product_Month_Actual_Variable_Cost[[#Headers],[2025-01]],Table4[CostType],"Variable")</f>
        <v>2111.06</v>
      </c>
      <c r="O12">
        <f>SUMIFS(Table4[ActualCost_Clean],Table4[ProductID_Clean],Product_Month_Actual_Variable_Cost[[#This Row],[ProductID]],Table4[Period_Clean],Product_Month_Actual_Variable_Cost[[#Headers],[2025-02]],Table4[CostType],"Variable")</f>
        <v>2067.25</v>
      </c>
      <c r="P12">
        <f>SUMIFS(Table4[ActualCost_Clean],Table4[ProductID_Clean],Product_Month_Actual_Variable_Cost[[#This Row],[ProductID]],Table4[Period_Clean],Product_Month_Actual_Variable_Cost[[#Headers],[2025-03]],Table4[CostType],"Variable")</f>
        <v>2105</v>
      </c>
      <c r="Q12">
        <f>SUMIFS(Table4[ActualCost_Clean],Table4[ProductID_Clean],Product_Month_Actual_Variable_Cost[[#This Row],[ProductID]],Table4[Period_Clean],Product_Month_Actual_Variable_Cost[[#Headers],[2025-04]],Table4[CostType],"Variable")</f>
        <v>2112.37</v>
      </c>
      <c r="R12">
        <f>SUMIFS(Table4[ActualCost_Clean],Table4[ProductID_Clean],Product_Month_Actual_Variable_Cost[[#This Row],[ProductID]],Table4[Period_Clean],Product_Month_Actual_Variable_Cost[[#Headers],[2025-05]],Table4[CostType],"Variable")</f>
        <v>2122.36</v>
      </c>
      <c r="S12">
        <f>SUMIFS(Table4[ActualCost_Clean],Table4[ProductID_Clean],Product_Month_Actual_Variable_Cost[[#This Row],[ProductID]],Table4[Period_Clean],Product_Month_Actual_Variable_Cost[[#Headers],[2025-06]],Table4[CostType],"Variable")</f>
        <v>2152.2199999999998</v>
      </c>
      <c r="V12" t="s">
        <v>216</v>
      </c>
      <c r="W12" t="s">
        <v>58</v>
      </c>
      <c r="X12">
        <f>Table33[[#This Row],[1/1/2025]]*Product_Month_Actual_Variable_Cost[[#This Row],[2025-01]]</f>
        <v>2111.06</v>
      </c>
      <c r="Y12">
        <f>Table33[[#This Row],[2/1/2025]]*Product_Month_Actual_Variable_Cost[[#This Row],[2025-02]]</f>
        <v>0</v>
      </c>
      <c r="Z12">
        <f>Table33[[#This Row],[3/1/2025]]*Product_Month_Actual_Variable_Cost[[#This Row],[2025-03]]</f>
        <v>6315</v>
      </c>
      <c r="AA12">
        <f>Table33[[#This Row],[4/1/2025]]*Product_Month_Actual_Variable_Cost[[#This Row],[2025-04]]</f>
        <v>0</v>
      </c>
      <c r="AB12">
        <f>Table33[[#This Row],[5/1/2025]]*Product_Month_Actual_Variable_Cost[[#This Row],[2025-05]]</f>
        <v>2122.36</v>
      </c>
      <c r="AC12">
        <f>Table33[[#This Row],[6/1/2025]]*Product_Month_Actual_Variable_Cost[[#This Row],[2025-06]]</f>
        <v>4304.4399999999996</v>
      </c>
      <c r="AD12">
        <f>SUM(Product_Region_Monthly_Variable_Cost[[#This Row],[25-Jan]:[25-Jun]])</f>
        <v>14852.86</v>
      </c>
      <c r="AG12" t="s">
        <v>216</v>
      </c>
      <c r="AH12" t="s">
        <v>58</v>
      </c>
      <c r="AI12">
        <f>SUMIFS(Table4[ActualCost_Clean],Table4[ProductID_Clean],Product_Month_Actual_Fixed_Cost[[#This Row],[ProductID]],Table4[Period_Clean],Product_Month_Actual_Variable_Cost[[#Headers],[2025-01]],Table4[CostType],"Fixed")</f>
        <v>424.87</v>
      </c>
      <c r="AJ12">
        <f>SUMIFS(Table4[ActualCost_Clean],Table4[ProductID_Clean],Product_Month_Actual_Fixed_Cost[[#This Row],[ProductID]],Table4[Period_Clean],Product_Month_Actual_Variable_Cost[[#Headers],[2025-02]],Table4[CostType],"Fixed")</f>
        <v>415.32</v>
      </c>
      <c r="AK12">
        <f>SUMIFS(Table4[ActualCost_Clean],Table4[ProductID_Clean],Product_Month_Actual_Fixed_Cost[[#This Row],[ProductID]],Table4[Period_Clean],Product_Month_Actual_Variable_Cost[[#Headers],[2025-03]],Table4[CostType],"Fixed")</f>
        <v>408.18</v>
      </c>
      <c r="AL12">
        <f>SUMIFS(Table4[ActualCost_Clean],Table4[ProductID_Clean],Product_Month_Actual_Fixed_Cost[[#This Row],[ProductID]],Table4[Period_Clean],Product_Month_Actual_Variable_Cost[[#Headers],[2025-04]],Table4[CostType],"Fixed")</f>
        <v>434.23</v>
      </c>
      <c r="AM12">
        <f>SUMIFS(Table4[ActualCost_Clean],Table4[ProductID_Clean],Product_Month_Actual_Fixed_Cost[[#This Row],[ProductID]],Table4[Period_Clean],Product_Month_Actual_Variable_Cost[[#Headers],[2025-05]],Table4[CostType],"Fixed")</f>
        <v>393.61</v>
      </c>
      <c r="AN12">
        <f>SUMIFS(Table4[ActualCost_Clean],Table4[ProductID_Clean],Product_Month_Actual_Fixed_Cost[[#This Row],[ProductID]],Table4[Period_Clean],Product_Month_Actual_Variable_Cost[[#Headers],[2025-06]],Table4[CostType],"Fixed")</f>
        <v>393.65</v>
      </c>
      <c r="AQ12" t="s">
        <v>216</v>
      </c>
      <c r="AR12" t="s">
        <v>58</v>
      </c>
      <c r="AS12">
        <f>Product_Month_Actual_Fixed_Cost[[#This Row],[2025-01]]*Table33[[#This Row],[1/1/2025]]</f>
        <v>424.87</v>
      </c>
      <c r="AT12">
        <f>Product_Month_Actual_Fixed_Cost[[#This Row],[2025-02]]*Table33[[#This Row],[2/1/2025]]</f>
        <v>0</v>
      </c>
      <c r="AU12">
        <f>Product_Month_Actual_Fixed_Cost[[#This Row],[2025-03]]*Table33[[#This Row],[3/1/2025]]</f>
        <v>1224.54</v>
      </c>
      <c r="AV12">
        <f>Product_Month_Actual_Fixed_Cost[[#This Row],[2025-04]]*Table33[[#This Row],[4/1/2025]]</f>
        <v>0</v>
      </c>
      <c r="AW12">
        <f>Product_Month_Actual_Fixed_Cost[[#This Row],[2025-05]]*Table33[[#This Row],[5/1/2025]]</f>
        <v>393.61</v>
      </c>
      <c r="AX12">
        <f>Product_Month_Actual_Fixed_Cost[[#This Row],[2025-06]]*Table33[[#This Row],[6/1/2025]]</f>
        <v>787.3</v>
      </c>
      <c r="AY12">
        <f>SUM(Product_Region_Monthly_Fixed_Cost[[#This Row],[25-Jan]:[25-Jun]])</f>
        <v>2830.3199999999997</v>
      </c>
      <c r="BB12" t="s">
        <v>216</v>
      </c>
      <c r="BC12" t="s">
        <v>58</v>
      </c>
      <c r="BD12">
        <f>Product_Region_Monthly_Fixed_Cost[[#This Row],[25-Jan]]+Product_Region_Monthly_Variable_Cost[[#This Row],[25-Jan]]</f>
        <v>2535.9299999999998</v>
      </c>
      <c r="BE12">
        <f>Product_Region_Monthly_Fixed_Cost[[#This Row],[25-Feb]]+Product_Region_Monthly_Variable_Cost[[#This Row],[25-Feb]]</f>
        <v>0</v>
      </c>
      <c r="BF12">
        <f>Product_Region_Monthly_Fixed_Cost[[#This Row],[25-Mar]]+Product_Region_Monthly_Variable_Cost[[#This Row],[25-Mar]]</f>
        <v>7539.54</v>
      </c>
      <c r="BG12">
        <f>Product_Region_Monthly_Fixed_Cost[[#This Row],[25-Apr]]+Product_Region_Monthly_Variable_Cost[[#This Row],[25-Apr]]</f>
        <v>0</v>
      </c>
      <c r="BH12">
        <f>Product_Region_Monthly_Fixed_Cost[[#This Row],[25-May]]+Product_Region_Monthly_Variable_Cost[[#This Row],[25-May]]</f>
        <v>2515.9700000000003</v>
      </c>
      <c r="BI12">
        <f>Product_Region_Monthly_Fixed_Cost[[#This Row],[25-Jun]]+Product_Region_Monthly_Variable_Cost[[#This Row],[25-Jun]]</f>
        <v>5091.74</v>
      </c>
      <c r="BJ12">
        <f>Product_Region_Monthly_Fixed_Cost[[#This Row],[H1 Fixed Cost]]+Product_Region_Monthly_Variable_Cost[[#This Row],[H1 Variable Cost]]</f>
        <v>17683.18</v>
      </c>
    </row>
    <row r="13" spans="1:62">
      <c r="A13" t="s">
        <v>216</v>
      </c>
      <c r="B13" t="s">
        <v>32</v>
      </c>
      <c r="C13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13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3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13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13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13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13">
        <f>SUM(Table33[[#This Row],[1/1/2025]:[6/1/2025]])</f>
        <v>1</v>
      </c>
      <c r="L13" t="s">
        <v>216</v>
      </c>
      <c r="M13" t="s">
        <v>32</v>
      </c>
      <c r="N13">
        <f>SUMIFS(Table4[ActualCost_Clean],Table4[ProductID_Clean],Product_Month_Actual_Variable_Cost[[#This Row],[ProductID]],Table4[Period_Clean],Product_Month_Actual_Variable_Cost[[#Headers],[2025-01]],Table4[CostType],"Variable")</f>
        <v>2111.06</v>
      </c>
      <c r="O13">
        <f>SUMIFS(Table4[ActualCost_Clean],Table4[ProductID_Clean],Product_Month_Actual_Variable_Cost[[#This Row],[ProductID]],Table4[Period_Clean],Product_Month_Actual_Variable_Cost[[#Headers],[2025-02]],Table4[CostType],"Variable")</f>
        <v>2067.25</v>
      </c>
      <c r="P13">
        <f>SUMIFS(Table4[ActualCost_Clean],Table4[ProductID_Clean],Product_Month_Actual_Variable_Cost[[#This Row],[ProductID]],Table4[Period_Clean],Product_Month_Actual_Variable_Cost[[#Headers],[2025-03]],Table4[CostType],"Variable")</f>
        <v>2105</v>
      </c>
      <c r="Q13">
        <f>SUMIFS(Table4[ActualCost_Clean],Table4[ProductID_Clean],Product_Month_Actual_Variable_Cost[[#This Row],[ProductID]],Table4[Period_Clean],Product_Month_Actual_Variable_Cost[[#Headers],[2025-04]],Table4[CostType],"Variable")</f>
        <v>2112.37</v>
      </c>
      <c r="R13">
        <f>SUMIFS(Table4[ActualCost_Clean],Table4[ProductID_Clean],Product_Month_Actual_Variable_Cost[[#This Row],[ProductID]],Table4[Period_Clean],Product_Month_Actual_Variable_Cost[[#Headers],[2025-05]],Table4[CostType],"Variable")</f>
        <v>2122.36</v>
      </c>
      <c r="S13">
        <f>SUMIFS(Table4[ActualCost_Clean],Table4[ProductID_Clean],Product_Month_Actual_Variable_Cost[[#This Row],[ProductID]],Table4[Period_Clean],Product_Month_Actual_Variable_Cost[[#Headers],[2025-06]],Table4[CostType],"Variable")</f>
        <v>2152.2199999999998</v>
      </c>
      <c r="V13" t="s">
        <v>216</v>
      </c>
      <c r="W13" t="s">
        <v>32</v>
      </c>
      <c r="X13">
        <f>Table33[[#This Row],[1/1/2025]]*Product_Month_Actual_Variable_Cost[[#This Row],[2025-01]]</f>
        <v>0</v>
      </c>
      <c r="Y13">
        <f>Table33[[#This Row],[2/1/2025]]*Product_Month_Actual_Variable_Cost[[#This Row],[2025-02]]</f>
        <v>0</v>
      </c>
      <c r="Z13">
        <f>Table33[[#This Row],[3/1/2025]]*Product_Month_Actual_Variable_Cost[[#This Row],[2025-03]]</f>
        <v>2105</v>
      </c>
      <c r="AA13">
        <f>Table33[[#This Row],[4/1/2025]]*Product_Month_Actual_Variable_Cost[[#This Row],[2025-04]]</f>
        <v>0</v>
      </c>
      <c r="AB13">
        <f>Table33[[#This Row],[5/1/2025]]*Product_Month_Actual_Variable_Cost[[#This Row],[2025-05]]</f>
        <v>0</v>
      </c>
      <c r="AC13">
        <f>Table33[[#This Row],[6/1/2025]]*Product_Month_Actual_Variable_Cost[[#This Row],[2025-06]]</f>
        <v>0</v>
      </c>
      <c r="AD13">
        <f>SUM(Product_Region_Monthly_Variable_Cost[[#This Row],[25-Jan]:[25-Jun]])</f>
        <v>2105</v>
      </c>
      <c r="AG13" t="s">
        <v>216</v>
      </c>
      <c r="AH13" t="s">
        <v>32</v>
      </c>
      <c r="AI13">
        <f>SUMIFS(Table4[ActualCost_Clean],Table4[ProductID_Clean],Product_Month_Actual_Fixed_Cost[[#This Row],[ProductID]],Table4[Period_Clean],Product_Month_Actual_Variable_Cost[[#Headers],[2025-01]],Table4[CostType],"Fixed")</f>
        <v>424.87</v>
      </c>
      <c r="AJ13">
        <f>SUMIFS(Table4[ActualCost_Clean],Table4[ProductID_Clean],Product_Month_Actual_Fixed_Cost[[#This Row],[ProductID]],Table4[Period_Clean],Product_Month_Actual_Variable_Cost[[#Headers],[2025-02]],Table4[CostType],"Fixed")</f>
        <v>415.32</v>
      </c>
      <c r="AK13">
        <f>SUMIFS(Table4[ActualCost_Clean],Table4[ProductID_Clean],Product_Month_Actual_Fixed_Cost[[#This Row],[ProductID]],Table4[Period_Clean],Product_Month_Actual_Variable_Cost[[#Headers],[2025-03]],Table4[CostType],"Fixed")</f>
        <v>408.18</v>
      </c>
      <c r="AL13">
        <f>SUMIFS(Table4[ActualCost_Clean],Table4[ProductID_Clean],Product_Month_Actual_Fixed_Cost[[#This Row],[ProductID]],Table4[Period_Clean],Product_Month_Actual_Variable_Cost[[#Headers],[2025-04]],Table4[CostType],"Fixed")</f>
        <v>434.23</v>
      </c>
      <c r="AM13">
        <f>SUMIFS(Table4[ActualCost_Clean],Table4[ProductID_Clean],Product_Month_Actual_Fixed_Cost[[#This Row],[ProductID]],Table4[Period_Clean],Product_Month_Actual_Variable_Cost[[#Headers],[2025-05]],Table4[CostType],"Fixed")</f>
        <v>393.61</v>
      </c>
      <c r="AN13">
        <f>SUMIFS(Table4[ActualCost_Clean],Table4[ProductID_Clean],Product_Month_Actual_Fixed_Cost[[#This Row],[ProductID]],Table4[Period_Clean],Product_Month_Actual_Variable_Cost[[#Headers],[2025-06]],Table4[CostType],"Fixed")</f>
        <v>393.65</v>
      </c>
      <c r="AQ13" t="s">
        <v>216</v>
      </c>
      <c r="AR13" t="s">
        <v>32</v>
      </c>
      <c r="AS13">
        <f>Product_Month_Actual_Fixed_Cost[[#This Row],[2025-01]]*Table33[[#This Row],[1/1/2025]]</f>
        <v>0</v>
      </c>
      <c r="AT13">
        <f>Product_Month_Actual_Fixed_Cost[[#This Row],[2025-02]]*Table33[[#This Row],[2/1/2025]]</f>
        <v>0</v>
      </c>
      <c r="AU13">
        <f>Product_Month_Actual_Fixed_Cost[[#This Row],[2025-03]]*Table33[[#This Row],[3/1/2025]]</f>
        <v>408.18</v>
      </c>
      <c r="AV13">
        <f>Product_Month_Actual_Fixed_Cost[[#This Row],[2025-04]]*Table33[[#This Row],[4/1/2025]]</f>
        <v>0</v>
      </c>
      <c r="AW13">
        <f>Product_Month_Actual_Fixed_Cost[[#This Row],[2025-05]]*Table33[[#This Row],[5/1/2025]]</f>
        <v>0</v>
      </c>
      <c r="AX13">
        <f>Product_Month_Actual_Fixed_Cost[[#This Row],[2025-06]]*Table33[[#This Row],[6/1/2025]]</f>
        <v>0</v>
      </c>
      <c r="AY13">
        <f>SUM(Product_Region_Monthly_Fixed_Cost[[#This Row],[25-Jan]:[25-Jun]])</f>
        <v>408.18</v>
      </c>
      <c r="BB13" t="s">
        <v>216</v>
      </c>
      <c r="BC13" t="s">
        <v>32</v>
      </c>
      <c r="BD13">
        <f>Product_Region_Monthly_Fixed_Cost[[#This Row],[25-Jan]]+Product_Region_Monthly_Variable_Cost[[#This Row],[25-Jan]]</f>
        <v>0</v>
      </c>
      <c r="BE13">
        <f>Product_Region_Monthly_Fixed_Cost[[#This Row],[25-Feb]]+Product_Region_Monthly_Variable_Cost[[#This Row],[25-Feb]]</f>
        <v>0</v>
      </c>
      <c r="BF13">
        <f>Product_Region_Monthly_Fixed_Cost[[#This Row],[25-Mar]]+Product_Region_Monthly_Variable_Cost[[#This Row],[25-Mar]]</f>
        <v>2513.1799999999998</v>
      </c>
      <c r="BG13">
        <f>Product_Region_Monthly_Fixed_Cost[[#This Row],[25-Apr]]+Product_Region_Monthly_Variable_Cost[[#This Row],[25-Apr]]</f>
        <v>0</v>
      </c>
      <c r="BH13">
        <f>Product_Region_Monthly_Fixed_Cost[[#This Row],[25-May]]+Product_Region_Monthly_Variable_Cost[[#This Row],[25-May]]</f>
        <v>0</v>
      </c>
      <c r="BI13">
        <f>Product_Region_Monthly_Fixed_Cost[[#This Row],[25-Jun]]+Product_Region_Monthly_Variable_Cost[[#This Row],[25-Jun]]</f>
        <v>0</v>
      </c>
      <c r="BJ13">
        <f>Product_Region_Monthly_Fixed_Cost[[#This Row],[H1 Fixed Cost]]+Product_Region_Monthly_Variable_Cost[[#This Row],[H1 Variable Cost]]</f>
        <v>2513.1799999999998</v>
      </c>
    </row>
    <row r="14" spans="1:62">
      <c r="A14" t="s">
        <v>432</v>
      </c>
      <c r="B14" t="s">
        <v>23</v>
      </c>
      <c r="C14">
        <f>SUMIFS(Table1[Quantity],Table1[ProductID],Table33[[#This Row],[ProductID]],Table1[RegionClean_],Table33[[#This Row],[Region]],Table1[TransactionDate_Clean],"&gt;"&amp;EOMONTH($C$1,-1),Table1[TransactionDate_Clean],"&lt;="&amp;EOMONTH($C$1,0))</f>
        <v>4</v>
      </c>
      <c r="D14">
        <f>SUMIFS(Table1[Quantity],Table1[ProductID],Table33[[#This Row],[ProductID]],Table1[RegionClean_],Table33[[#This Row],[Region]],Table1[TransactionDate_Clean],"&gt;"&amp;EOMONTH($D$1,-1),Table1[TransactionDate_Clean],"&lt;="&amp;EOMONTH($D$1,0))</f>
        <v>1</v>
      </c>
      <c r="E14">
        <f>SUMIFS(Table1[Quantity],Table1[ProductID],Table33[[#This Row],[ProductID]],Table1[RegionClean_],Table33[[#This Row],[Region]],Table1[TransactionDate_Clean],"&gt;"&amp;EOMONTH($E$1,-1),Table1[TransactionDate_Clean],"&lt;="&amp;EOMONTH($E$1,0))</f>
        <v>2</v>
      </c>
      <c r="F14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14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14">
        <f>SUMIFS(Table1[Quantity],Table1[ProductID],Table33[[#This Row],[ProductID]],Table1[RegionClean_],Table33[[#This Row],[Region]],Table1[TransactionDate_Clean],"&gt;"&amp;EOMONTH($H$1,-1),Table1[TransactionDate_Clean],"&lt;="&amp;EOMONTH($H$1,0))</f>
        <v>3</v>
      </c>
      <c r="I14">
        <f>SUM(Table33[[#This Row],[1/1/2025]:[6/1/2025]])</f>
        <v>12</v>
      </c>
      <c r="L14" t="s">
        <v>432</v>
      </c>
      <c r="M14" t="s">
        <v>23</v>
      </c>
      <c r="N14">
        <f>SUMIFS(Table4[ActualCost_Clean],Table4[ProductID_Clean],Product_Month_Actual_Variable_Cost[[#This Row],[ProductID]],Table4[Period_Clean],Product_Month_Actual_Variable_Cost[[#Headers],[2025-01]],Table4[CostType],"Variable")</f>
        <v>2021.96</v>
      </c>
      <c r="O14">
        <f>SUMIFS(Table4[ActualCost_Clean],Table4[ProductID_Clean],Product_Month_Actual_Variable_Cost[[#This Row],[ProductID]],Table4[Period_Clean],Product_Month_Actual_Variable_Cost[[#Headers],[2025-02]],Table4[CostType],"Variable")</f>
        <v>2067.88</v>
      </c>
      <c r="P14">
        <f>SUMIFS(Table4[ActualCost_Clean],Table4[ProductID_Clean],Product_Month_Actual_Variable_Cost[[#This Row],[ProductID]],Table4[Period_Clean],Product_Month_Actual_Variable_Cost[[#Headers],[2025-03]],Table4[CostType],"Variable")</f>
        <v>2041.18</v>
      </c>
      <c r="Q14">
        <f>SUMIFS(Table4[ActualCost_Clean],Table4[ProductID_Clean],Product_Month_Actual_Variable_Cost[[#This Row],[ProductID]],Table4[Period_Clean],Product_Month_Actual_Variable_Cost[[#Headers],[2025-04]],Table4[CostType],"Variable")</f>
        <v>2023.48</v>
      </c>
      <c r="R14">
        <f>SUMIFS(Table4[ActualCost_Clean],Table4[ProductID_Clean],Product_Month_Actual_Variable_Cost[[#This Row],[ProductID]],Table4[Period_Clean],Product_Month_Actual_Variable_Cost[[#Headers],[2025-05]],Table4[CostType],"Variable")</f>
        <v>2070.92</v>
      </c>
      <c r="S14">
        <f>SUMIFS(Table4[ActualCost_Clean],Table4[ProductID_Clean],Product_Month_Actual_Variable_Cost[[#This Row],[ProductID]],Table4[Period_Clean],Product_Month_Actual_Variable_Cost[[#Headers],[2025-06]],Table4[CostType],"Variable")</f>
        <v>2059.7800000000002</v>
      </c>
      <c r="V14" t="s">
        <v>432</v>
      </c>
      <c r="W14" t="s">
        <v>23</v>
      </c>
      <c r="X14">
        <f>Table33[[#This Row],[1/1/2025]]*Product_Month_Actual_Variable_Cost[[#This Row],[2025-01]]</f>
        <v>8087.84</v>
      </c>
      <c r="Y14">
        <f>Table33[[#This Row],[2/1/2025]]*Product_Month_Actual_Variable_Cost[[#This Row],[2025-02]]</f>
        <v>2067.88</v>
      </c>
      <c r="Z14">
        <f>Table33[[#This Row],[3/1/2025]]*Product_Month_Actual_Variable_Cost[[#This Row],[2025-03]]</f>
        <v>4082.36</v>
      </c>
      <c r="AA14">
        <f>Table33[[#This Row],[4/1/2025]]*Product_Month_Actual_Variable_Cost[[#This Row],[2025-04]]</f>
        <v>0</v>
      </c>
      <c r="AB14">
        <f>Table33[[#This Row],[5/1/2025]]*Product_Month_Actual_Variable_Cost[[#This Row],[2025-05]]</f>
        <v>4141.84</v>
      </c>
      <c r="AC14">
        <f>Table33[[#This Row],[6/1/2025]]*Product_Month_Actual_Variable_Cost[[#This Row],[2025-06]]</f>
        <v>6179.34</v>
      </c>
      <c r="AD14">
        <f>SUM(Product_Region_Monthly_Variable_Cost[[#This Row],[25-Jan]:[25-Jun]])</f>
        <v>24559.260000000002</v>
      </c>
      <c r="AG14" t="s">
        <v>432</v>
      </c>
      <c r="AH14" t="s">
        <v>23</v>
      </c>
      <c r="AI14">
        <f>SUMIFS(Table4[ActualCost_Clean],Table4[ProductID_Clean],Product_Month_Actual_Fixed_Cost[[#This Row],[ProductID]],Table4[Period_Clean],Product_Month_Actual_Variable_Cost[[#Headers],[2025-01]],Table4[CostType],"Fixed")</f>
        <v>369.2</v>
      </c>
      <c r="AJ14">
        <f>SUMIFS(Table4[ActualCost_Clean],Table4[ProductID_Clean],Product_Month_Actual_Fixed_Cost[[#This Row],[ProductID]],Table4[Period_Clean],Product_Month_Actual_Variable_Cost[[#Headers],[2025-02]],Table4[CostType],"Fixed")</f>
        <v>341.28</v>
      </c>
      <c r="AK14">
        <f>SUMIFS(Table4[ActualCost_Clean],Table4[ProductID_Clean],Product_Month_Actual_Fixed_Cost[[#This Row],[ProductID]],Table4[Period_Clean],Product_Month_Actual_Variable_Cost[[#Headers],[2025-03]],Table4[CostType],"Fixed")</f>
        <v>338.29</v>
      </c>
      <c r="AL14">
        <f>SUMIFS(Table4[ActualCost_Clean],Table4[ProductID_Clean],Product_Month_Actual_Fixed_Cost[[#This Row],[ProductID]],Table4[Period_Clean],Product_Month_Actual_Variable_Cost[[#Headers],[2025-04]],Table4[CostType],"Fixed")</f>
        <v>350.82</v>
      </c>
      <c r="AM14">
        <f>SUMIFS(Table4[ActualCost_Clean],Table4[ProductID_Clean],Product_Month_Actual_Fixed_Cost[[#This Row],[ProductID]],Table4[Period_Clean],Product_Month_Actual_Variable_Cost[[#Headers],[2025-05]],Table4[CostType],"Fixed")</f>
        <v>345.26</v>
      </c>
      <c r="AN14">
        <f>SUMIFS(Table4[ActualCost_Clean],Table4[ProductID_Clean],Product_Month_Actual_Fixed_Cost[[#This Row],[ProductID]],Table4[Period_Clean],Product_Month_Actual_Variable_Cost[[#Headers],[2025-06]],Table4[CostType],"Fixed")</f>
        <v>372.27</v>
      </c>
      <c r="AQ14" t="s">
        <v>432</v>
      </c>
      <c r="AR14" t="s">
        <v>23</v>
      </c>
      <c r="AS14">
        <f>Product_Month_Actual_Fixed_Cost[[#This Row],[2025-01]]*Table33[[#This Row],[1/1/2025]]</f>
        <v>1476.8</v>
      </c>
      <c r="AT14">
        <f>Product_Month_Actual_Fixed_Cost[[#This Row],[2025-02]]*Table33[[#This Row],[2/1/2025]]</f>
        <v>341.28</v>
      </c>
      <c r="AU14">
        <f>Product_Month_Actual_Fixed_Cost[[#This Row],[2025-03]]*Table33[[#This Row],[3/1/2025]]</f>
        <v>676.58</v>
      </c>
      <c r="AV14">
        <f>Product_Month_Actual_Fixed_Cost[[#This Row],[2025-04]]*Table33[[#This Row],[4/1/2025]]</f>
        <v>0</v>
      </c>
      <c r="AW14">
        <f>Product_Month_Actual_Fixed_Cost[[#This Row],[2025-05]]*Table33[[#This Row],[5/1/2025]]</f>
        <v>690.52</v>
      </c>
      <c r="AX14">
        <f>Product_Month_Actual_Fixed_Cost[[#This Row],[2025-06]]*Table33[[#This Row],[6/1/2025]]</f>
        <v>1116.81</v>
      </c>
      <c r="AY14">
        <f>SUM(Product_Region_Monthly_Fixed_Cost[[#This Row],[25-Jan]:[25-Jun]])</f>
        <v>4301.99</v>
      </c>
      <c r="BB14" t="s">
        <v>432</v>
      </c>
      <c r="BC14" t="s">
        <v>23</v>
      </c>
      <c r="BD14">
        <f>Product_Region_Monthly_Fixed_Cost[[#This Row],[25-Jan]]+Product_Region_Monthly_Variable_Cost[[#This Row],[25-Jan]]</f>
        <v>9564.64</v>
      </c>
      <c r="BE14">
        <f>Product_Region_Monthly_Fixed_Cost[[#This Row],[25-Feb]]+Product_Region_Monthly_Variable_Cost[[#This Row],[25-Feb]]</f>
        <v>2409.16</v>
      </c>
      <c r="BF14">
        <f>Product_Region_Monthly_Fixed_Cost[[#This Row],[25-Mar]]+Product_Region_Monthly_Variable_Cost[[#This Row],[25-Mar]]</f>
        <v>4758.9400000000005</v>
      </c>
      <c r="BG14">
        <f>Product_Region_Monthly_Fixed_Cost[[#This Row],[25-Apr]]+Product_Region_Monthly_Variable_Cost[[#This Row],[25-Apr]]</f>
        <v>0</v>
      </c>
      <c r="BH14">
        <f>Product_Region_Monthly_Fixed_Cost[[#This Row],[25-May]]+Product_Region_Monthly_Variable_Cost[[#This Row],[25-May]]</f>
        <v>4832.3600000000006</v>
      </c>
      <c r="BI14">
        <f>Product_Region_Monthly_Fixed_Cost[[#This Row],[25-Jun]]+Product_Region_Monthly_Variable_Cost[[#This Row],[25-Jun]]</f>
        <v>7296.15</v>
      </c>
      <c r="BJ14">
        <f>Product_Region_Monthly_Fixed_Cost[[#This Row],[H1 Fixed Cost]]+Product_Region_Monthly_Variable_Cost[[#This Row],[H1 Variable Cost]]</f>
        <v>28861.25</v>
      </c>
    </row>
    <row r="15" spans="1:62">
      <c r="A15" t="s">
        <v>432</v>
      </c>
      <c r="B15" t="s">
        <v>47</v>
      </c>
      <c r="C15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15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5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15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15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15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15">
        <f>SUM(Table33[[#This Row],[1/1/2025]:[6/1/2025]])</f>
        <v>3</v>
      </c>
      <c r="L15" t="s">
        <v>432</v>
      </c>
      <c r="M15" t="s">
        <v>47</v>
      </c>
      <c r="N15">
        <f>SUMIFS(Table4[ActualCost_Clean],Table4[ProductID_Clean],Product_Month_Actual_Variable_Cost[[#This Row],[ProductID]],Table4[Period_Clean],Product_Month_Actual_Variable_Cost[[#Headers],[2025-01]],Table4[CostType],"Variable")</f>
        <v>2021.96</v>
      </c>
      <c r="O15">
        <f>SUMIFS(Table4[ActualCost_Clean],Table4[ProductID_Clean],Product_Month_Actual_Variable_Cost[[#This Row],[ProductID]],Table4[Period_Clean],Product_Month_Actual_Variable_Cost[[#Headers],[2025-02]],Table4[CostType],"Variable")</f>
        <v>2067.88</v>
      </c>
      <c r="P15">
        <f>SUMIFS(Table4[ActualCost_Clean],Table4[ProductID_Clean],Product_Month_Actual_Variable_Cost[[#This Row],[ProductID]],Table4[Period_Clean],Product_Month_Actual_Variable_Cost[[#Headers],[2025-03]],Table4[CostType],"Variable")</f>
        <v>2041.18</v>
      </c>
      <c r="Q15">
        <f>SUMIFS(Table4[ActualCost_Clean],Table4[ProductID_Clean],Product_Month_Actual_Variable_Cost[[#This Row],[ProductID]],Table4[Period_Clean],Product_Month_Actual_Variable_Cost[[#Headers],[2025-04]],Table4[CostType],"Variable")</f>
        <v>2023.48</v>
      </c>
      <c r="R15">
        <f>SUMIFS(Table4[ActualCost_Clean],Table4[ProductID_Clean],Product_Month_Actual_Variable_Cost[[#This Row],[ProductID]],Table4[Period_Clean],Product_Month_Actual_Variable_Cost[[#Headers],[2025-05]],Table4[CostType],"Variable")</f>
        <v>2070.92</v>
      </c>
      <c r="S15">
        <f>SUMIFS(Table4[ActualCost_Clean],Table4[ProductID_Clean],Product_Month_Actual_Variable_Cost[[#This Row],[ProductID]],Table4[Period_Clean],Product_Month_Actual_Variable_Cost[[#Headers],[2025-06]],Table4[CostType],"Variable")</f>
        <v>2059.7800000000002</v>
      </c>
      <c r="V15" t="s">
        <v>432</v>
      </c>
      <c r="W15" t="s">
        <v>47</v>
      </c>
      <c r="X15">
        <f>Table33[[#This Row],[1/1/2025]]*Product_Month_Actual_Variable_Cost[[#This Row],[2025-01]]</f>
        <v>2021.96</v>
      </c>
      <c r="Y15">
        <f>Table33[[#This Row],[2/1/2025]]*Product_Month_Actual_Variable_Cost[[#This Row],[2025-02]]</f>
        <v>0</v>
      </c>
      <c r="Z15">
        <f>Table33[[#This Row],[3/1/2025]]*Product_Month_Actual_Variable_Cost[[#This Row],[2025-03]]</f>
        <v>2041.18</v>
      </c>
      <c r="AA15">
        <f>Table33[[#This Row],[4/1/2025]]*Product_Month_Actual_Variable_Cost[[#This Row],[2025-04]]</f>
        <v>0</v>
      </c>
      <c r="AB15">
        <f>Table33[[#This Row],[5/1/2025]]*Product_Month_Actual_Variable_Cost[[#This Row],[2025-05]]</f>
        <v>0</v>
      </c>
      <c r="AC15">
        <f>Table33[[#This Row],[6/1/2025]]*Product_Month_Actual_Variable_Cost[[#This Row],[2025-06]]</f>
        <v>2059.7800000000002</v>
      </c>
      <c r="AD15">
        <f>SUM(Product_Region_Monthly_Variable_Cost[[#This Row],[25-Jan]:[25-Jun]])</f>
        <v>6122.92</v>
      </c>
      <c r="AG15" t="s">
        <v>432</v>
      </c>
      <c r="AH15" t="s">
        <v>47</v>
      </c>
      <c r="AI15">
        <f>SUMIFS(Table4[ActualCost_Clean],Table4[ProductID_Clean],Product_Month_Actual_Fixed_Cost[[#This Row],[ProductID]],Table4[Period_Clean],Product_Month_Actual_Variable_Cost[[#Headers],[2025-01]],Table4[CostType],"Fixed")</f>
        <v>369.2</v>
      </c>
      <c r="AJ15">
        <f>SUMIFS(Table4[ActualCost_Clean],Table4[ProductID_Clean],Product_Month_Actual_Fixed_Cost[[#This Row],[ProductID]],Table4[Period_Clean],Product_Month_Actual_Variable_Cost[[#Headers],[2025-02]],Table4[CostType],"Fixed")</f>
        <v>341.28</v>
      </c>
      <c r="AK15">
        <f>SUMIFS(Table4[ActualCost_Clean],Table4[ProductID_Clean],Product_Month_Actual_Fixed_Cost[[#This Row],[ProductID]],Table4[Period_Clean],Product_Month_Actual_Variable_Cost[[#Headers],[2025-03]],Table4[CostType],"Fixed")</f>
        <v>338.29</v>
      </c>
      <c r="AL15">
        <f>SUMIFS(Table4[ActualCost_Clean],Table4[ProductID_Clean],Product_Month_Actual_Fixed_Cost[[#This Row],[ProductID]],Table4[Period_Clean],Product_Month_Actual_Variable_Cost[[#Headers],[2025-04]],Table4[CostType],"Fixed")</f>
        <v>350.82</v>
      </c>
      <c r="AM15">
        <f>SUMIFS(Table4[ActualCost_Clean],Table4[ProductID_Clean],Product_Month_Actual_Fixed_Cost[[#This Row],[ProductID]],Table4[Period_Clean],Product_Month_Actual_Variable_Cost[[#Headers],[2025-05]],Table4[CostType],"Fixed")</f>
        <v>345.26</v>
      </c>
      <c r="AN15">
        <f>SUMIFS(Table4[ActualCost_Clean],Table4[ProductID_Clean],Product_Month_Actual_Fixed_Cost[[#This Row],[ProductID]],Table4[Period_Clean],Product_Month_Actual_Variable_Cost[[#Headers],[2025-06]],Table4[CostType],"Fixed")</f>
        <v>372.27</v>
      </c>
      <c r="AQ15" t="s">
        <v>432</v>
      </c>
      <c r="AR15" t="s">
        <v>47</v>
      </c>
      <c r="AS15">
        <f>Product_Month_Actual_Fixed_Cost[[#This Row],[2025-01]]*Table33[[#This Row],[1/1/2025]]</f>
        <v>369.2</v>
      </c>
      <c r="AT15">
        <f>Product_Month_Actual_Fixed_Cost[[#This Row],[2025-02]]*Table33[[#This Row],[2/1/2025]]</f>
        <v>0</v>
      </c>
      <c r="AU15">
        <f>Product_Month_Actual_Fixed_Cost[[#This Row],[2025-03]]*Table33[[#This Row],[3/1/2025]]</f>
        <v>338.29</v>
      </c>
      <c r="AV15">
        <f>Product_Month_Actual_Fixed_Cost[[#This Row],[2025-04]]*Table33[[#This Row],[4/1/2025]]</f>
        <v>0</v>
      </c>
      <c r="AW15">
        <f>Product_Month_Actual_Fixed_Cost[[#This Row],[2025-05]]*Table33[[#This Row],[5/1/2025]]</f>
        <v>0</v>
      </c>
      <c r="AX15">
        <f>Product_Month_Actual_Fixed_Cost[[#This Row],[2025-06]]*Table33[[#This Row],[6/1/2025]]</f>
        <v>372.27</v>
      </c>
      <c r="AY15">
        <f>SUM(Product_Region_Monthly_Fixed_Cost[[#This Row],[25-Jan]:[25-Jun]])</f>
        <v>1079.76</v>
      </c>
      <c r="BB15" t="s">
        <v>432</v>
      </c>
      <c r="BC15" t="s">
        <v>47</v>
      </c>
      <c r="BD15">
        <f>Product_Region_Monthly_Fixed_Cost[[#This Row],[25-Jan]]+Product_Region_Monthly_Variable_Cost[[#This Row],[25-Jan]]</f>
        <v>2391.16</v>
      </c>
      <c r="BE15">
        <f>Product_Region_Monthly_Fixed_Cost[[#This Row],[25-Feb]]+Product_Region_Monthly_Variable_Cost[[#This Row],[25-Feb]]</f>
        <v>0</v>
      </c>
      <c r="BF15">
        <f>Product_Region_Monthly_Fixed_Cost[[#This Row],[25-Mar]]+Product_Region_Monthly_Variable_Cost[[#This Row],[25-Mar]]</f>
        <v>2379.4700000000003</v>
      </c>
      <c r="BG15">
        <f>Product_Region_Monthly_Fixed_Cost[[#This Row],[25-Apr]]+Product_Region_Monthly_Variable_Cost[[#This Row],[25-Apr]]</f>
        <v>0</v>
      </c>
      <c r="BH15">
        <f>Product_Region_Monthly_Fixed_Cost[[#This Row],[25-May]]+Product_Region_Monthly_Variable_Cost[[#This Row],[25-May]]</f>
        <v>0</v>
      </c>
      <c r="BI15">
        <f>Product_Region_Monthly_Fixed_Cost[[#This Row],[25-Jun]]+Product_Region_Monthly_Variable_Cost[[#This Row],[25-Jun]]</f>
        <v>2432.0500000000002</v>
      </c>
      <c r="BJ15">
        <f>Product_Region_Monthly_Fixed_Cost[[#This Row],[H1 Fixed Cost]]+Product_Region_Monthly_Variable_Cost[[#This Row],[H1 Variable Cost]]</f>
        <v>7202.68</v>
      </c>
    </row>
    <row r="16" spans="1:62">
      <c r="A16" t="s">
        <v>432</v>
      </c>
      <c r="B16" t="s">
        <v>58</v>
      </c>
      <c r="C16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16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6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16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16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16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16">
        <f>SUM(Table33[[#This Row],[1/1/2025]:[6/1/2025]])</f>
        <v>1</v>
      </c>
      <c r="L16" t="s">
        <v>432</v>
      </c>
      <c r="M16" t="s">
        <v>58</v>
      </c>
      <c r="N16">
        <f>SUMIFS(Table4[ActualCost_Clean],Table4[ProductID_Clean],Product_Month_Actual_Variable_Cost[[#This Row],[ProductID]],Table4[Period_Clean],Product_Month_Actual_Variable_Cost[[#Headers],[2025-01]],Table4[CostType],"Variable")</f>
        <v>2021.96</v>
      </c>
      <c r="O16">
        <f>SUMIFS(Table4[ActualCost_Clean],Table4[ProductID_Clean],Product_Month_Actual_Variable_Cost[[#This Row],[ProductID]],Table4[Period_Clean],Product_Month_Actual_Variable_Cost[[#Headers],[2025-02]],Table4[CostType],"Variable")</f>
        <v>2067.88</v>
      </c>
      <c r="P16">
        <f>SUMIFS(Table4[ActualCost_Clean],Table4[ProductID_Clean],Product_Month_Actual_Variable_Cost[[#This Row],[ProductID]],Table4[Period_Clean],Product_Month_Actual_Variable_Cost[[#Headers],[2025-03]],Table4[CostType],"Variable")</f>
        <v>2041.18</v>
      </c>
      <c r="Q16">
        <f>SUMIFS(Table4[ActualCost_Clean],Table4[ProductID_Clean],Product_Month_Actual_Variable_Cost[[#This Row],[ProductID]],Table4[Period_Clean],Product_Month_Actual_Variable_Cost[[#Headers],[2025-04]],Table4[CostType],"Variable")</f>
        <v>2023.48</v>
      </c>
      <c r="R16">
        <f>SUMIFS(Table4[ActualCost_Clean],Table4[ProductID_Clean],Product_Month_Actual_Variable_Cost[[#This Row],[ProductID]],Table4[Period_Clean],Product_Month_Actual_Variable_Cost[[#Headers],[2025-05]],Table4[CostType],"Variable")</f>
        <v>2070.92</v>
      </c>
      <c r="S16">
        <f>SUMIFS(Table4[ActualCost_Clean],Table4[ProductID_Clean],Product_Month_Actual_Variable_Cost[[#This Row],[ProductID]],Table4[Period_Clean],Product_Month_Actual_Variable_Cost[[#Headers],[2025-06]],Table4[CostType],"Variable")</f>
        <v>2059.7800000000002</v>
      </c>
      <c r="V16" t="s">
        <v>432</v>
      </c>
      <c r="W16" t="s">
        <v>58</v>
      </c>
      <c r="X16">
        <f>Table33[[#This Row],[1/1/2025]]*Product_Month_Actual_Variable_Cost[[#This Row],[2025-01]]</f>
        <v>0</v>
      </c>
      <c r="Y16">
        <f>Table33[[#This Row],[2/1/2025]]*Product_Month_Actual_Variable_Cost[[#This Row],[2025-02]]</f>
        <v>0</v>
      </c>
      <c r="Z16">
        <f>Table33[[#This Row],[3/1/2025]]*Product_Month_Actual_Variable_Cost[[#This Row],[2025-03]]</f>
        <v>2041.18</v>
      </c>
      <c r="AA16">
        <f>Table33[[#This Row],[4/1/2025]]*Product_Month_Actual_Variable_Cost[[#This Row],[2025-04]]</f>
        <v>0</v>
      </c>
      <c r="AB16">
        <f>Table33[[#This Row],[5/1/2025]]*Product_Month_Actual_Variable_Cost[[#This Row],[2025-05]]</f>
        <v>0</v>
      </c>
      <c r="AC16">
        <f>Table33[[#This Row],[6/1/2025]]*Product_Month_Actual_Variable_Cost[[#This Row],[2025-06]]</f>
        <v>0</v>
      </c>
      <c r="AD16">
        <f>SUM(Product_Region_Monthly_Variable_Cost[[#This Row],[25-Jan]:[25-Jun]])</f>
        <v>2041.18</v>
      </c>
      <c r="AG16" t="s">
        <v>432</v>
      </c>
      <c r="AH16" t="s">
        <v>58</v>
      </c>
      <c r="AI16">
        <f>SUMIFS(Table4[ActualCost_Clean],Table4[ProductID_Clean],Product_Month_Actual_Fixed_Cost[[#This Row],[ProductID]],Table4[Period_Clean],Product_Month_Actual_Variable_Cost[[#Headers],[2025-01]],Table4[CostType],"Fixed")</f>
        <v>369.2</v>
      </c>
      <c r="AJ16">
        <f>SUMIFS(Table4[ActualCost_Clean],Table4[ProductID_Clean],Product_Month_Actual_Fixed_Cost[[#This Row],[ProductID]],Table4[Period_Clean],Product_Month_Actual_Variable_Cost[[#Headers],[2025-02]],Table4[CostType],"Fixed")</f>
        <v>341.28</v>
      </c>
      <c r="AK16">
        <f>SUMIFS(Table4[ActualCost_Clean],Table4[ProductID_Clean],Product_Month_Actual_Fixed_Cost[[#This Row],[ProductID]],Table4[Period_Clean],Product_Month_Actual_Variable_Cost[[#Headers],[2025-03]],Table4[CostType],"Fixed")</f>
        <v>338.29</v>
      </c>
      <c r="AL16">
        <f>SUMIFS(Table4[ActualCost_Clean],Table4[ProductID_Clean],Product_Month_Actual_Fixed_Cost[[#This Row],[ProductID]],Table4[Period_Clean],Product_Month_Actual_Variable_Cost[[#Headers],[2025-04]],Table4[CostType],"Fixed")</f>
        <v>350.82</v>
      </c>
      <c r="AM16">
        <f>SUMIFS(Table4[ActualCost_Clean],Table4[ProductID_Clean],Product_Month_Actual_Fixed_Cost[[#This Row],[ProductID]],Table4[Period_Clean],Product_Month_Actual_Variable_Cost[[#Headers],[2025-05]],Table4[CostType],"Fixed")</f>
        <v>345.26</v>
      </c>
      <c r="AN16">
        <f>SUMIFS(Table4[ActualCost_Clean],Table4[ProductID_Clean],Product_Month_Actual_Fixed_Cost[[#This Row],[ProductID]],Table4[Period_Clean],Product_Month_Actual_Variable_Cost[[#Headers],[2025-06]],Table4[CostType],"Fixed")</f>
        <v>372.27</v>
      </c>
      <c r="AQ16" t="s">
        <v>432</v>
      </c>
      <c r="AR16" t="s">
        <v>58</v>
      </c>
      <c r="AS16">
        <f>Product_Month_Actual_Fixed_Cost[[#This Row],[2025-01]]*Table33[[#This Row],[1/1/2025]]</f>
        <v>0</v>
      </c>
      <c r="AT16">
        <f>Product_Month_Actual_Fixed_Cost[[#This Row],[2025-02]]*Table33[[#This Row],[2/1/2025]]</f>
        <v>0</v>
      </c>
      <c r="AU16">
        <f>Product_Month_Actual_Fixed_Cost[[#This Row],[2025-03]]*Table33[[#This Row],[3/1/2025]]</f>
        <v>338.29</v>
      </c>
      <c r="AV16">
        <f>Product_Month_Actual_Fixed_Cost[[#This Row],[2025-04]]*Table33[[#This Row],[4/1/2025]]</f>
        <v>0</v>
      </c>
      <c r="AW16">
        <f>Product_Month_Actual_Fixed_Cost[[#This Row],[2025-05]]*Table33[[#This Row],[5/1/2025]]</f>
        <v>0</v>
      </c>
      <c r="AX16">
        <f>Product_Month_Actual_Fixed_Cost[[#This Row],[2025-06]]*Table33[[#This Row],[6/1/2025]]</f>
        <v>0</v>
      </c>
      <c r="AY16">
        <f>SUM(Product_Region_Monthly_Fixed_Cost[[#This Row],[25-Jan]:[25-Jun]])</f>
        <v>338.29</v>
      </c>
      <c r="BB16" t="s">
        <v>432</v>
      </c>
      <c r="BC16" t="s">
        <v>58</v>
      </c>
      <c r="BD16">
        <f>Product_Region_Monthly_Fixed_Cost[[#This Row],[25-Jan]]+Product_Region_Monthly_Variable_Cost[[#This Row],[25-Jan]]</f>
        <v>0</v>
      </c>
      <c r="BE16">
        <f>Product_Region_Monthly_Fixed_Cost[[#This Row],[25-Feb]]+Product_Region_Monthly_Variable_Cost[[#This Row],[25-Feb]]</f>
        <v>0</v>
      </c>
      <c r="BF16">
        <f>Product_Region_Monthly_Fixed_Cost[[#This Row],[25-Mar]]+Product_Region_Monthly_Variable_Cost[[#This Row],[25-Mar]]</f>
        <v>2379.4700000000003</v>
      </c>
      <c r="BG16">
        <f>Product_Region_Monthly_Fixed_Cost[[#This Row],[25-Apr]]+Product_Region_Monthly_Variable_Cost[[#This Row],[25-Apr]]</f>
        <v>0</v>
      </c>
      <c r="BH16">
        <f>Product_Region_Monthly_Fixed_Cost[[#This Row],[25-May]]+Product_Region_Monthly_Variable_Cost[[#This Row],[25-May]]</f>
        <v>0</v>
      </c>
      <c r="BI16">
        <f>Product_Region_Monthly_Fixed_Cost[[#This Row],[25-Jun]]+Product_Region_Monthly_Variable_Cost[[#This Row],[25-Jun]]</f>
        <v>0</v>
      </c>
      <c r="BJ16">
        <f>Product_Region_Monthly_Fixed_Cost[[#This Row],[H1 Fixed Cost]]+Product_Region_Monthly_Variable_Cost[[#This Row],[H1 Variable Cost]]</f>
        <v>2379.4700000000003</v>
      </c>
    </row>
    <row r="17" spans="1:62">
      <c r="A17" t="s">
        <v>432</v>
      </c>
      <c r="B17" t="s">
        <v>32</v>
      </c>
      <c r="C17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17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7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17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17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17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17">
        <f>SUM(Table33[[#This Row],[1/1/2025]:[6/1/2025]])</f>
        <v>0</v>
      </c>
      <c r="L17" t="s">
        <v>432</v>
      </c>
      <c r="M17" t="s">
        <v>32</v>
      </c>
      <c r="N17">
        <f>SUMIFS(Table4[ActualCost_Clean],Table4[ProductID_Clean],Product_Month_Actual_Variable_Cost[[#This Row],[ProductID]],Table4[Period_Clean],Product_Month_Actual_Variable_Cost[[#Headers],[2025-01]],Table4[CostType],"Variable")</f>
        <v>2021.96</v>
      </c>
      <c r="O17">
        <f>SUMIFS(Table4[ActualCost_Clean],Table4[ProductID_Clean],Product_Month_Actual_Variable_Cost[[#This Row],[ProductID]],Table4[Period_Clean],Product_Month_Actual_Variable_Cost[[#Headers],[2025-02]],Table4[CostType],"Variable")</f>
        <v>2067.88</v>
      </c>
      <c r="P17">
        <f>SUMIFS(Table4[ActualCost_Clean],Table4[ProductID_Clean],Product_Month_Actual_Variable_Cost[[#This Row],[ProductID]],Table4[Period_Clean],Product_Month_Actual_Variable_Cost[[#Headers],[2025-03]],Table4[CostType],"Variable")</f>
        <v>2041.18</v>
      </c>
      <c r="Q17">
        <f>SUMIFS(Table4[ActualCost_Clean],Table4[ProductID_Clean],Product_Month_Actual_Variable_Cost[[#This Row],[ProductID]],Table4[Period_Clean],Product_Month_Actual_Variable_Cost[[#Headers],[2025-04]],Table4[CostType],"Variable")</f>
        <v>2023.48</v>
      </c>
      <c r="R17">
        <f>SUMIFS(Table4[ActualCost_Clean],Table4[ProductID_Clean],Product_Month_Actual_Variable_Cost[[#This Row],[ProductID]],Table4[Period_Clean],Product_Month_Actual_Variable_Cost[[#Headers],[2025-05]],Table4[CostType],"Variable")</f>
        <v>2070.92</v>
      </c>
      <c r="S17">
        <f>SUMIFS(Table4[ActualCost_Clean],Table4[ProductID_Clean],Product_Month_Actual_Variable_Cost[[#This Row],[ProductID]],Table4[Period_Clean],Product_Month_Actual_Variable_Cost[[#Headers],[2025-06]],Table4[CostType],"Variable")</f>
        <v>2059.7800000000002</v>
      </c>
      <c r="V17" t="s">
        <v>432</v>
      </c>
      <c r="W17" t="s">
        <v>32</v>
      </c>
      <c r="X17">
        <f>Table33[[#This Row],[1/1/2025]]*Product_Month_Actual_Variable_Cost[[#This Row],[2025-01]]</f>
        <v>0</v>
      </c>
      <c r="Y17">
        <f>Table33[[#This Row],[2/1/2025]]*Product_Month_Actual_Variable_Cost[[#This Row],[2025-02]]</f>
        <v>0</v>
      </c>
      <c r="Z17">
        <f>Table33[[#This Row],[3/1/2025]]*Product_Month_Actual_Variable_Cost[[#This Row],[2025-03]]</f>
        <v>0</v>
      </c>
      <c r="AA17">
        <f>Table33[[#This Row],[4/1/2025]]*Product_Month_Actual_Variable_Cost[[#This Row],[2025-04]]</f>
        <v>0</v>
      </c>
      <c r="AB17">
        <f>Table33[[#This Row],[5/1/2025]]*Product_Month_Actual_Variable_Cost[[#This Row],[2025-05]]</f>
        <v>0</v>
      </c>
      <c r="AC17">
        <f>Table33[[#This Row],[6/1/2025]]*Product_Month_Actual_Variable_Cost[[#This Row],[2025-06]]</f>
        <v>0</v>
      </c>
      <c r="AD17">
        <f>SUM(Product_Region_Monthly_Variable_Cost[[#This Row],[25-Jan]:[25-Jun]])</f>
        <v>0</v>
      </c>
      <c r="AG17" t="s">
        <v>432</v>
      </c>
      <c r="AH17" t="s">
        <v>32</v>
      </c>
      <c r="AI17">
        <f>SUMIFS(Table4[ActualCost_Clean],Table4[ProductID_Clean],Product_Month_Actual_Fixed_Cost[[#This Row],[ProductID]],Table4[Period_Clean],Product_Month_Actual_Variable_Cost[[#Headers],[2025-01]],Table4[CostType],"Fixed")</f>
        <v>369.2</v>
      </c>
      <c r="AJ17">
        <f>SUMIFS(Table4[ActualCost_Clean],Table4[ProductID_Clean],Product_Month_Actual_Fixed_Cost[[#This Row],[ProductID]],Table4[Period_Clean],Product_Month_Actual_Variable_Cost[[#Headers],[2025-02]],Table4[CostType],"Fixed")</f>
        <v>341.28</v>
      </c>
      <c r="AK17">
        <f>SUMIFS(Table4[ActualCost_Clean],Table4[ProductID_Clean],Product_Month_Actual_Fixed_Cost[[#This Row],[ProductID]],Table4[Period_Clean],Product_Month_Actual_Variable_Cost[[#Headers],[2025-03]],Table4[CostType],"Fixed")</f>
        <v>338.29</v>
      </c>
      <c r="AL17">
        <f>SUMIFS(Table4[ActualCost_Clean],Table4[ProductID_Clean],Product_Month_Actual_Fixed_Cost[[#This Row],[ProductID]],Table4[Period_Clean],Product_Month_Actual_Variable_Cost[[#Headers],[2025-04]],Table4[CostType],"Fixed")</f>
        <v>350.82</v>
      </c>
      <c r="AM17">
        <f>SUMIFS(Table4[ActualCost_Clean],Table4[ProductID_Clean],Product_Month_Actual_Fixed_Cost[[#This Row],[ProductID]],Table4[Period_Clean],Product_Month_Actual_Variable_Cost[[#Headers],[2025-05]],Table4[CostType],"Fixed")</f>
        <v>345.26</v>
      </c>
      <c r="AN17">
        <f>SUMIFS(Table4[ActualCost_Clean],Table4[ProductID_Clean],Product_Month_Actual_Fixed_Cost[[#This Row],[ProductID]],Table4[Period_Clean],Product_Month_Actual_Variable_Cost[[#Headers],[2025-06]],Table4[CostType],"Fixed")</f>
        <v>372.27</v>
      </c>
      <c r="AQ17" t="s">
        <v>432</v>
      </c>
      <c r="AR17" t="s">
        <v>32</v>
      </c>
      <c r="AS17">
        <f>Product_Month_Actual_Fixed_Cost[[#This Row],[2025-01]]*Table33[[#This Row],[1/1/2025]]</f>
        <v>0</v>
      </c>
      <c r="AT17">
        <f>Product_Month_Actual_Fixed_Cost[[#This Row],[2025-02]]*Table33[[#This Row],[2/1/2025]]</f>
        <v>0</v>
      </c>
      <c r="AU17">
        <f>Product_Month_Actual_Fixed_Cost[[#This Row],[2025-03]]*Table33[[#This Row],[3/1/2025]]</f>
        <v>0</v>
      </c>
      <c r="AV17">
        <f>Product_Month_Actual_Fixed_Cost[[#This Row],[2025-04]]*Table33[[#This Row],[4/1/2025]]</f>
        <v>0</v>
      </c>
      <c r="AW17">
        <f>Product_Month_Actual_Fixed_Cost[[#This Row],[2025-05]]*Table33[[#This Row],[5/1/2025]]</f>
        <v>0</v>
      </c>
      <c r="AX17">
        <f>Product_Month_Actual_Fixed_Cost[[#This Row],[2025-06]]*Table33[[#This Row],[6/1/2025]]</f>
        <v>0</v>
      </c>
      <c r="AY17">
        <f>SUM(Product_Region_Monthly_Fixed_Cost[[#This Row],[25-Jan]:[25-Jun]])</f>
        <v>0</v>
      </c>
      <c r="BB17" t="s">
        <v>432</v>
      </c>
      <c r="BC17" t="s">
        <v>32</v>
      </c>
      <c r="BD17">
        <f>Product_Region_Monthly_Fixed_Cost[[#This Row],[25-Jan]]+Product_Region_Monthly_Variable_Cost[[#This Row],[25-Jan]]</f>
        <v>0</v>
      </c>
      <c r="BE17">
        <f>Product_Region_Monthly_Fixed_Cost[[#This Row],[25-Feb]]+Product_Region_Monthly_Variable_Cost[[#This Row],[25-Feb]]</f>
        <v>0</v>
      </c>
      <c r="BF17">
        <f>Product_Region_Monthly_Fixed_Cost[[#This Row],[25-Mar]]+Product_Region_Monthly_Variable_Cost[[#This Row],[25-Mar]]</f>
        <v>0</v>
      </c>
      <c r="BG17">
        <f>Product_Region_Monthly_Fixed_Cost[[#This Row],[25-Apr]]+Product_Region_Monthly_Variable_Cost[[#This Row],[25-Apr]]</f>
        <v>0</v>
      </c>
      <c r="BH17">
        <f>Product_Region_Monthly_Fixed_Cost[[#This Row],[25-May]]+Product_Region_Monthly_Variable_Cost[[#This Row],[25-May]]</f>
        <v>0</v>
      </c>
      <c r="BI17">
        <f>Product_Region_Monthly_Fixed_Cost[[#This Row],[25-Jun]]+Product_Region_Monthly_Variable_Cost[[#This Row],[25-Jun]]</f>
        <v>0</v>
      </c>
      <c r="BJ17">
        <f>Product_Region_Monthly_Fixed_Cost[[#This Row],[H1 Fixed Cost]]+Product_Region_Monthly_Variable_Cost[[#This Row],[H1 Variable Cost]]</f>
        <v>0</v>
      </c>
    </row>
    <row r="18" spans="1:62">
      <c r="A18" t="s">
        <v>101</v>
      </c>
      <c r="B18" t="s">
        <v>23</v>
      </c>
      <c r="C18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18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18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18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18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18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18">
        <f>SUM(Table33[[#This Row],[1/1/2025]:[6/1/2025]])</f>
        <v>6</v>
      </c>
      <c r="L18" t="s">
        <v>101</v>
      </c>
      <c r="M18" t="s">
        <v>23</v>
      </c>
      <c r="N18">
        <f>SUMIFS(Table4[ActualCost_Clean],Table4[ProductID_Clean],Product_Month_Actual_Variable_Cost[[#This Row],[ProductID]],Table4[Period_Clean],Product_Month_Actual_Variable_Cost[[#Headers],[2025-01]],Table4[CostType],"Variable")</f>
        <v>408.11</v>
      </c>
      <c r="O18">
        <f>SUMIFS(Table4[ActualCost_Clean],Table4[ProductID_Clean],Product_Month_Actual_Variable_Cost[[#This Row],[ProductID]],Table4[Period_Clean],Product_Month_Actual_Variable_Cost[[#Headers],[2025-02]],Table4[CostType],"Variable")</f>
        <v>432.84</v>
      </c>
      <c r="P18">
        <f>SUMIFS(Table4[ActualCost_Clean],Table4[ProductID_Clean],Product_Month_Actual_Variable_Cost[[#This Row],[ProductID]],Table4[Period_Clean],Product_Month_Actual_Variable_Cost[[#Headers],[2025-03]],Table4[CostType],"Variable")</f>
        <v>436.29</v>
      </c>
      <c r="Q18">
        <f>SUMIFS(Table4[ActualCost_Clean],Table4[ProductID_Clean],Product_Month_Actual_Variable_Cost[[#This Row],[ProductID]],Table4[Period_Clean],Product_Month_Actual_Variable_Cost[[#Headers],[2025-04]],Table4[CostType],"Variable")</f>
        <v>443.31</v>
      </c>
      <c r="R18">
        <f>SUMIFS(Table4[ActualCost_Clean],Table4[ProductID_Clean],Product_Month_Actual_Variable_Cost[[#This Row],[ProductID]],Table4[Period_Clean],Product_Month_Actual_Variable_Cost[[#Headers],[2025-05]],Table4[CostType],"Variable")</f>
        <v>440.54</v>
      </c>
      <c r="S18">
        <f>SUMIFS(Table4[ActualCost_Clean],Table4[ProductID_Clean],Product_Month_Actual_Variable_Cost[[#This Row],[ProductID]],Table4[Period_Clean],Product_Month_Actual_Variable_Cost[[#Headers],[2025-06]],Table4[CostType],"Variable")</f>
        <v>410.71</v>
      </c>
      <c r="V18" t="s">
        <v>101</v>
      </c>
      <c r="W18" t="s">
        <v>23</v>
      </c>
      <c r="X18">
        <f>Table33[[#This Row],[1/1/2025]]*Product_Month_Actual_Variable_Cost[[#This Row],[2025-01]]</f>
        <v>816.22</v>
      </c>
      <c r="Y18">
        <f>Table33[[#This Row],[2/1/2025]]*Product_Month_Actual_Variable_Cost[[#This Row],[2025-02]]</f>
        <v>0</v>
      </c>
      <c r="Z18">
        <f>Table33[[#This Row],[3/1/2025]]*Product_Month_Actual_Variable_Cost[[#This Row],[2025-03]]</f>
        <v>436.29</v>
      </c>
      <c r="AA18">
        <f>Table33[[#This Row],[4/1/2025]]*Product_Month_Actual_Variable_Cost[[#This Row],[2025-04]]</f>
        <v>443.31</v>
      </c>
      <c r="AB18">
        <f>Table33[[#This Row],[5/1/2025]]*Product_Month_Actual_Variable_Cost[[#This Row],[2025-05]]</f>
        <v>440.54</v>
      </c>
      <c r="AC18">
        <f>Table33[[#This Row],[6/1/2025]]*Product_Month_Actual_Variable_Cost[[#This Row],[2025-06]]</f>
        <v>410.71</v>
      </c>
      <c r="AD18">
        <f>SUM(Product_Region_Monthly_Variable_Cost[[#This Row],[25-Jan]:[25-Jun]])</f>
        <v>2547.0700000000002</v>
      </c>
      <c r="AG18" t="s">
        <v>101</v>
      </c>
      <c r="AH18" t="s">
        <v>23</v>
      </c>
      <c r="AI18">
        <f>SUMIFS(Table4[ActualCost_Clean],Table4[ProductID_Clean],Product_Month_Actual_Fixed_Cost[[#This Row],[ProductID]],Table4[Period_Clean],Product_Month_Actual_Variable_Cost[[#Headers],[2025-01]],Table4[CostType],"Fixed")</f>
        <v>95.2</v>
      </c>
      <c r="AJ18">
        <f>SUMIFS(Table4[ActualCost_Clean],Table4[ProductID_Clean],Product_Month_Actual_Fixed_Cost[[#This Row],[ProductID]],Table4[Period_Clean],Product_Month_Actual_Variable_Cost[[#Headers],[2025-02]],Table4[CostType],"Fixed")</f>
        <v>90.78</v>
      </c>
      <c r="AK18">
        <f>SUMIFS(Table4[ActualCost_Clean],Table4[ProductID_Clean],Product_Month_Actual_Fixed_Cost[[#This Row],[ProductID]],Table4[Period_Clean],Product_Month_Actual_Variable_Cost[[#Headers],[2025-03]],Table4[CostType],"Fixed")</f>
        <v>92.08</v>
      </c>
      <c r="AL18">
        <f>SUMIFS(Table4[ActualCost_Clean],Table4[ProductID_Clean],Product_Month_Actual_Fixed_Cost[[#This Row],[ProductID]],Table4[Period_Clean],Product_Month_Actual_Variable_Cost[[#Headers],[2025-04]],Table4[CostType],"Fixed")</f>
        <v>97.82</v>
      </c>
      <c r="AM18">
        <f>SUMIFS(Table4[ActualCost_Clean],Table4[ProductID_Clean],Product_Month_Actual_Fixed_Cost[[#This Row],[ProductID]],Table4[Period_Clean],Product_Month_Actual_Variable_Cost[[#Headers],[2025-05]],Table4[CostType],"Fixed")</f>
        <v>92.75</v>
      </c>
      <c r="AN18">
        <f>SUMIFS(Table4[ActualCost_Clean],Table4[ProductID_Clean],Product_Month_Actual_Fixed_Cost[[#This Row],[ProductID]],Table4[Period_Clean],Product_Month_Actual_Variable_Cost[[#Headers],[2025-06]],Table4[CostType],"Fixed")</f>
        <v>100.75</v>
      </c>
      <c r="AQ18" t="s">
        <v>101</v>
      </c>
      <c r="AR18" t="s">
        <v>23</v>
      </c>
      <c r="AS18">
        <f>Product_Month_Actual_Fixed_Cost[[#This Row],[2025-01]]*Table33[[#This Row],[1/1/2025]]</f>
        <v>190.4</v>
      </c>
      <c r="AT18">
        <f>Product_Month_Actual_Fixed_Cost[[#This Row],[2025-02]]*Table33[[#This Row],[2/1/2025]]</f>
        <v>0</v>
      </c>
      <c r="AU18">
        <f>Product_Month_Actual_Fixed_Cost[[#This Row],[2025-03]]*Table33[[#This Row],[3/1/2025]]</f>
        <v>92.08</v>
      </c>
      <c r="AV18">
        <f>Product_Month_Actual_Fixed_Cost[[#This Row],[2025-04]]*Table33[[#This Row],[4/1/2025]]</f>
        <v>97.82</v>
      </c>
      <c r="AW18">
        <f>Product_Month_Actual_Fixed_Cost[[#This Row],[2025-05]]*Table33[[#This Row],[5/1/2025]]</f>
        <v>92.75</v>
      </c>
      <c r="AX18">
        <f>Product_Month_Actual_Fixed_Cost[[#This Row],[2025-06]]*Table33[[#This Row],[6/1/2025]]</f>
        <v>100.75</v>
      </c>
      <c r="AY18">
        <f>SUM(Product_Region_Monthly_Fixed_Cost[[#This Row],[25-Jan]:[25-Jun]])</f>
        <v>573.79999999999995</v>
      </c>
      <c r="BB18" t="s">
        <v>101</v>
      </c>
      <c r="BC18" t="s">
        <v>23</v>
      </c>
      <c r="BD18">
        <f>Product_Region_Monthly_Fixed_Cost[[#This Row],[25-Jan]]+Product_Region_Monthly_Variable_Cost[[#This Row],[25-Jan]]</f>
        <v>1006.62</v>
      </c>
      <c r="BE18">
        <f>Product_Region_Monthly_Fixed_Cost[[#This Row],[25-Feb]]+Product_Region_Monthly_Variable_Cost[[#This Row],[25-Feb]]</f>
        <v>0</v>
      </c>
      <c r="BF18">
        <f>Product_Region_Monthly_Fixed_Cost[[#This Row],[25-Mar]]+Product_Region_Monthly_Variable_Cost[[#This Row],[25-Mar]]</f>
        <v>528.37</v>
      </c>
      <c r="BG18">
        <f>Product_Region_Monthly_Fixed_Cost[[#This Row],[25-Apr]]+Product_Region_Monthly_Variable_Cost[[#This Row],[25-Apr]]</f>
        <v>541.13</v>
      </c>
      <c r="BH18">
        <f>Product_Region_Monthly_Fixed_Cost[[#This Row],[25-May]]+Product_Region_Monthly_Variable_Cost[[#This Row],[25-May]]</f>
        <v>533.29</v>
      </c>
      <c r="BI18">
        <f>Product_Region_Monthly_Fixed_Cost[[#This Row],[25-Jun]]+Product_Region_Monthly_Variable_Cost[[#This Row],[25-Jun]]</f>
        <v>511.46</v>
      </c>
      <c r="BJ18">
        <f>Product_Region_Monthly_Fixed_Cost[[#This Row],[H1 Fixed Cost]]+Product_Region_Monthly_Variable_Cost[[#This Row],[H1 Variable Cost]]</f>
        <v>3120.87</v>
      </c>
    </row>
    <row r="19" spans="1:62">
      <c r="A19" t="s">
        <v>101</v>
      </c>
      <c r="B19" t="s">
        <v>47</v>
      </c>
      <c r="C19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19">
        <f>SUMIFS(Table1[Quantity],Table1[ProductID],Table33[[#This Row],[ProductID]],Table1[RegionClean_],Table33[[#This Row],[Region]],Table1[TransactionDate_Clean],"&gt;"&amp;EOMONTH($D$1,-1),Table1[TransactionDate_Clean],"&lt;="&amp;EOMONTH($D$1,0))</f>
        <v>2</v>
      </c>
      <c r="E19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19">
        <f>SUMIFS(Table1[Quantity],Table1[ProductID],Table33[[#This Row],[ProductID]],Table1[RegionClean_],Table33[[#This Row],[Region]],Table1[TransactionDate_Clean],"&gt;"&amp;EOMONTH($F$1,-1),Table1[TransactionDate_Clean],"&lt;="&amp;EOMONTH($F$1,0))</f>
        <v>4</v>
      </c>
      <c r="G19">
        <f>SUMIFS(Table1[Quantity],Table1[ProductID],Table33[[#This Row],[ProductID]],Table1[RegionClean_],Table33[[#This Row],[Region]],Table1[TransactionDate_Clean],"&gt;"&amp;EOMONTH($G$1,-1),Table1[TransactionDate_Clean],"&lt;="&amp;EOMONTH($G$1,0))</f>
        <v>3</v>
      </c>
      <c r="H19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19">
        <f>SUM(Table33[[#This Row],[1/1/2025]:[6/1/2025]])</f>
        <v>11</v>
      </c>
      <c r="L19" t="s">
        <v>101</v>
      </c>
      <c r="M19" t="s">
        <v>47</v>
      </c>
      <c r="N19">
        <f>SUMIFS(Table4[ActualCost_Clean],Table4[ProductID_Clean],Product_Month_Actual_Variable_Cost[[#This Row],[ProductID]],Table4[Period_Clean],Product_Month_Actual_Variable_Cost[[#Headers],[2025-01]],Table4[CostType],"Variable")</f>
        <v>408.11</v>
      </c>
      <c r="O19">
        <f>SUMIFS(Table4[ActualCost_Clean],Table4[ProductID_Clean],Product_Month_Actual_Variable_Cost[[#This Row],[ProductID]],Table4[Period_Clean],Product_Month_Actual_Variable_Cost[[#Headers],[2025-02]],Table4[CostType],"Variable")</f>
        <v>432.84</v>
      </c>
      <c r="P19">
        <f>SUMIFS(Table4[ActualCost_Clean],Table4[ProductID_Clean],Product_Month_Actual_Variable_Cost[[#This Row],[ProductID]],Table4[Period_Clean],Product_Month_Actual_Variable_Cost[[#Headers],[2025-03]],Table4[CostType],"Variable")</f>
        <v>436.29</v>
      </c>
      <c r="Q19">
        <f>SUMIFS(Table4[ActualCost_Clean],Table4[ProductID_Clean],Product_Month_Actual_Variable_Cost[[#This Row],[ProductID]],Table4[Period_Clean],Product_Month_Actual_Variable_Cost[[#Headers],[2025-04]],Table4[CostType],"Variable")</f>
        <v>443.31</v>
      </c>
      <c r="R19">
        <f>SUMIFS(Table4[ActualCost_Clean],Table4[ProductID_Clean],Product_Month_Actual_Variable_Cost[[#This Row],[ProductID]],Table4[Period_Clean],Product_Month_Actual_Variable_Cost[[#Headers],[2025-05]],Table4[CostType],"Variable")</f>
        <v>440.54</v>
      </c>
      <c r="S19">
        <f>SUMIFS(Table4[ActualCost_Clean],Table4[ProductID_Clean],Product_Month_Actual_Variable_Cost[[#This Row],[ProductID]],Table4[Period_Clean],Product_Month_Actual_Variable_Cost[[#Headers],[2025-06]],Table4[CostType],"Variable")</f>
        <v>410.71</v>
      </c>
      <c r="V19" t="s">
        <v>101</v>
      </c>
      <c r="W19" t="s">
        <v>47</v>
      </c>
      <c r="X19">
        <f>Table33[[#This Row],[1/1/2025]]*Product_Month_Actual_Variable_Cost[[#This Row],[2025-01]]</f>
        <v>816.22</v>
      </c>
      <c r="Y19">
        <f>Table33[[#This Row],[2/1/2025]]*Product_Month_Actual_Variable_Cost[[#This Row],[2025-02]]</f>
        <v>865.68</v>
      </c>
      <c r="Z19">
        <f>Table33[[#This Row],[3/1/2025]]*Product_Month_Actual_Variable_Cost[[#This Row],[2025-03]]</f>
        <v>0</v>
      </c>
      <c r="AA19">
        <f>Table33[[#This Row],[4/1/2025]]*Product_Month_Actual_Variable_Cost[[#This Row],[2025-04]]</f>
        <v>1773.24</v>
      </c>
      <c r="AB19">
        <f>Table33[[#This Row],[5/1/2025]]*Product_Month_Actual_Variable_Cost[[#This Row],[2025-05]]</f>
        <v>1321.6200000000001</v>
      </c>
      <c r="AC19">
        <f>Table33[[#This Row],[6/1/2025]]*Product_Month_Actual_Variable_Cost[[#This Row],[2025-06]]</f>
        <v>0</v>
      </c>
      <c r="AD19">
        <f>SUM(Product_Region_Monthly_Variable_Cost[[#This Row],[25-Jan]:[25-Jun]])</f>
        <v>4776.76</v>
      </c>
      <c r="AG19" t="s">
        <v>101</v>
      </c>
      <c r="AH19" t="s">
        <v>47</v>
      </c>
      <c r="AI19">
        <f>SUMIFS(Table4[ActualCost_Clean],Table4[ProductID_Clean],Product_Month_Actual_Fixed_Cost[[#This Row],[ProductID]],Table4[Period_Clean],Product_Month_Actual_Variable_Cost[[#Headers],[2025-01]],Table4[CostType],"Fixed")</f>
        <v>95.2</v>
      </c>
      <c r="AJ19">
        <f>SUMIFS(Table4[ActualCost_Clean],Table4[ProductID_Clean],Product_Month_Actual_Fixed_Cost[[#This Row],[ProductID]],Table4[Period_Clean],Product_Month_Actual_Variable_Cost[[#Headers],[2025-02]],Table4[CostType],"Fixed")</f>
        <v>90.78</v>
      </c>
      <c r="AK19">
        <f>SUMIFS(Table4[ActualCost_Clean],Table4[ProductID_Clean],Product_Month_Actual_Fixed_Cost[[#This Row],[ProductID]],Table4[Period_Clean],Product_Month_Actual_Variable_Cost[[#Headers],[2025-03]],Table4[CostType],"Fixed")</f>
        <v>92.08</v>
      </c>
      <c r="AL19">
        <f>SUMIFS(Table4[ActualCost_Clean],Table4[ProductID_Clean],Product_Month_Actual_Fixed_Cost[[#This Row],[ProductID]],Table4[Period_Clean],Product_Month_Actual_Variable_Cost[[#Headers],[2025-04]],Table4[CostType],"Fixed")</f>
        <v>97.82</v>
      </c>
      <c r="AM19">
        <f>SUMIFS(Table4[ActualCost_Clean],Table4[ProductID_Clean],Product_Month_Actual_Fixed_Cost[[#This Row],[ProductID]],Table4[Period_Clean],Product_Month_Actual_Variable_Cost[[#Headers],[2025-05]],Table4[CostType],"Fixed")</f>
        <v>92.75</v>
      </c>
      <c r="AN19">
        <f>SUMIFS(Table4[ActualCost_Clean],Table4[ProductID_Clean],Product_Month_Actual_Fixed_Cost[[#This Row],[ProductID]],Table4[Period_Clean],Product_Month_Actual_Variable_Cost[[#Headers],[2025-06]],Table4[CostType],"Fixed")</f>
        <v>100.75</v>
      </c>
      <c r="AQ19" t="s">
        <v>101</v>
      </c>
      <c r="AR19" t="s">
        <v>47</v>
      </c>
      <c r="AS19">
        <f>Product_Month_Actual_Fixed_Cost[[#This Row],[2025-01]]*Table33[[#This Row],[1/1/2025]]</f>
        <v>190.4</v>
      </c>
      <c r="AT19">
        <f>Product_Month_Actual_Fixed_Cost[[#This Row],[2025-02]]*Table33[[#This Row],[2/1/2025]]</f>
        <v>181.56</v>
      </c>
      <c r="AU19">
        <f>Product_Month_Actual_Fixed_Cost[[#This Row],[2025-03]]*Table33[[#This Row],[3/1/2025]]</f>
        <v>0</v>
      </c>
      <c r="AV19">
        <f>Product_Month_Actual_Fixed_Cost[[#This Row],[2025-04]]*Table33[[#This Row],[4/1/2025]]</f>
        <v>391.28</v>
      </c>
      <c r="AW19">
        <f>Product_Month_Actual_Fixed_Cost[[#This Row],[2025-05]]*Table33[[#This Row],[5/1/2025]]</f>
        <v>278.25</v>
      </c>
      <c r="AX19">
        <f>Product_Month_Actual_Fixed_Cost[[#This Row],[2025-06]]*Table33[[#This Row],[6/1/2025]]</f>
        <v>0</v>
      </c>
      <c r="AY19">
        <f>SUM(Product_Region_Monthly_Fixed_Cost[[#This Row],[25-Jan]:[25-Jun]])</f>
        <v>1041.49</v>
      </c>
      <c r="BB19" t="s">
        <v>101</v>
      </c>
      <c r="BC19" t="s">
        <v>47</v>
      </c>
      <c r="BD19">
        <f>Product_Region_Monthly_Fixed_Cost[[#This Row],[25-Jan]]+Product_Region_Monthly_Variable_Cost[[#This Row],[25-Jan]]</f>
        <v>1006.62</v>
      </c>
      <c r="BE19">
        <f>Product_Region_Monthly_Fixed_Cost[[#This Row],[25-Feb]]+Product_Region_Monthly_Variable_Cost[[#This Row],[25-Feb]]</f>
        <v>1047.24</v>
      </c>
      <c r="BF19">
        <f>Product_Region_Monthly_Fixed_Cost[[#This Row],[25-Mar]]+Product_Region_Monthly_Variable_Cost[[#This Row],[25-Mar]]</f>
        <v>0</v>
      </c>
      <c r="BG19">
        <f>Product_Region_Monthly_Fixed_Cost[[#This Row],[25-Apr]]+Product_Region_Monthly_Variable_Cost[[#This Row],[25-Apr]]</f>
        <v>2164.52</v>
      </c>
      <c r="BH19">
        <f>Product_Region_Monthly_Fixed_Cost[[#This Row],[25-May]]+Product_Region_Monthly_Variable_Cost[[#This Row],[25-May]]</f>
        <v>1599.8700000000001</v>
      </c>
      <c r="BI19">
        <f>Product_Region_Monthly_Fixed_Cost[[#This Row],[25-Jun]]+Product_Region_Monthly_Variable_Cost[[#This Row],[25-Jun]]</f>
        <v>0</v>
      </c>
      <c r="BJ19">
        <f>Product_Region_Monthly_Fixed_Cost[[#This Row],[H1 Fixed Cost]]+Product_Region_Monthly_Variable_Cost[[#This Row],[H1 Variable Cost]]</f>
        <v>5818.25</v>
      </c>
    </row>
    <row r="20" spans="1:62">
      <c r="A20" t="s">
        <v>101</v>
      </c>
      <c r="B20" t="s">
        <v>58</v>
      </c>
      <c r="C20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20">
        <f>SUMIFS(Table1[Quantity],Table1[ProductID],Table33[[#This Row],[ProductID]],Table1[RegionClean_],Table33[[#This Row],[Region]],Table1[TransactionDate_Clean],"&gt;"&amp;EOMONTH($D$1,-1),Table1[TransactionDate_Clean],"&lt;="&amp;EOMONTH($D$1,0))</f>
        <v>1</v>
      </c>
      <c r="E20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20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20">
        <f>SUMIFS(Table1[Quantity],Table1[ProductID],Table33[[#This Row],[ProductID]],Table1[RegionClean_],Table33[[#This Row],[Region]],Table1[TransactionDate_Clean],"&gt;"&amp;EOMONTH($G$1,-1),Table1[TransactionDate_Clean],"&lt;="&amp;EOMONTH($G$1,0))</f>
        <v>3</v>
      </c>
      <c r="H20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20">
        <f>SUM(Table33[[#This Row],[1/1/2025]:[6/1/2025]])</f>
        <v>7</v>
      </c>
      <c r="L20" t="s">
        <v>101</v>
      </c>
      <c r="M20" t="s">
        <v>58</v>
      </c>
      <c r="N20">
        <f>SUMIFS(Table4[ActualCost_Clean],Table4[ProductID_Clean],Product_Month_Actual_Variable_Cost[[#This Row],[ProductID]],Table4[Period_Clean],Product_Month_Actual_Variable_Cost[[#Headers],[2025-01]],Table4[CostType],"Variable")</f>
        <v>408.11</v>
      </c>
      <c r="O20">
        <f>SUMIFS(Table4[ActualCost_Clean],Table4[ProductID_Clean],Product_Month_Actual_Variable_Cost[[#This Row],[ProductID]],Table4[Period_Clean],Product_Month_Actual_Variable_Cost[[#Headers],[2025-02]],Table4[CostType],"Variable")</f>
        <v>432.84</v>
      </c>
      <c r="P20">
        <f>SUMIFS(Table4[ActualCost_Clean],Table4[ProductID_Clean],Product_Month_Actual_Variable_Cost[[#This Row],[ProductID]],Table4[Period_Clean],Product_Month_Actual_Variable_Cost[[#Headers],[2025-03]],Table4[CostType],"Variable")</f>
        <v>436.29</v>
      </c>
      <c r="Q20">
        <f>SUMIFS(Table4[ActualCost_Clean],Table4[ProductID_Clean],Product_Month_Actual_Variable_Cost[[#This Row],[ProductID]],Table4[Period_Clean],Product_Month_Actual_Variable_Cost[[#Headers],[2025-04]],Table4[CostType],"Variable")</f>
        <v>443.31</v>
      </c>
      <c r="R20">
        <f>SUMIFS(Table4[ActualCost_Clean],Table4[ProductID_Clean],Product_Month_Actual_Variable_Cost[[#This Row],[ProductID]],Table4[Period_Clean],Product_Month_Actual_Variable_Cost[[#Headers],[2025-05]],Table4[CostType],"Variable")</f>
        <v>440.54</v>
      </c>
      <c r="S20">
        <f>SUMIFS(Table4[ActualCost_Clean],Table4[ProductID_Clean],Product_Month_Actual_Variable_Cost[[#This Row],[ProductID]],Table4[Period_Clean],Product_Month_Actual_Variable_Cost[[#Headers],[2025-06]],Table4[CostType],"Variable")</f>
        <v>410.71</v>
      </c>
      <c r="V20" t="s">
        <v>101</v>
      </c>
      <c r="W20" t="s">
        <v>58</v>
      </c>
      <c r="X20">
        <f>Table33[[#This Row],[1/1/2025]]*Product_Month_Actual_Variable_Cost[[#This Row],[2025-01]]</f>
        <v>408.11</v>
      </c>
      <c r="Y20">
        <f>Table33[[#This Row],[2/1/2025]]*Product_Month_Actual_Variable_Cost[[#This Row],[2025-02]]</f>
        <v>432.84</v>
      </c>
      <c r="Z20">
        <f>Table33[[#This Row],[3/1/2025]]*Product_Month_Actual_Variable_Cost[[#This Row],[2025-03]]</f>
        <v>0</v>
      </c>
      <c r="AA20">
        <f>Table33[[#This Row],[4/1/2025]]*Product_Month_Actual_Variable_Cost[[#This Row],[2025-04]]</f>
        <v>0</v>
      </c>
      <c r="AB20">
        <f>Table33[[#This Row],[5/1/2025]]*Product_Month_Actual_Variable_Cost[[#This Row],[2025-05]]</f>
        <v>1321.6200000000001</v>
      </c>
      <c r="AC20">
        <f>Table33[[#This Row],[6/1/2025]]*Product_Month_Actual_Variable_Cost[[#This Row],[2025-06]]</f>
        <v>821.42</v>
      </c>
      <c r="AD20">
        <f>SUM(Product_Region_Monthly_Variable_Cost[[#This Row],[25-Jan]:[25-Jun]])</f>
        <v>2983.9900000000002</v>
      </c>
      <c r="AG20" t="s">
        <v>101</v>
      </c>
      <c r="AH20" t="s">
        <v>58</v>
      </c>
      <c r="AI20">
        <f>SUMIFS(Table4[ActualCost_Clean],Table4[ProductID_Clean],Product_Month_Actual_Fixed_Cost[[#This Row],[ProductID]],Table4[Period_Clean],Product_Month_Actual_Variable_Cost[[#Headers],[2025-01]],Table4[CostType],"Fixed")</f>
        <v>95.2</v>
      </c>
      <c r="AJ20">
        <f>SUMIFS(Table4[ActualCost_Clean],Table4[ProductID_Clean],Product_Month_Actual_Fixed_Cost[[#This Row],[ProductID]],Table4[Period_Clean],Product_Month_Actual_Variable_Cost[[#Headers],[2025-02]],Table4[CostType],"Fixed")</f>
        <v>90.78</v>
      </c>
      <c r="AK20">
        <f>SUMIFS(Table4[ActualCost_Clean],Table4[ProductID_Clean],Product_Month_Actual_Fixed_Cost[[#This Row],[ProductID]],Table4[Period_Clean],Product_Month_Actual_Variable_Cost[[#Headers],[2025-03]],Table4[CostType],"Fixed")</f>
        <v>92.08</v>
      </c>
      <c r="AL20">
        <f>SUMIFS(Table4[ActualCost_Clean],Table4[ProductID_Clean],Product_Month_Actual_Fixed_Cost[[#This Row],[ProductID]],Table4[Period_Clean],Product_Month_Actual_Variable_Cost[[#Headers],[2025-04]],Table4[CostType],"Fixed")</f>
        <v>97.82</v>
      </c>
      <c r="AM20">
        <f>SUMIFS(Table4[ActualCost_Clean],Table4[ProductID_Clean],Product_Month_Actual_Fixed_Cost[[#This Row],[ProductID]],Table4[Period_Clean],Product_Month_Actual_Variable_Cost[[#Headers],[2025-05]],Table4[CostType],"Fixed")</f>
        <v>92.75</v>
      </c>
      <c r="AN20">
        <f>SUMIFS(Table4[ActualCost_Clean],Table4[ProductID_Clean],Product_Month_Actual_Fixed_Cost[[#This Row],[ProductID]],Table4[Period_Clean],Product_Month_Actual_Variable_Cost[[#Headers],[2025-06]],Table4[CostType],"Fixed")</f>
        <v>100.75</v>
      </c>
      <c r="AQ20" t="s">
        <v>101</v>
      </c>
      <c r="AR20" t="s">
        <v>58</v>
      </c>
      <c r="AS20">
        <f>Product_Month_Actual_Fixed_Cost[[#This Row],[2025-01]]*Table33[[#This Row],[1/1/2025]]</f>
        <v>95.2</v>
      </c>
      <c r="AT20">
        <f>Product_Month_Actual_Fixed_Cost[[#This Row],[2025-02]]*Table33[[#This Row],[2/1/2025]]</f>
        <v>90.78</v>
      </c>
      <c r="AU20">
        <f>Product_Month_Actual_Fixed_Cost[[#This Row],[2025-03]]*Table33[[#This Row],[3/1/2025]]</f>
        <v>0</v>
      </c>
      <c r="AV20">
        <f>Product_Month_Actual_Fixed_Cost[[#This Row],[2025-04]]*Table33[[#This Row],[4/1/2025]]</f>
        <v>0</v>
      </c>
      <c r="AW20">
        <f>Product_Month_Actual_Fixed_Cost[[#This Row],[2025-05]]*Table33[[#This Row],[5/1/2025]]</f>
        <v>278.25</v>
      </c>
      <c r="AX20">
        <f>Product_Month_Actual_Fixed_Cost[[#This Row],[2025-06]]*Table33[[#This Row],[6/1/2025]]</f>
        <v>201.5</v>
      </c>
      <c r="AY20">
        <f>SUM(Product_Region_Monthly_Fixed_Cost[[#This Row],[25-Jan]:[25-Jun]])</f>
        <v>665.73</v>
      </c>
      <c r="BB20" t="s">
        <v>101</v>
      </c>
      <c r="BC20" t="s">
        <v>58</v>
      </c>
      <c r="BD20">
        <f>Product_Region_Monthly_Fixed_Cost[[#This Row],[25-Jan]]+Product_Region_Monthly_Variable_Cost[[#This Row],[25-Jan]]</f>
        <v>503.31</v>
      </c>
      <c r="BE20">
        <f>Product_Region_Monthly_Fixed_Cost[[#This Row],[25-Feb]]+Product_Region_Monthly_Variable_Cost[[#This Row],[25-Feb]]</f>
        <v>523.62</v>
      </c>
      <c r="BF20">
        <f>Product_Region_Monthly_Fixed_Cost[[#This Row],[25-Mar]]+Product_Region_Monthly_Variable_Cost[[#This Row],[25-Mar]]</f>
        <v>0</v>
      </c>
      <c r="BG20">
        <f>Product_Region_Monthly_Fixed_Cost[[#This Row],[25-Apr]]+Product_Region_Monthly_Variable_Cost[[#This Row],[25-Apr]]</f>
        <v>0</v>
      </c>
      <c r="BH20">
        <f>Product_Region_Monthly_Fixed_Cost[[#This Row],[25-May]]+Product_Region_Monthly_Variable_Cost[[#This Row],[25-May]]</f>
        <v>1599.8700000000001</v>
      </c>
      <c r="BI20">
        <f>Product_Region_Monthly_Fixed_Cost[[#This Row],[25-Jun]]+Product_Region_Monthly_Variable_Cost[[#This Row],[25-Jun]]</f>
        <v>1022.92</v>
      </c>
      <c r="BJ20">
        <f>Product_Region_Monthly_Fixed_Cost[[#This Row],[H1 Fixed Cost]]+Product_Region_Monthly_Variable_Cost[[#This Row],[H1 Variable Cost]]</f>
        <v>3649.7200000000003</v>
      </c>
    </row>
    <row r="21" spans="1:62">
      <c r="A21" t="s">
        <v>101</v>
      </c>
      <c r="B21" t="s">
        <v>32</v>
      </c>
      <c r="C21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21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21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21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21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21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21">
        <f>SUM(Table33[[#This Row],[1/1/2025]:[6/1/2025]])</f>
        <v>5</v>
      </c>
      <c r="L21" t="s">
        <v>101</v>
      </c>
      <c r="M21" t="s">
        <v>32</v>
      </c>
      <c r="N21">
        <f>SUMIFS(Table4[ActualCost_Clean],Table4[ProductID_Clean],Product_Month_Actual_Variable_Cost[[#This Row],[ProductID]],Table4[Period_Clean],Product_Month_Actual_Variable_Cost[[#Headers],[2025-01]],Table4[CostType],"Variable")</f>
        <v>408.11</v>
      </c>
      <c r="O21">
        <f>SUMIFS(Table4[ActualCost_Clean],Table4[ProductID_Clean],Product_Month_Actual_Variable_Cost[[#This Row],[ProductID]],Table4[Period_Clean],Product_Month_Actual_Variable_Cost[[#Headers],[2025-02]],Table4[CostType],"Variable")</f>
        <v>432.84</v>
      </c>
      <c r="P21">
        <f>SUMIFS(Table4[ActualCost_Clean],Table4[ProductID_Clean],Product_Month_Actual_Variable_Cost[[#This Row],[ProductID]],Table4[Period_Clean],Product_Month_Actual_Variable_Cost[[#Headers],[2025-03]],Table4[CostType],"Variable")</f>
        <v>436.29</v>
      </c>
      <c r="Q21">
        <f>SUMIFS(Table4[ActualCost_Clean],Table4[ProductID_Clean],Product_Month_Actual_Variable_Cost[[#This Row],[ProductID]],Table4[Period_Clean],Product_Month_Actual_Variable_Cost[[#Headers],[2025-04]],Table4[CostType],"Variable")</f>
        <v>443.31</v>
      </c>
      <c r="R21">
        <f>SUMIFS(Table4[ActualCost_Clean],Table4[ProductID_Clean],Product_Month_Actual_Variable_Cost[[#This Row],[ProductID]],Table4[Period_Clean],Product_Month_Actual_Variable_Cost[[#Headers],[2025-05]],Table4[CostType],"Variable")</f>
        <v>440.54</v>
      </c>
      <c r="S21">
        <f>SUMIFS(Table4[ActualCost_Clean],Table4[ProductID_Clean],Product_Month_Actual_Variable_Cost[[#This Row],[ProductID]],Table4[Period_Clean],Product_Month_Actual_Variable_Cost[[#Headers],[2025-06]],Table4[CostType],"Variable")</f>
        <v>410.71</v>
      </c>
      <c r="V21" t="s">
        <v>101</v>
      </c>
      <c r="W21" t="s">
        <v>32</v>
      </c>
      <c r="X21">
        <f>Table33[[#This Row],[1/1/2025]]*Product_Month_Actual_Variable_Cost[[#This Row],[2025-01]]</f>
        <v>0</v>
      </c>
      <c r="Y21">
        <f>Table33[[#This Row],[2/1/2025]]*Product_Month_Actual_Variable_Cost[[#This Row],[2025-02]]</f>
        <v>0</v>
      </c>
      <c r="Z21">
        <f>Table33[[#This Row],[3/1/2025]]*Product_Month_Actual_Variable_Cost[[#This Row],[2025-03]]</f>
        <v>436.29</v>
      </c>
      <c r="AA21">
        <f>Table33[[#This Row],[4/1/2025]]*Product_Month_Actual_Variable_Cost[[#This Row],[2025-04]]</f>
        <v>443.31</v>
      </c>
      <c r="AB21">
        <f>Table33[[#This Row],[5/1/2025]]*Product_Month_Actual_Variable_Cost[[#This Row],[2025-05]]</f>
        <v>881.08</v>
      </c>
      <c r="AC21">
        <f>Table33[[#This Row],[6/1/2025]]*Product_Month_Actual_Variable_Cost[[#This Row],[2025-06]]</f>
        <v>410.71</v>
      </c>
      <c r="AD21">
        <f>SUM(Product_Region_Monthly_Variable_Cost[[#This Row],[25-Jan]:[25-Jun]])</f>
        <v>2171.39</v>
      </c>
      <c r="AG21" t="s">
        <v>101</v>
      </c>
      <c r="AH21" t="s">
        <v>32</v>
      </c>
      <c r="AI21">
        <f>SUMIFS(Table4[ActualCost_Clean],Table4[ProductID_Clean],Product_Month_Actual_Fixed_Cost[[#This Row],[ProductID]],Table4[Period_Clean],Product_Month_Actual_Variable_Cost[[#Headers],[2025-01]],Table4[CostType],"Fixed")</f>
        <v>95.2</v>
      </c>
      <c r="AJ21">
        <f>SUMIFS(Table4[ActualCost_Clean],Table4[ProductID_Clean],Product_Month_Actual_Fixed_Cost[[#This Row],[ProductID]],Table4[Period_Clean],Product_Month_Actual_Variable_Cost[[#Headers],[2025-02]],Table4[CostType],"Fixed")</f>
        <v>90.78</v>
      </c>
      <c r="AK21">
        <f>SUMIFS(Table4[ActualCost_Clean],Table4[ProductID_Clean],Product_Month_Actual_Fixed_Cost[[#This Row],[ProductID]],Table4[Period_Clean],Product_Month_Actual_Variable_Cost[[#Headers],[2025-03]],Table4[CostType],"Fixed")</f>
        <v>92.08</v>
      </c>
      <c r="AL21">
        <f>SUMIFS(Table4[ActualCost_Clean],Table4[ProductID_Clean],Product_Month_Actual_Fixed_Cost[[#This Row],[ProductID]],Table4[Period_Clean],Product_Month_Actual_Variable_Cost[[#Headers],[2025-04]],Table4[CostType],"Fixed")</f>
        <v>97.82</v>
      </c>
      <c r="AM21">
        <f>SUMIFS(Table4[ActualCost_Clean],Table4[ProductID_Clean],Product_Month_Actual_Fixed_Cost[[#This Row],[ProductID]],Table4[Period_Clean],Product_Month_Actual_Variable_Cost[[#Headers],[2025-05]],Table4[CostType],"Fixed")</f>
        <v>92.75</v>
      </c>
      <c r="AN21">
        <f>SUMIFS(Table4[ActualCost_Clean],Table4[ProductID_Clean],Product_Month_Actual_Fixed_Cost[[#This Row],[ProductID]],Table4[Period_Clean],Product_Month_Actual_Variable_Cost[[#Headers],[2025-06]],Table4[CostType],"Fixed")</f>
        <v>100.75</v>
      </c>
      <c r="AQ21" t="s">
        <v>101</v>
      </c>
      <c r="AR21" t="s">
        <v>32</v>
      </c>
      <c r="AS21">
        <f>Product_Month_Actual_Fixed_Cost[[#This Row],[2025-01]]*Table33[[#This Row],[1/1/2025]]</f>
        <v>0</v>
      </c>
      <c r="AT21">
        <f>Product_Month_Actual_Fixed_Cost[[#This Row],[2025-02]]*Table33[[#This Row],[2/1/2025]]</f>
        <v>0</v>
      </c>
      <c r="AU21">
        <f>Product_Month_Actual_Fixed_Cost[[#This Row],[2025-03]]*Table33[[#This Row],[3/1/2025]]</f>
        <v>92.08</v>
      </c>
      <c r="AV21">
        <f>Product_Month_Actual_Fixed_Cost[[#This Row],[2025-04]]*Table33[[#This Row],[4/1/2025]]</f>
        <v>97.82</v>
      </c>
      <c r="AW21">
        <f>Product_Month_Actual_Fixed_Cost[[#This Row],[2025-05]]*Table33[[#This Row],[5/1/2025]]</f>
        <v>185.5</v>
      </c>
      <c r="AX21">
        <f>Product_Month_Actual_Fixed_Cost[[#This Row],[2025-06]]*Table33[[#This Row],[6/1/2025]]</f>
        <v>100.75</v>
      </c>
      <c r="AY21">
        <f>SUM(Product_Region_Monthly_Fixed_Cost[[#This Row],[25-Jan]:[25-Jun]])</f>
        <v>476.15</v>
      </c>
      <c r="BB21" t="s">
        <v>101</v>
      </c>
      <c r="BC21" t="s">
        <v>32</v>
      </c>
      <c r="BD21">
        <f>Product_Region_Monthly_Fixed_Cost[[#This Row],[25-Jan]]+Product_Region_Monthly_Variable_Cost[[#This Row],[25-Jan]]</f>
        <v>0</v>
      </c>
      <c r="BE21">
        <f>Product_Region_Monthly_Fixed_Cost[[#This Row],[25-Feb]]+Product_Region_Monthly_Variable_Cost[[#This Row],[25-Feb]]</f>
        <v>0</v>
      </c>
      <c r="BF21">
        <f>Product_Region_Monthly_Fixed_Cost[[#This Row],[25-Mar]]+Product_Region_Monthly_Variable_Cost[[#This Row],[25-Mar]]</f>
        <v>528.37</v>
      </c>
      <c r="BG21">
        <f>Product_Region_Monthly_Fixed_Cost[[#This Row],[25-Apr]]+Product_Region_Monthly_Variable_Cost[[#This Row],[25-Apr]]</f>
        <v>541.13</v>
      </c>
      <c r="BH21">
        <f>Product_Region_Monthly_Fixed_Cost[[#This Row],[25-May]]+Product_Region_Monthly_Variable_Cost[[#This Row],[25-May]]</f>
        <v>1066.58</v>
      </c>
      <c r="BI21">
        <f>Product_Region_Monthly_Fixed_Cost[[#This Row],[25-Jun]]+Product_Region_Monthly_Variable_Cost[[#This Row],[25-Jun]]</f>
        <v>511.46</v>
      </c>
      <c r="BJ21">
        <f>Product_Region_Monthly_Fixed_Cost[[#This Row],[H1 Fixed Cost]]+Product_Region_Monthly_Variable_Cost[[#This Row],[H1 Variable Cost]]</f>
        <v>2647.54</v>
      </c>
    </row>
    <row r="22" spans="1:62">
      <c r="A22" t="s">
        <v>92</v>
      </c>
      <c r="B22" t="s">
        <v>23</v>
      </c>
      <c r="C22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22">
        <f>SUMIFS(Table1[Quantity],Table1[ProductID],Table33[[#This Row],[ProductID]],Table1[RegionClean_],Table33[[#This Row],[Region]],Table1[TransactionDate_Clean],"&gt;"&amp;EOMONTH($D$1,-1),Table1[TransactionDate_Clean],"&lt;="&amp;EOMONTH($D$1,0))</f>
        <v>6</v>
      </c>
      <c r="E22">
        <f>SUMIFS(Table1[Quantity],Table1[ProductID],Table33[[#This Row],[ProductID]],Table1[RegionClean_],Table33[[#This Row],[Region]],Table1[TransactionDate_Clean],"&gt;"&amp;EOMONTH($E$1,-1),Table1[TransactionDate_Clean],"&lt;="&amp;EOMONTH($E$1,0))</f>
        <v>5</v>
      </c>
      <c r="F22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22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22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22">
        <f>SUM(Table33[[#This Row],[1/1/2025]:[6/1/2025]])</f>
        <v>18</v>
      </c>
      <c r="L22" t="s">
        <v>92</v>
      </c>
      <c r="M22" t="s">
        <v>23</v>
      </c>
      <c r="N22">
        <f>SUMIFS(Table4[ActualCost_Clean],Table4[ProductID_Clean],Product_Month_Actual_Variable_Cost[[#This Row],[ProductID]],Table4[Period_Clean],Product_Month_Actual_Variable_Cost[[#Headers],[2025-01]],Table4[CostType],"Variable")</f>
        <v>391.05</v>
      </c>
      <c r="O22">
        <f>SUMIFS(Table4[ActualCost_Clean],Table4[ProductID_Clean],Product_Month_Actual_Variable_Cost[[#This Row],[ProductID]],Table4[Period_Clean],Product_Month_Actual_Variable_Cost[[#Headers],[2025-02]],Table4[CostType],"Variable")</f>
        <v>384.2</v>
      </c>
      <c r="P22">
        <f>SUMIFS(Table4[ActualCost_Clean],Table4[ProductID_Clean],Product_Month_Actual_Variable_Cost[[#This Row],[ProductID]],Table4[Period_Clean],Product_Month_Actual_Variable_Cost[[#Headers],[2025-03]],Table4[CostType],"Variable")</f>
        <v>394.02</v>
      </c>
      <c r="Q22">
        <f>SUMIFS(Table4[ActualCost_Clean],Table4[ProductID_Clean],Product_Month_Actual_Variable_Cost[[#This Row],[ProductID]],Table4[Period_Clean],Product_Month_Actual_Variable_Cost[[#Headers],[2025-04]],Table4[CostType],"Variable")</f>
        <v>403.88</v>
      </c>
      <c r="R22">
        <f>SUMIFS(Table4[ActualCost_Clean],Table4[ProductID_Clean],Product_Month_Actual_Variable_Cost[[#This Row],[ProductID]],Table4[Period_Clean],Product_Month_Actual_Variable_Cost[[#Headers],[2025-05]],Table4[CostType],"Variable")</f>
        <v>396.34</v>
      </c>
      <c r="S22">
        <f>SUMIFS(Table4[ActualCost_Clean],Table4[ProductID_Clean],Product_Month_Actual_Variable_Cost[[#This Row],[ProductID]],Table4[Period_Clean],Product_Month_Actual_Variable_Cost[[#Headers],[2025-06]],Table4[CostType],"Variable")</f>
        <v>380.07</v>
      </c>
      <c r="V22" t="s">
        <v>92</v>
      </c>
      <c r="W22" t="s">
        <v>23</v>
      </c>
      <c r="X22">
        <f>Table33[[#This Row],[1/1/2025]]*Product_Month_Actual_Variable_Cost[[#This Row],[2025-01]]</f>
        <v>782.1</v>
      </c>
      <c r="Y22">
        <f>Table33[[#This Row],[2/1/2025]]*Product_Month_Actual_Variable_Cost[[#This Row],[2025-02]]</f>
        <v>2305.1999999999998</v>
      </c>
      <c r="Z22">
        <f>Table33[[#This Row],[3/1/2025]]*Product_Month_Actual_Variable_Cost[[#This Row],[2025-03]]</f>
        <v>1970.1</v>
      </c>
      <c r="AA22">
        <f>Table33[[#This Row],[4/1/2025]]*Product_Month_Actual_Variable_Cost[[#This Row],[2025-04]]</f>
        <v>807.76</v>
      </c>
      <c r="AB22">
        <f>Table33[[#This Row],[5/1/2025]]*Product_Month_Actual_Variable_Cost[[#This Row],[2025-05]]</f>
        <v>396.34</v>
      </c>
      <c r="AC22">
        <f>Table33[[#This Row],[6/1/2025]]*Product_Month_Actual_Variable_Cost[[#This Row],[2025-06]]</f>
        <v>760.14</v>
      </c>
      <c r="AD22">
        <f>SUM(Product_Region_Monthly_Variable_Cost[[#This Row],[25-Jan]:[25-Jun]])</f>
        <v>7021.64</v>
      </c>
      <c r="AG22" t="s">
        <v>92</v>
      </c>
      <c r="AH22" t="s">
        <v>23</v>
      </c>
      <c r="AI22">
        <f>SUMIFS(Table4[ActualCost_Clean],Table4[ProductID_Clean],Product_Month_Actual_Fixed_Cost[[#This Row],[ProductID]],Table4[Period_Clean],Product_Month_Actual_Variable_Cost[[#Headers],[2025-01]],Table4[CostType],"Fixed")</f>
        <v>171.85</v>
      </c>
      <c r="AJ22">
        <f>SUMIFS(Table4[ActualCost_Clean],Table4[ProductID_Clean],Product_Month_Actual_Fixed_Cost[[#This Row],[ProductID]],Table4[Period_Clean],Product_Month_Actual_Variable_Cost[[#Headers],[2025-02]],Table4[CostType],"Fixed")</f>
        <v>174.04</v>
      </c>
      <c r="AK22">
        <f>SUMIFS(Table4[ActualCost_Clean],Table4[ProductID_Clean],Product_Month_Actual_Fixed_Cost[[#This Row],[ProductID]],Table4[Period_Clean],Product_Month_Actual_Variable_Cost[[#Headers],[2025-03]],Table4[CostType],"Fixed")</f>
        <v>168.52</v>
      </c>
      <c r="AL22">
        <f>SUMIFS(Table4[ActualCost_Clean],Table4[ProductID_Clean],Product_Month_Actual_Fixed_Cost[[#This Row],[ProductID]],Table4[Period_Clean],Product_Month_Actual_Variable_Cost[[#Headers],[2025-04]],Table4[CostType],"Fixed")</f>
        <v>180.85</v>
      </c>
      <c r="AM22">
        <f>SUMIFS(Table4[ActualCost_Clean],Table4[ProductID_Clean],Product_Month_Actual_Fixed_Cost[[#This Row],[ProductID]],Table4[Period_Clean],Product_Month_Actual_Variable_Cost[[#Headers],[2025-05]],Table4[CostType],"Fixed")</f>
        <v>178.38</v>
      </c>
      <c r="AN22">
        <f>SUMIFS(Table4[ActualCost_Clean],Table4[ProductID_Clean],Product_Month_Actual_Fixed_Cost[[#This Row],[ProductID]],Table4[Period_Clean],Product_Month_Actual_Variable_Cost[[#Headers],[2025-06]],Table4[CostType],"Fixed")</f>
        <v>179.32</v>
      </c>
      <c r="AQ22" t="s">
        <v>92</v>
      </c>
      <c r="AR22" t="s">
        <v>23</v>
      </c>
      <c r="AS22">
        <f>Product_Month_Actual_Fixed_Cost[[#This Row],[2025-01]]*Table33[[#This Row],[1/1/2025]]</f>
        <v>343.7</v>
      </c>
      <c r="AT22">
        <f>Product_Month_Actual_Fixed_Cost[[#This Row],[2025-02]]*Table33[[#This Row],[2/1/2025]]</f>
        <v>1044.24</v>
      </c>
      <c r="AU22">
        <f>Product_Month_Actual_Fixed_Cost[[#This Row],[2025-03]]*Table33[[#This Row],[3/1/2025]]</f>
        <v>842.6</v>
      </c>
      <c r="AV22">
        <f>Product_Month_Actual_Fixed_Cost[[#This Row],[2025-04]]*Table33[[#This Row],[4/1/2025]]</f>
        <v>361.7</v>
      </c>
      <c r="AW22">
        <f>Product_Month_Actual_Fixed_Cost[[#This Row],[2025-05]]*Table33[[#This Row],[5/1/2025]]</f>
        <v>178.38</v>
      </c>
      <c r="AX22">
        <f>Product_Month_Actual_Fixed_Cost[[#This Row],[2025-06]]*Table33[[#This Row],[6/1/2025]]</f>
        <v>358.64</v>
      </c>
      <c r="AY22">
        <f>SUM(Product_Region_Monthly_Fixed_Cost[[#This Row],[25-Jan]:[25-Jun]])</f>
        <v>3129.2599999999998</v>
      </c>
      <c r="BB22" t="s">
        <v>92</v>
      </c>
      <c r="BC22" t="s">
        <v>23</v>
      </c>
      <c r="BD22">
        <f>Product_Region_Monthly_Fixed_Cost[[#This Row],[25-Jan]]+Product_Region_Monthly_Variable_Cost[[#This Row],[25-Jan]]</f>
        <v>1125.8</v>
      </c>
      <c r="BE22">
        <f>Product_Region_Monthly_Fixed_Cost[[#This Row],[25-Feb]]+Product_Region_Monthly_Variable_Cost[[#This Row],[25-Feb]]</f>
        <v>3349.4399999999996</v>
      </c>
      <c r="BF22">
        <f>Product_Region_Monthly_Fixed_Cost[[#This Row],[25-Mar]]+Product_Region_Monthly_Variable_Cost[[#This Row],[25-Mar]]</f>
        <v>2812.7</v>
      </c>
      <c r="BG22">
        <f>Product_Region_Monthly_Fixed_Cost[[#This Row],[25-Apr]]+Product_Region_Monthly_Variable_Cost[[#This Row],[25-Apr]]</f>
        <v>1169.46</v>
      </c>
      <c r="BH22">
        <f>Product_Region_Monthly_Fixed_Cost[[#This Row],[25-May]]+Product_Region_Monthly_Variable_Cost[[#This Row],[25-May]]</f>
        <v>574.72</v>
      </c>
      <c r="BI22">
        <f>Product_Region_Monthly_Fixed_Cost[[#This Row],[25-Jun]]+Product_Region_Monthly_Variable_Cost[[#This Row],[25-Jun]]</f>
        <v>1118.78</v>
      </c>
      <c r="BJ22">
        <f>Product_Region_Monthly_Fixed_Cost[[#This Row],[H1 Fixed Cost]]+Product_Region_Monthly_Variable_Cost[[#This Row],[H1 Variable Cost]]</f>
        <v>10150.9</v>
      </c>
    </row>
    <row r="23" spans="1:62">
      <c r="A23" t="s">
        <v>92</v>
      </c>
      <c r="B23" t="s">
        <v>47</v>
      </c>
      <c r="C23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23">
        <f>SUMIFS(Table1[Quantity],Table1[ProductID],Table33[[#This Row],[ProductID]],Table1[RegionClean_],Table33[[#This Row],[Region]],Table1[TransactionDate_Clean],"&gt;"&amp;EOMONTH($D$1,-1),Table1[TransactionDate_Clean],"&lt;="&amp;EOMONTH($D$1,0))</f>
        <v>1</v>
      </c>
      <c r="E23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23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23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23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23">
        <f>SUM(Table33[[#This Row],[1/1/2025]:[6/1/2025]])</f>
        <v>7</v>
      </c>
      <c r="L23" t="s">
        <v>92</v>
      </c>
      <c r="M23" t="s">
        <v>47</v>
      </c>
      <c r="N23">
        <f>SUMIFS(Table4[ActualCost_Clean],Table4[ProductID_Clean],Product_Month_Actual_Variable_Cost[[#This Row],[ProductID]],Table4[Period_Clean],Product_Month_Actual_Variable_Cost[[#Headers],[2025-01]],Table4[CostType],"Variable")</f>
        <v>391.05</v>
      </c>
      <c r="O23">
        <f>SUMIFS(Table4[ActualCost_Clean],Table4[ProductID_Clean],Product_Month_Actual_Variable_Cost[[#This Row],[ProductID]],Table4[Period_Clean],Product_Month_Actual_Variable_Cost[[#Headers],[2025-02]],Table4[CostType],"Variable")</f>
        <v>384.2</v>
      </c>
      <c r="P23">
        <f>SUMIFS(Table4[ActualCost_Clean],Table4[ProductID_Clean],Product_Month_Actual_Variable_Cost[[#This Row],[ProductID]],Table4[Period_Clean],Product_Month_Actual_Variable_Cost[[#Headers],[2025-03]],Table4[CostType],"Variable")</f>
        <v>394.02</v>
      </c>
      <c r="Q23">
        <f>SUMIFS(Table4[ActualCost_Clean],Table4[ProductID_Clean],Product_Month_Actual_Variable_Cost[[#This Row],[ProductID]],Table4[Period_Clean],Product_Month_Actual_Variable_Cost[[#Headers],[2025-04]],Table4[CostType],"Variable")</f>
        <v>403.88</v>
      </c>
      <c r="R23">
        <f>SUMIFS(Table4[ActualCost_Clean],Table4[ProductID_Clean],Product_Month_Actual_Variable_Cost[[#This Row],[ProductID]],Table4[Period_Clean],Product_Month_Actual_Variable_Cost[[#Headers],[2025-05]],Table4[CostType],"Variable")</f>
        <v>396.34</v>
      </c>
      <c r="S23">
        <f>SUMIFS(Table4[ActualCost_Clean],Table4[ProductID_Clean],Product_Month_Actual_Variable_Cost[[#This Row],[ProductID]],Table4[Period_Clean],Product_Month_Actual_Variable_Cost[[#Headers],[2025-06]],Table4[CostType],"Variable")</f>
        <v>380.07</v>
      </c>
      <c r="V23" t="s">
        <v>92</v>
      </c>
      <c r="W23" t="s">
        <v>47</v>
      </c>
      <c r="X23">
        <f>Table33[[#This Row],[1/1/2025]]*Product_Month_Actual_Variable_Cost[[#This Row],[2025-01]]</f>
        <v>391.05</v>
      </c>
      <c r="Y23">
        <f>Table33[[#This Row],[2/1/2025]]*Product_Month_Actual_Variable_Cost[[#This Row],[2025-02]]</f>
        <v>384.2</v>
      </c>
      <c r="Z23">
        <f>Table33[[#This Row],[3/1/2025]]*Product_Month_Actual_Variable_Cost[[#This Row],[2025-03]]</f>
        <v>394.02</v>
      </c>
      <c r="AA23">
        <f>Table33[[#This Row],[4/1/2025]]*Product_Month_Actual_Variable_Cost[[#This Row],[2025-04]]</f>
        <v>403.88</v>
      </c>
      <c r="AB23">
        <f>Table33[[#This Row],[5/1/2025]]*Product_Month_Actual_Variable_Cost[[#This Row],[2025-05]]</f>
        <v>396.34</v>
      </c>
      <c r="AC23">
        <f>Table33[[#This Row],[6/1/2025]]*Product_Month_Actual_Variable_Cost[[#This Row],[2025-06]]</f>
        <v>760.14</v>
      </c>
      <c r="AD23">
        <f>SUM(Product_Region_Monthly_Variable_Cost[[#This Row],[25-Jan]:[25-Jun]])</f>
        <v>2729.63</v>
      </c>
      <c r="AG23" t="s">
        <v>92</v>
      </c>
      <c r="AH23" t="s">
        <v>47</v>
      </c>
      <c r="AI23">
        <f>SUMIFS(Table4[ActualCost_Clean],Table4[ProductID_Clean],Product_Month_Actual_Fixed_Cost[[#This Row],[ProductID]],Table4[Period_Clean],Product_Month_Actual_Variable_Cost[[#Headers],[2025-01]],Table4[CostType],"Fixed")</f>
        <v>171.85</v>
      </c>
      <c r="AJ23">
        <f>SUMIFS(Table4[ActualCost_Clean],Table4[ProductID_Clean],Product_Month_Actual_Fixed_Cost[[#This Row],[ProductID]],Table4[Period_Clean],Product_Month_Actual_Variable_Cost[[#Headers],[2025-02]],Table4[CostType],"Fixed")</f>
        <v>174.04</v>
      </c>
      <c r="AK23">
        <f>SUMIFS(Table4[ActualCost_Clean],Table4[ProductID_Clean],Product_Month_Actual_Fixed_Cost[[#This Row],[ProductID]],Table4[Period_Clean],Product_Month_Actual_Variable_Cost[[#Headers],[2025-03]],Table4[CostType],"Fixed")</f>
        <v>168.52</v>
      </c>
      <c r="AL23">
        <f>SUMIFS(Table4[ActualCost_Clean],Table4[ProductID_Clean],Product_Month_Actual_Fixed_Cost[[#This Row],[ProductID]],Table4[Period_Clean],Product_Month_Actual_Variable_Cost[[#Headers],[2025-04]],Table4[CostType],"Fixed")</f>
        <v>180.85</v>
      </c>
      <c r="AM23">
        <f>SUMIFS(Table4[ActualCost_Clean],Table4[ProductID_Clean],Product_Month_Actual_Fixed_Cost[[#This Row],[ProductID]],Table4[Period_Clean],Product_Month_Actual_Variable_Cost[[#Headers],[2025-05]],Table4[CostType],"Fixed")</f>
        <v>178.38</v>
      </c>
      <c r="AN23">
        <f>SUMIFS(Table4[ActualCost_Clean],Table4[ProductID_Clean],Product_Month_Actual_Fixed_Cost[[#This Row],[ProductID]],Table4[Period_Clean],Product_Month_Actual_Variable_Cost[[#Headers],[2025-06]],Table4[CostType],"Fixed")</f>
        <v>179.32</v>
      </c>
      <c r="AQ23" t="s">
        <v>92</v>
      </c>
      <c r="AR23" t="s">
        <v>47</v>
      </c>
      <c r="AS23">
        <f>Product_Month_Actual_Fixed_Cost[[#This Row],[2025-01]]*Table33[[#This Row],[1/1/2025]]</f>
        <v>171.85</v>
      </c>
      <c r="AT23">
        <f>Product_Month_Actual_Fixed_Cost[[#This Row],[2025-02]]*Table33[[#This Row],[2/1/2025]]</f>
        <v>174.04</v>
      </c>
      <c r="AU23">
        <f>Product_Month_Actual_Fixed_Cost[[#This Row],[2025-03]]*Table33[[#This Row],[3/1/2025]]</f>
        <v>168.52</v>
      </c>
      <c r="AV23">
        <f>Product_Month_Actual_Fixed_Cost[[#This Row],[2025-04]]*Table33[[#This Row],[4/1/2025]]</f>
        <v>180.85</v>
      </c>
      <c r="AW23">
        <f>Product_Month_Actual_Fixed_Cost[[#This Row],[2025-05]]*Table33[[#This Row],[5/1/2025]]</f>
        <v>178.38</v>
      </c>
      <c r="AX23">
        <f>Product_Month_Actual_Fixed_Cost[[#This Row],[2025-06]]*Table33[[#This Row],[6/1/2025]]</f>
        <v>358.64</v>
      </c>
      <c r="AY23">
        <f>SUM(Product_Region_Monthly_Fixed_Cost[[#This Row],[25-Jan]:[25-Jun]])</f>
        <v>1232.28</v>
      </c>
      <c r="BB23" t="s">
        <v>92</v>
      </c>
      <c r="BC23" t="s">
        <v>47</v>
      </c>
      <c r="BD23">
        <f>Product_Region_Monthly_Fixed_Cost[[#This Row],[25-Jan]]+Product_Region_Monthly_Variable_Cost[[#This Row],[25-Jan]]</f>
        <v>562.9</v>
      </c>
      <c r="BE23">
        <f>Product_Region_Monthly_Fixed_Cost[[#This Row],[25-Feb]]+Product_Region_Monthly_Variable_Cost[[#This Row],[25-Feb]]</f>
        <v>558.24</v>
      </c>
      <c r="BF23">
        <f>Product_Region_Monthly_Fixed_Cost[[#This Row],[25-Mar]]+Product_Region_Monthly_Variable_Cost[[#This Row],[25-Mar]]</f>
        <v>562.54</v>
      </c>
      <c r="BG23">
        <f>Product_Region_Monthly_Fixed_Cost[[#This Row],[25-Apr]]+Product_Region_Monthly_Variable_Cost[[#This Row],[25-Apr]]</f>
        <v>584.73</v>
      </c>
      <c r="BH23">
        <f>Product_Region_Monthly_Fixed_Cost[[#This Row],[25-May]]+Product_Region_Monthly_Variable_Cost[[#This Row],[25-May]]</f>
        <v>574.72</v>
      </c>
      <c r="BI23">
        <f>Product_Region_Monthly_Fixed_Cost[[#This Row],[25-Jun]]+Product_Region_Monthly_Variable_Cost[[#This Row],[25-Jun]]</f>
        <v>1118.78</v>
      </c>
      <c r="BJ23">
        <f>Product_Region_Monthly_Fixed_Cost[[#This Row],[H1 Fixed Cost]]+Product_Region_Monthly_Variable_Cost[[#This Row],[H1 Variable Cost]]</f>
        <v>3961.91</v>
      </c>
    </row>
    <row r="24" spans="1:62">
      <c r="A24" t="s">
        <v>92</v>
      </c>
      <c r="B24" t="s">
        <v>58</v>
      </c>
      <c r="C24">
        <f>SUMIFS(Table1[Quantity],Table1[ProductID],Table33[[#This Row],[ProductID]],Table1[RegionClean_],Table33[[#This Row],[Region]],Table1[TransactionDate_Clean],"&gt;"&amp;EOMONTH($C$1,-1),Table1[TransactionDate_Clean],"&lt;="&amp;EOMONTH($C$1,0))</f>
        <v>3</v>
      </c>
      <c r="D24">
        <f>SUMIFS(Table1[Quantity],Table1[ProductID],Table33[[#This Row],[ProductID]],Table1[RegionClean_],Table33[[#This Row],[Region]],Table1[TransactionDate_Clean],"&gt;"&amp;EOMONTH($D$1,-1),Table1[TransactionDate_Clean],"&lt;="&amp;EOMONTH($D$1,0))</f>
        <v>2</v>
      </c>
      <c r="E24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24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24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24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24">
        <f>SUM(Table33[[#This Row],[1/1/2025]:[6/1/2025]])</f>
        <v>7</v>
      </c>
      <c r="L24" t="s">
        <v>92</v>
      </c>
      <c r="M24" t="s">
        <v>58</v>
      </c>
      <c r="N24">
        <f>SUMIFS(Table4[ActualCost_Clean],Table4[ProductID_Clean],Product_Month_Actual_Variable_Cost[[#This Row],[ProductID]],Table4[Period_Clean],Product_Month_Actual_Variable_Cost[[#Headers],[2025-01]],Table4[CostType],"Variable")</f>
        <v>391.05</v>
      </c>
      <c r="O24">
        <f>SUMIFS(Table4[ActualCost_Clean],Table4[ProductID_Clean],Product_Month_Actual_Variable_Cost[[#This Row],[ProductID]],Table4[Period_Clean],Product_Month_Actual_Variable_Cost[[#Headers],[2025-02]],Table4[CostType],"Variable")</f>
        <v>384.2</v>
      </c>
      <c r="P24">
        <f>SUMIFS(Table4[ActualCost_Clean],Table4[ProductID_Clean],Product_Month_Actual_Variable_Cost[[#This Row],[ProductID]],Table4[Period_Clean],Product_Month_Actual_Variable_Cost[[#Headers],[2025-03]],Table4[CostType],"Variable")</f>
        <v>394.02</v>
      </c>
      <c r="Q24">
        <f>SUMIFS(Table4[ActualCost_Clean],Table4[ProductID_Clean],Product_Month_Actual_Variable_Cost[[#This Row],[ProductID]],Table4[Period_Clean],Product_Month_Actual_Variable_Cost[[#Headers],[2025-04]],Table4[CostType],"Variable")</f>
        <v>403.88</v>
      </c>
      <c r="R24">
        <f>SUMIFS(Table4[ActualCost_Clean],Table4[ProductID_Clean],Product_Month_Actual_Variable_Cost[[#This Row],[ProductID]],Table4[Period_Clean],Product_Month_Actual_Variable_Cost[[#Headers],[2025-05]],Table4[CostType],"Variable")</f>
        <v>396.34</v>
      </c>
      <c r="S24">
        <f>SUMIFS(Table4[ActualCost_Clean],Table4[ProductID_Clean],Product_Month_Actual_Variable_Cost[[#This Row],[ProductID]],Table4[Period_Clean],Product_Month_Actual_Variable_Cost[[#Headers],[2025-06]],Table4[CostType],"Variable")</f>
        <v>380.07</v>
      </c>
      <c r="V24" t="s">
        <v>92</v>
      </c>
      <c r="W24" t="s">
        <v>58</v>
      </c>
      <c r="X24">
        <f>Table33[[#This Row],[1/1/2025]]*Product_Month_Actual_Variable_Cost[[#This Row],[2025-01]]</f>
        <v>1173.1500000000001</v>
      </c>
      <c r="Y24">
        <f>Table33[[#This Row],[2/1/2025]]*Product_Month_Actual_Variable_Cost[[#This Row],[2025-02]]</f>
        <v>768.4</v>
      </c>
      <c r="Z24">
        <f>Table33[[#This Row],[3/1/2025]]*Product_Month_Actual_Variable_Cost[[#This Row],[2025-03]]</f>
        <v>0</v>
      </c>
      <c r="AA24">
        <f>Table33[[#This Row],[4/1/2025]]*Product_Month_Actual_Variable_Cost[[#This Row],[2025-04]]</f>
        <v>403.88</v>
      </c>
      <c r="AB24">
        <f>Table33[[#This Row],[5/1/2025]]*Product_Month_Actual_Variable_Cost[[#This Row],[2025-05]]</f>
        <v>0</v>
      </c>
      <c r="AC24">
        <f>Table33[[#This Row],[6/1/2025]]*Product_Month_Actual_Variable_Cost[[#This Row],[2025-06]]</f>
        <v>380.07</v>
      </c>
      <c r="AD24">
        <f>SUM(Product_Region_Monthly_Variable_Cost[[#This Row],[25-Jan]:[25-Jun]])</f>
        <v>2725.5000000000005</v>
      </c>
      <c r="AG24" t="s">
        <v>92</v>
      </c>
      <c r="AH24" t="s">
        <v>58</v>
      </c>
      <c r="AI24">
        <f>SUMIFS(Table4[ActualCost_Clean],Table4[ProductID_Clean],Product_Month_Actual_Fixed_Cost[[#This Row],[ProductID]],Table4[Period_Clean],Product_Month_Actual_Variable_Cost[[#Headers],[2025-01]],Table4[CostType],"Fixed")</f>
        <v>171.85</v>
      </c>
      <c r="AJ24">
        <f>SUMIFS(Table4[ActualCost_Clean],Table4[ProductID_Clean],Product_Month_Actual_Fixed_Cost[[#This Row],[ProductID]],Table4[Period_Clean],Product_Month_Actual_Variable_Cost[[#Headers],[2025-02]],Table4[CostType],"Fixed")</f>
        <v>174.04</v>
      </c>
      <c r="AK24">
        <f>SUMIFS(Table4[ActualCost_Clean],Table4[ProductID_Clean],Product_Month_Actual_Fixed_Cost[[#This Row],[ProductID]],Table4[Period_Clean],Product_Month_Actual_Variable_Cost[[#Headers],[2025-03]],Table4[CostType],"Fixed")</f>
        <v>168.52</v>
      </c>
      <c r="AL24">
        <f>SUMIFS(Table4[ActualCost_Clean],Table4[ProductID_Clean],Product_Month_Actual_Fixed_Cost[[#This Row],[ProductID]],Table4[Period_Clean],Product_Month_Actual_Variable_Cost[[#Headers],[2025-04]],Table4[CostType],"Fixed")</f>
        <v>180.85</v>
      </c>
      <c r="AM24">
        <f>SUMIFS(Table4[ActualCost_Clean],Table4[ProductID_Clean],Product_Month_Actual_Fixed_Cost[[#This Row],[ProductID]],Table4[Period_Clean],Product_Month_Actual_Variable_Cost[[#Headers],[2025-05]],Table4[CostType],"Fixed")</f>
        <v>178.38</v>
      </c>
      <c r="AN24">
        <f>SUMIFS(Table4[ActualCost_Clean],Table4[ProductID_Clean],Product_Month_Actual_Fixed_Cost[[#This Row],[ProductID]],Table4[Period_Clean],Product_Month_Actual_Variable_Cost[[#Headers],[2025-06]],Table4[CostType],"Fixed")</f>
        <v>179.32</v>
      </c>
      <c r="AQ24" t="s">
        <v>92</v>
      </c>
      <c r="AR24" t="s">
        <v>58</v>
      </c>
      <c r="AS24">
        <f>Product_Month_Actual_Fixed_Cost[[#This Row],[2025-01]]*Table33[[#This Row],[1/1/2025]]</f>
        <v>515.54999999999995</v>
      </c>
      <c r="AT24">
        <f>Product_Month_Actual_Fixed_Cost[[#This Row],[2025-02]]*Table33[[#This Row],[2/1/2025]]</f>
        <v>348.08</v>
      </c>
      <c r="AU24">
        <f>Product_Month_Actual_Fixed_Cost[[#This Row],[2025-03]]*Table33[[#This Row],[3/1/2025]]</f>
        <v>0</v>
      </c>
      <c r="AV24">
        <f>Product_Month_Actual_Fixed_Cost[[#This Row],[2025-04]]*Table33[[#This Row],[4/1/2025]]</f>
        <v>180.85</v>
      </c>
      <c r="AW24">
        <f>Product_Month_Actual_Fixed_Cost[[#This Row],[2025-05]]*Table33[[#This Row],[5/1/2025]]</f>
        <v>0</v>
      </c>
      <c r="AX24">
        <f>Product_Month_Actual_Fixed_Cost[[#This Row],[2025-06]]*Table33[[#This Row],[6/1/2025]]</f>
        <v>179.32</v>
      </c>
      <c r="AY24">
        <f>SUM(Product_Region_Monthly_Fixed_Cost[[#This Row],[25-Jan]:[25-Jun]])</f>
        <v>1223.7999999999997</v>
      </c>
      <c r="BB24" t="s">
        <v>92</v>
      </c>
      <c r="BC24" t="s">
        <v>58</v>
      </c>
      <c r="BD24">
        <f>Product_Region_Monthly_Fixed_Cost[[#This Row],[25-Jan]]+Product_Region_Monthly_Variable_Cost[[#This Row],[25-Jan]]</f>
        <v>1688.7</v>
      </c>
      <c r="BE24">
        <f>Product_Region_Monthly_Fixed_Cost[[#This Row],[25-Feb]]+Product_Region_Monthly_Variable_Cost[[#This Row],[25-Feb]]</f>
        <v>1116.48</v>
      </c>
      <c r="BF24">
        <f>Product_Region_Monthly_Fixed_Cost[[#This Row],[25-Mar]]+Product_Region_Monthly_Variable_Cost[[#This Row],[25-Mar]]</f>
        <v>0</v>
      </c>
      <c r="BG24">
        <f>Product_Region_Monthly_Fixed_Cost[[#This Row],[25-Apr]]+Product_Region_Monthly_Variable_Cost[[#This Row],[25-Apr]]</f>
        <v>584.73</v>
      </c>
      <c r="BH24">
        <f>Product_Region_Monthly_Fixed_Cost[[#This Row],[25-May]]+Product_Region_Monthly_Variable_Cost[[#This Row],[25-May]]</f>
        <v>0</v>
      </c>
      <c r="BI24">
        <f>Product_Region_Monthly_Fixed_Cost[[#This Row],[25-Jun]]+Product_Region_Monthly_Variable_Cost[[#This Row],[25-Jun]]</f>
        <v>559.39</v>
      </c>
      <c r="BJ24">
        <f>Product_Region_Monthly_Fixed_Cost[[#This Row],[H1 Fixed Cost]]+Product_Region_Monthly_Variable_Cost[[#This Row],[H1 Variable Cost]]</f>
        <v>3949.3</v>
      </c>
    </row>
    <row r="25" spans="1:62">
      <c r="A25" t="s">
        <v>92</v>
      </c>
      <c r="B25" t="s">
        <v>32</v>
      </c>
      <c r="C25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25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25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25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25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25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25">
        <f>SUM(Table33[[#This Row],[1/1/2025]:[6/1/2025]])</f>
        <v>0</v>
      </c>
      <c r="L25" t="s">
        <v>92</v>
      </c>
      <c r="M25" t="s">
        <v>32</v>
      </c>
      <c r="N25">
        <f>SUMIFS(Table4[ActualCost_Clean],Table4[ProductID_Clean],Product_Month_Actual_Variable_Cost[[#This Row],[ProductID]],Table4[Period_Clean],Product_Month_Actual_Variable_Cost[[#Headers],[2025-01]],Table4[CostType],"Variable")</f>
        <v>391.05</v>
      </c>
      <c r="O25">
        <f>SUMIFS(Table4[ActualCost_Clean],Table4[ProductID_Clean],Product_Month_Actual_Variable_Cost[[#This Row],[ProductID]],Table4[Period_Clean],Product_Month_Actual_Variable_Cost[[#Headers],[2025-02]],Table4[CostType],"Variable")</f>
        <v>384.2</v>
      </c>
      <c r="P25">
        <f>SUMIFS(Table4[ActualCost_Clean],Table4[ProductID_Clean],Product_Month_Actual_Variable_Cost[[#This Row],[ProductID]],Table4[Period_Clean],Product_Month_Actual_Variable_Cost[[#Headers],[2025-03]],Table4[CostType],"Variable")</f>
        <v>394.02</v>
      </c>
      <c r="Q25">
        <f>SUMIFS(Table4[ActualCost_Clean],Table4[ProductID_Clean],Product_Month_Actual_Variable_Cost[[#This Row],[ProductID]],Table4[Period_Clean],Product_Month_Actual_Variable_Cost[[#Headers],[2025-04]],Table4[CostType],"Variable")</f>
        <v>403.88</v>
      </c>
      <c r="R25">
        <f>SUMIFS(Table4[ActualCost_Clean],Table4[ProductID_Clean],Product_Month_Actual_Variable_Cost[[#This Row],[ProductID]],Table4[Period_Clean],Product_Month_Actual_Variable_Cost[[#Headers],[2025-05]],Table4[CostType],"Variable")</f>
        <v>396.34</v>
      </c>
      <c r="S25">
        <f>SUMIFS(Table4[ActualCost_Clean],Table4[ProductID_Clean],Product_Month_Actual_Variable_Cost[[#This Row],[ProductID]],Table4[Period_Clean],Product_Month_Actual_Variable_Cost[[#Headers],[2025-06]],Table4[CostType],"Variable")</f>
        <v>380.07</v>
      </c>
      <c r="V25" t="s">
        <v>92</v>
      </c>
      <c r="W25" t="s">
        <v>32</v>
      </c>
      <c r="X25">
        <f>Table33[[#This Row],[1/1/2025]]*Product_Month_Actual_Variable_Cost[[#This Row],[2025-01]]</f>
        <v>0</v>
      </c>
      <c r="Y25">
        <f>Table33[[#This Row],[2/1/2025]]*Product_Month_Actual_Variable_Cost[[#This Row],[2025-02]]</f>
        <v>0</v>
      </c>
      <c r="Z25">
        <f>Table33[[#This Row],[3/1/2025]]*Product_Month_Actual_Variable_Cost[[#This Row],[2025-03]]</f>
        <v>0</v>
      </c>
      <c r="AA25">
        <f>Table33[[#This Row],[4/1/2025]]*Product_Month_Actual_Variable_Cost[[#This Row],[2025-04]]</f>
        <v>0</v>
      </c>
      <c r="AB25">
        <f>Table33[[#This Row],[5/1/2025]]*Product_Month_Actual_Variable_Cost[[#This Row],[2025-05]]</f>
        <v>0</v>
      </c>
      <c r="AC25">
        <f>Table33[[#This Row],[6/1/2025]]*Product_Month_Actual_Variable_Cost[[#This Row],[2025-06]]</f>
        <v>0</v>
      </c>
      <c r="AD25">
        <f>SUM(Product_Region_Monthly_Variable_Cost[[#This Row],[25-Jan]:[25-Jun]])</f>
        <v>0</v>
      </c>
      <c r="AG25" t="s">
        <v>92</v>
      </c>
      <c r="AH25" t="s">
        <v>32</v>
      </c>
      <c r="AI25">
        <f>SUMIFS(Table4[ActualCost_Clean],Table4[ProductID_Clean],Product_Month_Actual_Fixed_Cost[[#This Row],[ProductID]],Table4[Period_Clean],Product_Month_Actual_Variable_Cost[[#Headers],[2025-01]],Table4[CostType],"Fixed")</f>
        <v>171.85</v>
      </c>
      <c r="AJ25">
        <f>SUMIFS(Table4[ActualCost_Clean],Table4[ProductID_Clean],Product_Month_Actual_Fixed_Cost[[#This Row],[ProductID]],Table4[Period_Clean],Product_Month_Actual_Variable_Cost[[#Headers],[2025-02]],Table4[CostType],"Fixed")</f>
        <v>174.04</v>
      </c>
      <c r="AK25">
        <f>SUMIFS(Table4[ActualCost_Clean],Table4[ProductID_Clean],Product_Month_Actual_Fixed_Cost[[#This Row],[ProductID]],Table4[Period_Clean],Product_Month_Actual_Variable_Cost[[#Headers],[2025-03]],Table4[CostType],"Fixed")</f>
        <v>168.52</v>
      </c>
      <c r="AL25">
        <f>SUMIFS(Table4[ActualCost_Clean],Table4[ProductID_Clean],Product_Month_Actual_Fixed_Cost[[#This Row],[ProductID]],Table4[Period_Clean],Product_Month_Actual_Variable_Cost[[#Headers],[2025-04]],Table4[CostType],"Fixed")</f>
        <v>180.85</v>
      </c>
      <c r="AM25">
        <f>SUMIFS(Table4[ActualCost_Clean],Table4[ProductID_Clean],Product_Month_Actual_Fixed_Cost[[#This Row],[ProductID]],Table4[Period_Clean],Product_Month_Actual_Variable_Cost[[#Headers],[2025-05]],Table4[CostType],"Fixed")</f>
        <v>178.38</v>
      </c>
      <c r="AN25">
        <f>SUMIFS(Table4[ActualCost_Clean],Table4[ProductID_Clean],Product_Month_Actual_Fixed_Cost[[#This Row],[ProductID]],Table4[Period_Clean],Product_Month_Actual_Variable_Cost[[#Headers],[2025-06]],Table4[CostType],"Fixed")</f>
        <v>179.32</v>
      </c>
      <c r="AQ25" t="s">
        <v>92</v>
      </c>
      <c r="AR25" t="s">
        <v>32</v>
      </c>
      <c r="AS25">
        <f>Product_Month_Actual_Fixed_Cost[[#This Row],[2025-01]]*Table33[[#This Row],[1/1/2025]]</f>
        <v>0</v>
      </c>
      <c r="AT25">
        <f>Product_Month_Actual_Fixed_Cost[[#This Row],[2025-02]]*Table33[[#This Row],[2/1/2025]]</f>
        <v>0</v>
      </c>
      <c r="AU25">
        <f>Product_Month_Actual_Fixed_Cost[[#This Row],[2025-03]]*Table33[[#This Row],[3/1/2025]]</f>
        <v>0</v>
      </c>
      <c r="AV25">
        <f>Product_Month_Actual_Fixed_Cost[[#This Row],[2025-04]]*Table33[[#This Row],[4/1/2025]]</f>
        <v>0</v>
      </c>
      <c r="AW25">
        <f>Product_Month_Actual_Fixed_Cost[[#This Row],[2025-05]]*Table33[[#This Row],[5/1/2025]]</f>
        <v>0</v>
      </c>
      <c r="AX25">
        <f>Product_Month_Actual_Fixed_Cost[[#This Row],[2025-06]]*Table33[[#This Row],[6/1/2025]]</f>
        <v>0</v>
      </c>
      <c r="AY25">
        <f>SUM(Product_Region_Monthly_Fixed_Cost[[#This Row],[25-Jan]:[25-Jun]])</f>
        <v>0</v>
      </c>
      <c r="BB25" t="s">
        <v>92</v>
      </c>
      <c r="BC25" t="s">
        <v>32</v>
      </c>
      <c r="BD25">
        <f>Product_Region_Monthly_Fixed_Cost[[#This Row],[25-Jan]]+Product_Region_Monthly_Variable_Cost[[#This Row],[25-Jan]]</f>
        <v>0</v>
      </c>
      <c r="BE25">
        <f>Product_Region_Monthly_Fixed_Cost[[#This Row],[25-Feb]]+Product_Region_Monthly_Variable_Cost[[#This Row],[25-Feb]]</f>
        <v>0</v>
      </c>
      <c r="BF25">
        <f>Product_Region_Monthly_Fixed_Cost[[#This Row],[25-Mar]]+Product_Region_Monthly_Variable_Cost[[#This Row],[25-Mar]]</f>
        <v>0</v>
      </c>
      <c r="BG25">
        <f>Product_Region_Monthly_Fixed_Cost[[#This Row],[25-Apr]]+Product_Region_Monthly_Variable_Cost[[#This Row],[25-Apr]]</f>
        <v>0</v>
      </c>
      <c r="BH25">
        <f>Product_Region_Monthly_Fixed_Cost[[#This Row],[25-May]]+Product_Region_Monthly_Variable_Cost[[#This Row],[25-May]]</f>
        <v>0</v>
      </c>
      <c r="BI25">
        <f>Product_Region_Monthly_Fixed_Cost[[#This Row],[25-Jun]]+Product_Region_Monthly_Variable_Cost[[#This Row],[25-Jun]]</f>
        <v>0</v>
      </c>
      <c r="BJ25">
        <f>Product_Region_Monthly_Fixed_Cost[[#This Row],[H1 Fixed Cost]]+Product_Region_Monthly_Variable_Cost[[#This Row],[H1 Variable Cost]]</f>
        <v>0</v>
      </c>
    </row>
    <row r="26" spans="1:62">
      <c r="A26" t="s">
        <v>68</v>
      </c>
      <c r="B26" t="s">
        <v>23</v>
      </c>
      <c r="C26">
        <f>SUMIFS(Table1[Quantity],Table1[ProductID],Table33[[#This Row],[ProductID]],Table1[RegionClean_],Table33[[#This Row],[Region]],Table1[TransactionDate_Clean],"&gt;"&amp;EOMONTH($C$1,-1),Table1[TransactionDate_Clean],"&lt;="&amp;EOMONTH($C$1,0))</f>
        <v>12</v>
      </c>
      <c r="D26">
        <f>SUMIFS(Table1[Quantity],Table1[ProductID],Table33[[#This Row],[ProductID]],Table1[RegionClean_],Table33[[#This Row],[Region]],Table1[TransactionDate_Clean],"&gt;"&amp;EOMONTH($D$1,-1),Table1[TransactionDate_Clean],"&lt;="&amp;EOMONTH($D$1,0))</f>
        <v>5</v>
      </c>
      <c r="E26">
        <f>SUMIFS(Table1[Quantity],Table1[ProductID],Table33[[#This Row],[ProductID]],Table1[RegionClean_],Table33[[#This Row],[Region]],Table1[TransactionDate_Clean],"&gt;"&amp;EOMONTH($E$1,-1),Table1[TransactionDate_Clean],"&lt;="&amp;EOMONTH($E$1,0))</f>
        <v>3</v>
      </c>
      <c r="F26">
        <f>SUMIFS(Table1[Quantity],Table1[ProductID],Table33[[#This Row],[ProductID]],Table1[RegionClean_],Table33[[#This Row],[Region]],Table1[TransactionDate_Clean],"&gt;"&amp;EOMONTH($F$1,-1),Table1[TransactionDate_Clean],"&lt;="&amp;EOMONTH($F$1,0))</f>
        <v>6</v>
      </c>
      <c r="G26">
        <f>SUMIFS(Table1[Quantity],Table1[ProductID],Table33[[#This Row],[ProductID]],Table1[RegionClean_],Table33[[#This Row],[Region]],Table1[TransactionDate_Clean],"&gt;"&amp;EOMONTH($G$1,-1),Table1[TransactionDate_Clean],"&lt;="&amp;EOMONTH($G$1,0))</f>
        <v>14</v>
      </c>
      <c r="H26">
        <f>SUMIFS(Table1[Quantity],Table1[ProductID],Table33[[#This Row],[ProductID]],Table1[RegionClean_],Table33[[#This Row],[Region]],Table1[TransactionDate_Clean],"&gt;"&amp;EOMONTH($H$1,-1),Table1[TransactionDate_Clean],"&lt;="&amp;EOMONTH($H$1,0))</f>
        <v>12</v>
      </c>
      <c r="I26">
        <f>SUM(Table33[[#This Row],[1/1/2025]:[6/1/2025]])</f>
        <v>52</v>
      </c>
      <c r="L26" t="s">
        <v>68</v>
      </c>
      <c r="M26" t="s">
        <v>23</v>
      </c>
      <c r="N26">
        <f>SUMIFS(Table4[ActualCost_Clean],Table4[ProductID_Clean],Product_Month_Actual_Variable_Cost[[#This Row],[ProductID]],Table4[Period_Clean],Product_Month_Actual_Variable_Cost[[#Headers],[2025-01]],Table4[CostType],"Variable")</f>
        <v>200.94</v>
      </c>
      <c r="O26">
        <f>SUMIFS(Table4[ActualCost_Clean],Table4[ProductID_Clean],Product_Month_Actual_Variable_Cost[[#This Row],[ProductID]],Table4[Period_Clean],Product_Month_Actual_Variable_Cost[[#Headers],[2025-02]],Table4[CostType],"Variable")</f>
        <v>191.36</v>
      </c>
      <c r="P26">
        <f>SUMIFS(Table4[ActualCost_Clean],Table4[ProductID_Clean],Product_Month_Actual_Variable_Cost[[#This Row],[ProductID]],Table4[Period_Clean],Product_Month_Actual_Variable_Cost[[#Headers],[2025-03]],Table4[CostType],"Variable")</f>
        <v>190.46</v>
      </c>
      <c r="Q26">
        <f>SUMIFS(Table4[ActualCost_Clean],Table4[ProductID_Clean],Product_Month_Actual_Variable_Cost[[#This Row],[ProductID]],Table4[Period_Clean],Product_Month_Actual_Variable_Cost[[#Headers],[2025-04]],Table4[CostType],"Variable")</f>
        <v>178.94</v>
      </c>
      <c r="R26">
        <f>SUMIFS(Table4[ActualCost_Clean],Table4[ProductID_Clean],Product_Month_Actual_Variable_Cost[[#This Row],[ProductID]],Table4[Period_Clean],Product_Month_Actual_Variable_Cost[[#Headers],[2025-05]],Table4[CostType],"Variable")</f>
        <v>191.33</v>
      </c>
      <c r="S26">
        <f>SUMIFS(Table4[ActualCost_Clean],Table4[ProductID_Clean],Product_Month_Actual_Variable_Cost[[#This Row],[ProductID]],Table4[Period_Clean],Product_Month_Actual_Variable_Cost[[#Headers],[2025-06]],Table4[CostType],"Variable")</f>
        <v>183.44</v>
      </c>
      <c r="V26" t="s">
        <v>68</v>
      </c>
      <c r="W26" t="s">
        <v>23</v>
      </c>
      <c r="X26">
        <f>Table33[[#This Row],[1/1/2025]]*Product_Month_Actual_Variable_Cost[[#This Row],[2025-01]]</f>
        <v>2411.2799999999997</v>
      </c>
      <c r="Y26">
        <f>Table33[[#This Row],[2/1/2025]]*Product_Month_Actual_Variable_Cost[[#This Row],[2025-02]]</f>
        <v>956.80000000000007</v>
      </c>
      <c r="Z26">
        <f>Table33[[#This Row],[3/1/2025]]*Product_Month_Actual_Variable_Cost[[#This Row],[2025-03]]</f>
        <v>571.38</v>
      </c>
      <c r="AA26">
        <f>Table33[[#This Row],[4/1/2025]]*Product_Month_Actual_Variable_Cost[[#This Row],[2025-04]]</f>
        <v>1073.6399999999999</v>
      </c>
      <c r="AB26">
        <f>Table33[[#This Row],[5/1/2025]]*Product_Month_Actual_Variable_Cost[[#This Row],[2025-05]]</f>
        <v>2678.6200000000003</v>
      </c>
      <c r="AC26">
        <f>Table33[[#This Row],[6/1/2025]]*Product_Month_Actual_Variable_Cost[[#This Row],[2025-06]]</f>
        <v>2201.2799999999997</v>
      </c>
      <c r="AD26">
        <f>SUM(Product_Region_Monthly_Variable_Cost[[#This Row],[25-Jan]:[25-Jun]])</f>
        <v>9893</v>
      </c>
      <c r="AG26" t="s">
        <v>68</v>
      </c>
      <c r="AH26" t="s">
        <v>23</v>
      </c>
      <c r="AI26">
        <f>SUMIFS(Table4[ActualCost_Clean],Table4[ProductID_Clean],Product_Month_Actual_Fixed_Cost[[#This Row],[ProductID]],Table4[Period_Clean],Product_Month_Actual_Variable_Cost[[#Headers],[2025-01]],Table4[CostType],"Fixed")</f>
        <v>305.16000000000003</v>
      </c>
      <c r="AJ26">
        <f>SUMIFS(Table4[ActualCost_Clean],Table4[ProductID_Clean],Product_Month_Actual_Fixed_Cost[[#This Row],[ProductID]],Table4[Period_Clean],Product_Month_Actual_Variable_Cost[[#Headers],[2025-02]],Table4[CostType],"Fixed")</f>
        <v>334.27</v>
      </c>
      <c r="AK26">
        <f>SUMIFS(Table4[ActualCost_Clean],Table4[ProductID_Clean],Product_Month_Actual_Fixed_Cost[[#This Row],[ProductID]],Table4[Period_Clean],Product_Month_Actual_Variable_Cost[[#Headers],[2025-03]],Table4[CostType],"Fixed")</f>
        <v>327.14</v>
      </c>
      <c r="AL26">
        <f>SUMIFS(Table4[ActualCost_Clean],Table4[ProductID_Clean],Product_Month_Actual_Fixed_Cost[[#This Row],[ProductID]],Table4[Period_Clean],Product_Month_Actual_Variable_Cost[[#Headers],[2025-04]],Table4[CostType],"Fixed")</f>
        <v>305.64999999999998</v>
      </c>
      <c r="AM26">
        <f>SUMIFS(Table4[ActualCost_Clean],Table4[ProductID_Clean],Product_Month_Actual_Fixed_Cost[[#This Row],[ProductID]],Table4[Period_Clean],Product_Month_Actual_Variable_Cost[[#Headers],[2025-05]],Table4[CostType],"Fixed")</f>
        <v>295.52</v>
      </c>
      <c r="AN26">
        <f>SUMIFS(Table4[ActualCost_Clean],Table4[ProductID_Clean],Product_Month_Actual_Fixed_Cost[[#This Row],[ProductID]],Table4[Period_Clean],Product_Month_Actual_Variable_Cost[[#Headers],[2025-06]],Table4[CostType],"Fixed")</f>
        <v>304</v>
      </c>
      <c r="AQ26" t="s">
        <v>68</v>
      </c>
      <c r="AR26" t="s">
        <v>23</v>
      </c>
      <c r="AS26">
        <f>Product_Month_Actual_Fixed_Cost[[#This Row],[2025-01]]*Table33[[#This Row],[1/1/2025]]</f>
        <v>3661.92</v>
      </c>
      <c r="AT26">
        <f>Product_Month_Actual_Fixed_Cost[[#This Row],[2025-02]]*Table33[[#This Row],[2/1/2025]]</f>
        <v>1671.35</v>
      </c>
      <c r="AU26">
        <f>Product_Month_Actual_Fixed_Cost[[#This Row],[2025-03]]*Table33[[#This Row],[3/1/2025]]</f>
        <v>981.42</v>
      </c>
      <c r="AV26">
        <f>Product_Month_Actual_Fixed_Cost[[#This Row],[2025-04]]*Table33[[#This Row],[4/1/2025]]</f>
        <v>1833.8999999999999</v>
      </c>
      <c r="AW26">
        <f>Product_Month_Actual_Fixed_Cost[[#This Row],[2025-05]]*Table33[[#This Row],[5/1/2025]]</f>
        <v>4137.28</v>
      </c>
      <c r="AX26">
        <f>Product_Month_Actual_Fixed_Cost[[#This Row],[2025-06]]*Table33[[#This Row],[6/1/2025]]</f>
        <v>3648</v>
      </c>
      <c r="AY26">
        <f>SUM(Product_Region_Monthly_Fixed_Cost[[#This Row],[25-Jan]:[25-Jun]])</f>
        <v>15933.869999999999</v>
      </c>
      <c r="BB26" t="s">
        <v>68</v>
      </c>
      <c r="BC26" t="s">
        <v>23</v>
      </c>
      <c r="BD26">
        <f>Product_Region_Monthly_Fixed_Cost[[#This Row],[25-Jan]]+Product_Region_Monthly_Variable_Cost[[#This Row],[25-Jan]]</f>
        <v>6073.2</v>
      </c>
      <c r="BE26">
        <f>Product_Region_Monthly_Fixed_Cost[[#This Row],[25-Feb]]+Product_Region_Monthly_Variable_Cost[[#This Row],[25-Feb]]</f>
        <v>2628.15</v>
      </c>
      <c r="BF26">
        <f>Product_Region_Monthly_Fixed_Cost[[#This Row],[25-Mar]]+Product_Region_Monthly_Variable_Cost[[#This Row],[25-Mar]]</f>
        <v>1552.8</v>
      </c>
      <c r="BG26">
        <f>Product_Region_Monthly_Fixed_Cost[[#This Row],[25-Apr]]+Product_Region_Monthly_Variable_Cost[[#This Row],[25-Apr]]</f>
        <v>2907.54</v>
      </c>
      <c r="BH26">
        <f>Product_Region_Monthly_Fixed_Cost[[#This Row],[25-May]]+Product_Region_Monthly_Variable_Cost[[#This Row],[25-May]]</f>
        <v>6815.9</v>
      </c>
      <c r="BI26">
        <f>Product_Region_Monthly_Fixed_Cost[[#This Row],[25-Jun]]+Product_Region_Monthly_Variable_Cost[[#This Row],[25-Jun]]</f>
        <v>5849.28</v>
      </c>
      <c r="BJ26">
        <f>Product_Region_Monthly_Fixed_Cost[[#This Row],[H1 Fixed Cost]]+Product_Region_Monthly_Variable_Cost[[#This Row],[H1 Variable Cost]]</f>
        <v>25826.87</v>
      </c>
    </row>
    <row r="27" spans="1:62">
      <c r="A27" t="s">
        <v>68</v>
      </c>
      <c r="B27" t="s">
        <v>47</v>
      </c>
      <c r="C27">
        <f>SUMIFS(Table1[Quantity],Table1[ProductID],Table33[[#This Row],[ProductID]],Table1[RegionClean_],Table33[[#This Row],[Region]],Table1[TransactionDate_Clean],"&gt;"&amp;EOMONTH($C$1,-1),Table1[TransactionDate_Clean],"&lt;="&amp;EOMONTH($C$1,0))</f>
        <v>6</v>
      </c>
      <c r="D27">
        <f>SUMIFS(Table1[Quantity],Table1[ProductID],Table33[[#This Row],[ProductID]],Table1[RegionClean_],Table33[[#This Row],[Region]],Table1[TransactionDate_Clean],"&gt;"&amp;EOMONTH($D$1,-1),Table1[TransactionDate_Clean],"&lt;="&amp;EOMONTH($D$1,0))</f>
        <v>8</v>
      </c>
      <c r="E27">
        <f>SUMIFS(Table1[Quantity],Table1[ProductID],Table33[[#This Row],[ProductID]],Table1[RegionClean_],Table33[[#This Row],[Region]],Table1[TransactionDate_Clean],"&gt;"&amp;EOMONTH($E$1,-1),Table1[TransactionDate_Clean],"&lt;="&amp;EOMONTH($E$1,0))</f>
        <v>5</v>
      </c>
      <c r="F27">
        <f>SUMIFS(Table1[Quantity],Table1[ProductID],Table33[[#This Row],[ProductID]],Table1[RegionClean_],Table33[[#This Row],[Region]],Table1[TransactionDate_Clean],"&gt;"&amp;EOMONTH($F$1,-1),Table1[TransactionDate_Clean],"&lt;="&amp;EOMONTH($F$1,0))</f>
        <v>6</v>
      </c>
      <c r="G27">
        <f>SUMIFS(Table1[Quantity],Table1[ProductID],Table33[[#This Row],[ProductID]],Table1[RegionClean_],Table33[[#This Row],[Region]],Table1[TransactionDate_Clean],"&gt;"&amp;EOMONTH($G$1,-1),Table1[TransactionDate_Clean],"&lt;="&amp;EOMONTH($G$1,0))</f>
        <v>8</v>
      </c>
      <c r="H27">
        <f>SUMIFS(Table1[Quantity],Table1[ProductID],Table33[[#This Row],[ProductID]],Table1[RegionClean_],Table33[[#This Row],[Region]],Table1[TransactionDate_Clean],"&gt;"&amp;EOMONTH($H$1,-1),Table1[TransactionDate_Clean],"&lt;="&amp;EOMONTH($H$1,0))</f>
        <v>6</v>
      </c>
      <c r="I27">
        <f>SUM(Table33[[#This Row],[1/1/2025]:[6/1/2025]])</f>
        <v>39</v>
      </c>
      <c r="L27" t="s">
        <v>68</v>
      </c>
      <c r="M27" t="s">
        <v>47</v>
      </c>
      <c r="N27">
        <f>SUMIFS(Table4[ActualCost_Clean],Table4[ProductID_Clean],Product_Month_Actual_Variable_Cost[[#This Row],[ProductID]],Table4[Period_Clean],Product_Month_Actual_Variable_Cost[[#Headers],[2025-01]],Table4[CostType],"Variable")</f>
        <v>200.94</v>
      </c>
      <c r="O27">
        <f>SUMIFS(Table4[ActualCost_Clean],Table4[ProductID_Clean],Product_Month_Actual_Variable_Cost[[#This Row],[ProductID]],Table4[Period_Clean],Product_Month_Actual_Variable_Cost[[#Headers],[2025-02]],Table4[CostType],"Variable")</f>
        <v>191.36</v>
      </c>
      <c r="P27">
        <f>SUMIFS(Table4[ActualCost_Clean],Table4[ProductID_Clean],Product_Month_Actual_Variable_Cost[[#This Row],[ProductID]],Table4[Period_Clean],Product_Month_Actual_Variable_Cost[[#Headers],[2025-03]],Table4[CostType],"Variable")</f>
        <v>190.46</v>
      </c>
      <c r="Q27">
        <f>SUMIFS(Table4[ActualCost_Clean],Table4[ProductID_Clean],Product_Month_Actual_Variable_Cost[[#This Row],[ProductID]],Table4[Period_Clean],Product_Month_Actual_Variable_Cost[[#Headers],[2025-04]],Table4[CostType],"Variable")</f>
        <v>178.94</v>
      </c>
      <c r="R27">
        <f>SUMIFS(Table4[ActualCost_Clean],Table4[ProductID_Clean],Product_Month_Actual_Variable_Cost[[#This Row],[ProductID]],Table4[Period_Clean],Product_Month_Actual_Variable_Cost[[#Headers],[2025-05]],Table4[CostType],"Variable")</f>
        <v>191.33</v>
      </c>
      <c r="S27">
        <f>SUMIFS(Table4[ActualCost_Clean],Table4[ProductID_Clean],Product_Month_Actual_Variable_Cost[[#This Row],[ProductID]],Table4[Period_Clean],Product_Month_Actual_Variable_Cost[[#Headers],[2025-06]],Table4[CostType],"Variable")</f>
        <v>183.44</v>
      </c>
      <c r="V27" t="s">
        <v>68</v>
      </c>
      <c r="W27" t="s">
        <v>47</v>
      </c>
      <c r="X27">
        <f>Table33[[#This Row],[1/1/2025]]*Product_Month_Actual_Variable_Cost[[#This Row],[2025-01]]</f>
        <v>1205.6399999999999</v>
      </c>
      <c r="Y27">
        <f>Table33[[#This Row],[2/1/2025]]*Product_Month_Actual_Variable_Cost[[#This Row],[2025-02]]</f>
        <v>1530.88</v>
      </c>
      <c r="Z27">
        <f>Table33[[#This Row],[3/1/2025]]*Product_Month_Actual_Variable_Cost[[#This Row],[2025-03]]</f>
        <v>952.30000000000007</v>
      </c>
      <c r="AA27">
        <f>Table33[[#This Row],[4/1/2025]]*Product_Month_Actual_Variable_Cost[[#This Row],[2025-04]]</f>
        <v>1073.6399999999999</v>
      </c>
      <c r="AB27">
        <f>Table33[[#This Row],[5/1/2025]]*Product_Month_Actual_Variable_Cost[[#This Row],[2025-05]]</f>
        <v>1530.64</v>
      </c>
      <c r="AC27">
        <f>Table33[[#This Row],[6/1/2025]]*Product_Month_Actual_Variable_Cost[[#This Row],[2025-06]]</f>
        <v>1100.6399999999999</v>
      </c>
      <c r="AD27">
        <f>SUM(Product_Region_Monthly_Variable_Cost[[#This Row],[25-Jan]:[25-Jun]])</f>
        <v>7393.74</v>
      </c>
      <c r="AG27" t="s">
        <v>68</v>
      </c>
      <c r="AH27" t="s">
        <v>47</v>
      </c>
      <c r="AI27">
        <f>SUMIFS(Table4[ActualCost_Clean],Table4[ProductID_Clean],Product_Month_Actual_Fixed_Cost[[#This Row],[ProductID]],Table4[Period_Clean],Product_Month_Actual_Variable_Cost[[#Headers],[2025-01]],Table4[CostType],"Fixed")</f>
        <v>305.16000000000003</v>
      </c>
      <c r="AJ27">
        <f>SUMIFS(Table4[ActualCost_Clean],Table4[ProductID_Clean],Product_Month_Actual_Fixed_Cost[[#This Row],[ProductID]],Table4[Period_Clean],Product_Month_Actual_Variable_Cost[[#Headers],[2025-02]],Table4[CostType],"Fixed")</f>
        <v>334.27</v>
      </c>
      <c r="AK27">
        <f>SUMIFS(Table4[ActualCost_Clean],Table4[ProductID_Clean],Product_Month_Actual_Fixed_Cost[[#This Row],[ProductID]],Table4[Period_Clean],Product_Month_Actual_Variable_Cost[[#Headers],[2025-03]],Table4[CostType],"Fixed")</f>
        <v>327.14</v>
      </c>
      <c r="AL27">
        <f>SUMIFS(Table4[ActualCost_Clean],Table4[ProductID_Clean],Product_Month_Actual_Fixed_Cost[[#This Row],[ProductID]],Table4[Period_Clean],Product_Month_Actual_Variable_Cost[[#Headers],[2025-04]],Table4[CostType],"Fixed")</f>
        <v>305.64999999999998</v>
      </c>
      <c r="AM27">
        <f>SUMIFS(Table4[ActualCost_Clean],Table4[ProductID_Clean],Product_Month_Actual_Fixed_Cost[[#This Row],[ProductID]],Table4[Period_Clean],Product_Month_Actual_Variable_Cost[[#Headers],[2025-05]],Table4[CostType],"Fixed")</f>
        <v>295.52</v>
      </c>
      <c r="AN27">
        <f>SUMIFS(Table4[ActualCost_Clean],Table4[ProductID_Clean],Product_Month_Actual_Fixed_Cost[[#This Row],[ProductID]],Table4[Period_Clean],Product_Month_Actual_Variable_Cost[[#Headers],[2025-06]],Table4[CostType],"Fixed")</f>
        <v>304</v>
      </c>
      <c r="AQ27" t="s">
        <v>68</v>
      </c>
      <c r="AR27" t="s">
        <v>47</v>
      </c>
      <c r="AS27">
        <f>Product_Month_Actual_Fixed_Cost[[#This Row],[2025-01]]*Table33[[#This Row],[1/1/2025]]</f>
        <v>1830.96</v>
      </c>
      <c r="AT27">
        <f>Product_Month_Actual_Fixed_Cost[[#This Row],[2025-02]]*Table33[[#This Row],[2/1/2025]]</f>
        <v>2674.16</v>
      </c>
      <c r="AU27">
        <f>Product_Month_Actual_Fixed_Cost[[#This Row],[2025-03]]*Table33[[#This Row],[3/1/2025]]</f>
        <v>1635.6999999999998</v>
      </c>
      <c r="AV27">
        <f>Product_Month_Actual_Fixed_Cost[[#This Row],[2025-04]]*Table33[[#This Row],[4/1/2025]]</f>
        <v>1833.8999999999999</v>
      </c>
      <c r="AW27">
        <f>Product_Month_Actual_Fixed_Cost[[#This Row],[2025-05]]*Table33[[#This Row],[5/1/2025]]</f>
        <v>2364.16</v>
      </c>
      <c r="AX27">
        <f>Product_Month_Actual_Fixed_Cost[[#This Row],[2025-06]]*Table33[[#This Row],[6/1/2025]]</f>
        <v>1824</v>
      </c>
      <c r="AY27">
        <f>SUM(Product_Region_Monthly_Fixed_Cost[[#This Row],[25-Jan]:[25-Jun]])</f>
        <v>12162.88</v>
      </c>
      <c r="BB27" t="s">
        <v>68</v>
      </c>
      <c r="BC27" t="s">
        <v>47</v>
      </c>
      <c r="BD27">
        <f>Product_Region_Monthly_Fixed_Cost[[#This Row],[25-Jan]]+Product_Region_Monthly_Variable_Cost[[#This Row],[25-Jan]]</f>
        <v>3036.6</v>
      </c>
      <c r="BE27">
        <f>Product_Region_Monthly_Fixed_Cost[[#This Row],[25-Feb]]+Product_Region_Monthly_Variable_Cost[[#This Row],[25-Feb]]</f>
        <v>4205.04</v>
      </c>
      <c r="BF27">
        <f>Product_Region_Monthly_Fixed_Cost[[#This Row],[25-Mar]]+Product_Region_Monthly_Variable_Cost[[#This Row],[25-Mar]]</f>
        <v>2588</v>
      </c>
      <c r="BG27">
        <f>Product_Region_Monthly_Fixed_Cost[[#This Row],[25-Apr]]+Product_Region_Monthly_Variable_Cost[[#This Row],[25-Apr]]</f>
        <v>2907.54</v>
      </c>
      <c r="BH27">
        <f>Product_Region_Monthly_Fixed_Cost[[#This Row],[25-May]]+Product_Region_Monthly_Variable_Cost[[#This Row],[25-May]]</f>
        <v>3894.8</v>
      </c>
      <c r="BI27">
        <f>Product_Region_Monthly_Fixed_Cost[[#This Row],[25-Jun]]+Product_Region_Monthly_Variable_Cost[[#This Row],[25-Jun]]</f>
        <v>2924.64</v>
      </c>
      <c r="BJ27">
        <f>Product_Region_Monthly_Fixed_Cost[[#This Row],[H1 Fixed Cost]]+Product_Region_Monthly_Variable_Cost[[#This Row],[H1 Variable Cost]]</f>
        <v>19556.62</v>
      </c>
    </row>
    <row r="28" spans="1:62">
      <c r="A28" t="s">
        <v>68</v>
      </c>
      <c r="B28" t="s">
        <v>58</v>
      </c>
      <c r="C28">
        <f>SUMIFS(Table1[Quantity],Table1[ProductID],Table33[[#This Row],[ProductID]],Table1[RegionClean_],Table33[[#This Row],[Region]],Table1[TransactionDate_Clean],"&gt;"&amp;EOMONTH($C$1,-1),Table1[TransactionDate_Clean],"&lt;="&amp;EOMONTH($C$1,0))</f>
        <v>5</v>
      </c>
      <c r="D28">
        <f>SUMIFS(Table1[Quantity],Table1[ProductID],Table33[[#This Row],[ProductID]],Table1[RegionClean_],Table33[[#This Row],[Region]],Table1[TransactionDate_Clean],"&gt;"&amp;EOMONTH($D$1,-1),Table1[TransactionDate_Clean],"&lt;="&amp;EOMONTH($D$1,0))</f>
        <v>3</v>
      </c>
      <c r="E28">
        <f>SUMIFS(Table1[Quantity],Table1[ProductID],Table33[[#This Row],[ProductID]],Table1[RegionClean_],Table33[[#This Row],[Region]],Table1[TransactionDate_Clean],"&gt;"&amp;EOMONTH($E$1,-1),Table1[TransactionDate_Clean],"&lt;="&amp;EOMONTH($E$1,0))</f>
        <v>8</v>
      </c>
      <c r="F28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28">
        <f>SUMIFS(Table1[Quantity],Table1[ProductID],Table33[[#This Row],[ProductID]],Table1[RegionClean_],Table33[[#This Row],[Region]],Table1[TransactionDate_Clean],"&gt;"&amp;EOMONTH($G$1,-1),Table1[TransactionDate_Clean],"&lt;="&amp;EOMONTH($G$1,0))</f>
        <v>5</v>
      </c>
      <c r="H28">
        <f>SUMIFS(Table1[Quantity],Table1[ProductID],Table33[[#This Row],[ProductID]],Table1[RegionClean_],Table33[[#This Row],[Region]],Table1[TransactionDate_Clean],"&gt;"&amp;EOMONTH($H$1,-1),Table1[TransactionDate_Clean],"&lt;="&amp;EOMONTH($H$1,0))</f>
        <v>6</v>
      </c>
      <c r="I28">
        <f>SUM(Table33[[#This Row],[1/1/2025]:[6/1/2025]])</f>
        <v>28</v>
      </c>
      <c r="L28" t="s">
        <v>68</v>
      </c>
      <c r="M28" t="s">
        <v>58</v>
      </c>
      <c r="N28">
        <f>SUMIFS(Table4[ActualCost_Clean],Table4[ProductID_Clean],Product_Month_Actual_Variable_Cost[[#This Row],[ProductID]],Table4[Period_Clean],Product_Month_Actual_Variable_Cost[[#Headers],[2025-01]],Table4[CostType],"Variable")</f>
        <v>200.94</v>
      </c>
      <c r="O28">
        <f>SUMIFS(Table4[ActualCost_Clean],Table4[ProductID_Clean],Product_Month_Actual_Variable_Cost[[#This Row],[ProductID]],Table4[Period_Clean],Product_Month_Actual_Variable_Cost[[#Headers],[2025-02]],Table4[CostType],"Variable")</f>
        <v>191.36</v>
      </c>
      <c r="P28">
        <f>SUMIFS(Table4[ActualCost_Clean],Table4[ProductID_Clean],Product_Month_Actual_Variable_Cost[[#This Row],[ProductID]],Table4[Period_Clean],Product_Month_Actual_Variable_Cost[[#Headers],[2025-03]],Table4[CostType],"Variable")</f>
        <v>190.46</v>
      </c>
      <c r="Q28">
        <f>SUMIFS(Table4[ActualCost_Clean],Table4[ProductID_Clean],Product_Month_Actual_Variable_Cost[[#This Row],[ProductID]],Table4[Period_Clean],Product_Month_Actual_Variable_Cost[[#Headers],[2025-04]],Table4[CostType],"Variable")</f>
        <v>178.94</v>
      </c>
      <c r="R28">
        <f>SUMIFS(Table4[ActualCost_Clean],Table4[ProductID_Clean],Product_Month_Actual_Variable_Cost[[#This Row],[ProductID]],Table4[Period_Clean],Product_Month_Actual_Variable_Cost[[#Headers],[2025-05]],Table4[CostType],"Variable")</f>
        <v>191.33</v>
      </c>
      <c r="S28">
        <f>SUMIFS(Table4[ActualCost_Clean],Table4[ProductID_Clean],Product_Month_Actual_Variable_Cost[[#This Row],[ProductID]],Table4[Period_Clean],Product_Month_Actual_Variable_Cost[[#Headers],[2025-06]],Table4[CostType],"Variable")</f>
        <v>183.44</v>
      </c>
      <c r="V28" t="s">
        <v>68</v>
      </c>
      <c r="W28" t="s">
        <v>58</v>
      </c>
      <c r="X28">
        <f>Table33[[#This Row],[1/1/2025]]*Product_Month_Actual_Variable_Cost[[#This Row],[2025-01]]</f>
        <v>1004.7</v>
      </c>
      <c r="Y28">
        <f>Table33[[#This Row],[2/1/2025]]*Product_Month_Actual_Variable_Cost[[#This Row],[2025-02]]</f>
        <v>574.08000000000004</v>
      </c>
      <c r="Z28">
        <f>Table33[[#This Row],[3/1/2025]]*Product_Month_Actual_Variable_Cost[[#This Row],[2025-03]]</f>
        <v>1523.68</v>
      </c>
      <c r="AA28">
        <f>Table33[[#This Row],[4/1/2025]]*Product_Month_Actual_Variable_Cost[[#This Row],[2025-04]]</f>
        <v>178.94</v>
      </c>
      <c r="AB28">
        <f>Table33[[#This Row],[5/1/2025]]*Product_Month_Actual_Variable_Cost[[#This Row],[2025-05]]</f>
        <v>956.65000000000009</v>
      </c>
      <c r="AC28">
        <f>Table33[[#This Row],[6/1/2025]]*Product_Month_Actual_Variable_Cost[[#This Row],[2025-06]]</f>
        <v>1100.6399999999999</v>
      </c>
      <c r="AD28">
        <f>SUM(Product_Region_Monthly_Variable_Cost[[#This Row],[25-Jan]:[25-Jun]])</f>
        <v>5338.6900000000005</v>
      </c>
      <c r="AG28" t="s">
        <v>68</v>
      </c>
      <c r="AH28" t="s">
        <v>58</v>
      </c>
      <c r="AI28">
        <f>SUMIFS(Table4[ActualCost_Clean],Table4[ProductID_Clean],Product_Month_Actual_Fixed_Cost[[#This Row],[ProductID]],Table4[Period_Clean],Product_Month_Actual_Variable_Cost[[#Headers],[2025-01]],Table4[CostType],"Fixed")</f>
        <v>305.16000000000003</v>
      </c>
      <c r="AJ28">
        <f>SUMIFS(Table4[ActualCost_Clean],Table4[ProductID_Clean],Product_Month_Actual_Fixed_Cost[[#This Row],[ProductID]],Table4[Period_Clean],Product_Month_Actual_Variable_Cost[[#Headers],[2025-02]],Table4[CostType],"Fixed")</f>
        <v>334.27</v>
      </c>
      <c r="AK28">
        <f>SUMIFS(Table4[ActualCost_Clean],Table4[ProductID_Clean],Product_Month_Actual_Fixed_Cost[[#This Row],[ProductID]],Table4[Period_Clean],Product_Month_Actual_Variable_Cost[[#Headers],[2025-03]],Table4[CostType],"Fixed")</f>
        <v>327.14</v>
      </c>
      <c r="AL28">
        <f>SUMIFS(Table4[ActualCost_Clean],Table4[ProductID_Clean],Product_Month_Actual_Fixed_Cost[[#This Row],[ProductID]],Table4[Period_Clean],Product_Month_Actual_Variable_Cost[[#Headers],[2025-04]],Table4[CostType],"Fixed")</f>
        <v>305.64999999999998</v>
      </c>
      <c r="AM28">
        <f>SUMIFS(Table4[ActualCost_Clean],Table4[ProductID_Clean],Product_Month_Actual_Fixed_Cost[[#This Row],[ProductID]],Table4[Period_Clean],Product_Month_Actual_Variable_Cost[[#Headers],[2025-05]],Table4[CostType],"Fixed")</f>
        <v>295.52</v>
      </c>
      <c r="AN28">
        <f>SUMIFS(Table4[ActualCost_Clean],Table4[ProductID_Clean],Product_Month_Actual_Fixed_Cost[[#This Row],[ProductID]],Table4[Period_Clean],Product_Month_Actual_Variable_Cost[[#Headers],[2025-06]],Table4[CostType],"Fixed")</f>
        <v>304</v>
      </c>
      <c r="AQ28" t="s">
        <v>68</v>
      </c>
      <c r="AR28" t="s">
        <v>58</v>
      </c>
      <c r="AS28">
        <f>Product_Month_Actual_Fixed_Cost[[#This Row],[2025-01]]*Table33[[#This Row],[1/1/2025]]</f>
        <v>1525.8000000000002</v>
      </c>
      <c r="AT28">
        <f>Product_Month_Actual_Fixed_Cost[[#This Row],[2025-02]]*Table33[[#This Row],[2/1/2025]]</f>
        <v>1002.81</v>
      </c>
      <c r="AU28">
        <f>Product_Month_Actual_Fixed_Cost[[#This Row],[2025-03]]*Table33[[#This Row],[3/1/2025]]</f>
        <v>2617.12</v>
      </c>
      <c r="AV28">
        <f>Product_Month_Actual_Fixed_Cost[[#This Row],[2025-04]]*Table33[[#This Row],[4/1/2025]]</f>
        <v>305.64999999999998</v>
      </c>
      <c r="AW28">
        <f>Product_Month_Actual_Fixed_Cost[[#This Row],[2025-05]]*Table33[[#This Row],[5/1/2025]]</f>
        <v>1477.6</v>
      </c>
      <c r="AX28">
        <f>Product_Month_Actual_Fixed_Cost[[#This Row],[2025-06]]*Table33[[#This Row],[6/1/2025]]</f>
        <v>1824</v>
      </c>
      <c r="AY28">
        <f>SUM(Product_Region_Monthly_Fixed_Cost[[#This Row],[25-Jan]:[25-Jun]])</f>
        <v>8752.98</v>
      </c>
      <c r="BB28" t="s">
        <v>68</v>
      </c>
      <c r="BC28" t="s">
        <v>58</v>
      </c>
      <c r="BD28">
        <f>Product_Region_Monthly_Fixed_Cost[[#This Row],[25-Jan]]+Product_Region_Monthly_Variable_Cost[[#This Row],[25-Jan]]</f>
        <v>2530.5</v>
      </c>
      <c r="BE28">
        <f>Product_Region_Monthly_Fixed_Cost[[#This Row],[25-Feb]]+Product_Region_Monthly_Variable_Cost[[#This Row],[25-Feb]]</f>
        <v>1576.8899999999999</v>
      </c>
      <c r="BF28">
        <f>Product_Region_Monthly_Fixed_Cost[[#This Row],[25-Mar]]+Product_Region_Monthly_Variable_Cost[[#This Row],[25-Mar]]</f>
        <v>4140.8</v>
      </c>
      <c r="BG28">
        <f>Product_Region_Monthly_Fixed_Cost[[#This Row],[25-Apr]]+Product_Region_Monthly_Variable_Cost[[#This Row],[25-Apr]]</f>
        <v>484.59</v>
      </c>
      <c r="BH28">
        <f>Product_Region_Monthly_Fixed_Cost[[#This Row],[25-May]]+Product_Region_Monthly_Variable_Cost[[#This Row],[25-May]]</f>
        <v>2434.25</v>
      </c>
      <c r="BI28">
        <f>Product_Region_Monthly_Fixed_Cost[[#This Row],[25-Jun]]+Product_Region_Monthly_Variable_Cost[[#This Row],[25-Jun]]</f>
        <v>2924.64</v>
      </c>
      <c r="BJ28">
        <f>Product_Region_Monthly_Fixed_Cost[[#This Row],[H1 Fixed Cost]]+Product_Region_Monthly_Variable_Cost[[#This Row],[H1 Variable Cost]]</f>
        <v>14091.67</v>
      </c>
    </row>
    <row r="29" spans="1:62">
      <c r="A29" t="s">
        <v>68</v>
      </c>
      <c r="B29" t="s">
        <v>32</v>
      </c>
      <c r="C29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29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29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29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29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29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29">
        <f>SUM(Table33[[#This Row],[1/1/2025]:[6/1/2025]])</f>
        <v>4</v>
      </c>
      <c r="L29" t="s">
        <v>68</v>
      </c>
      <c r="M29" t="s">
        <v>32</v>
      </c>
      <c r="N29">
        <f>SUMIFS(Table4[ActualCost_Clean],Table4[ProductID_Clean],Product_Month_Actual_Variable_Cost[[#This Row],[ProductID]],Table4[Period_Clean],Product_Month_Actual_Variable_Cost[[#Headers],[2025-01]],Table4[CostType],"Variable")</f>
        <v>200.94</v>
      </c>
      <c r="O29">
        <f>SUMIFS(Table4[ActualCost_Clean],Table4[ProductID_Clean],Product_Month_Actual_Variable_Cost[[#This Row],[ProductID]],Table4[Period_Clean],Product_Month_Actual_Variable_Cost[[#Headers],[2025-02]],Table4[CostType],"Variable")</f>
        <v>191.36</v>
      </c>
      <c r="P29">
        <f>SUMIFS(Table4[ActualCost_Clean],Table4[ProductID_Clean],Product_Month_Actual_Variable_Cost[[#This Row],[ProductID]],Table4[Period_Clean],Product_Month_Actual_Variable_Cost[[#Headers],[2025-03]],Table4[CostType],"Variable")</f>
        <v>190.46</v>
      </c>
      <c r="Q29">
        <f>SUMIFS(Table4[ActualCost_Clean],Table4[ProductID_Clean],Product_Month_Actual_Variable_Cost[[#This Row],[ProductID]],Table4[Period_Clean],Product_Month_Actual_Variable_Cost[[#Headers],[2025-04]],Table4[CostType],"Variable")</f>
        <v>178.94</v>
      </c>
      <c r="R29">
        <f>SUMIFS(Table4[ActualCost_Clean],Table4[ProductID_Clean],Product_Month_Actual_Variable_Cost[[#This Row],[ProductID]],Table4[Period_Clean],Product_Month_Actual_Variable_Cost[[#Headers],[2025-05]],Table4[CostType],"Variable")</f>
        <v>191.33</v>
      </c>
      <c r="S29">
        <f>SUMIFS(Table4[ActualCost_Clean],Table4[ProductID_Clean],Product_Month_Actual_Variable_Cost[[#This Row],[ProductID]],Table4[Period_Clean],Product_Month_Actual_Variable_Cost[[#Headers],[2025-06]],Table4[CostType],"Variable")</f>
        <v>183.44</v>
      </c>
      <c r="V29" t="s">
        <v>68</v>
      </c>
      <c r="W29" t="s">
        <v>32</v>
      </c>
      <c r="X29">
        <f>Table33[[#This Row],[1/1/2025]]*Product_Month_Actual_Variable_Cost[[#This Row],[2025-01]]</f>
        <v>200.94</v>
      </c>
      <c r="Y29">
        <f>Table33[[#This Row],[2/1/2025]]*Product_Month_Actual_Variable_Cost[[#This Row],[2025-02]]</f>
        <v>0</v>
      </c>
      <c r="Z29">
        <f>Table33[[#This Row],[3/1/2025]]*Product_Month_Actual_Variable_Cost[[#This Row],[2025-03]]</f>
        <v>0</v>
      </c>
      <c r="AA29">
        <f>Table33[[#This Row],[4/1/2025]]*Product_Month_Actual_Variable_Cost[[#This Row],[2025-04]]</f>
        <v>357.88</v>
      </c>
      <c r="AB29">
        <f>Table33[[#This Row],[5/1/2025]]*Product_Month_Actual_Variable_Cost[[#This Row],[2025-05]]</f>
        <v>0</v>
      </c>
      <c r="AC29">
        <f>Table33[[#This Row],[6/1/2025]]*Product_Month_Actual_Variable_Cost[[#This Row],[2025-06]]</f>
        <v>183.44</v>
      </c>
      <c r="AD29">
        <f>SUM(Product_Region_Monthly_Variable_Cost[[#This Row],[25-Jan]:[25-Jun]])</f>
        <v>742.26</v>
      </c>
      <c r="AG29" t="s">
        <v>68</v>
      </c>
      <c r="AH29" t="s">
        <v>32</v>
      </c>
      <c r="AI29">
        <f>SUMIFS(Table4[ActualCost_Clean],Table4[ProductID_Clean],Product_Month_Actual_Fixed_Cost[[#This Row],[ProductID]],Table4[Period_Clean],Product_Month_Actual_Variable_Cost[[#Headers],[2025-01]],Table4[CostType],"Fixed")</f>
        <v>305.16000000000003</v>
      </c>
      <c r="AJ29">
        <f>SUMIFS(Table4[ActualCost_Clean],Table4[ProductID_Clean],Product_Month_Actual_Fixed_Cost[[#This Row],[ProductID]],Table4[Period_Clean],Product_Month_Actual_Variable_Cost[[#Headers],[2025-02]],Table4[CostType],"Fixed")</f>
        <v>334.27</v>
      </c>
      <c r="AK29">
        <f>SUMIFS(Table4[ActualCost_Clean],Table4[ProductID_Clean],Product_Month_Actual_Fixed_Cost[[#This Row],[ProductID]],Table4[Period_Clean],Product_Month_Actual_Variable_Cost[[#Headers],[2025-03]],Table4[CostType],"Fixed")</f>
        <v>327.14</v>
      </c>
      <c r="AL29">
        <f>SUMIFS(Table4[ActualCost_Clean],Table4[ProductID_Clean],Product_Month_Actual_Fixed_Cost[[#This Row],[ProductID]],Table4[Period_Clean],Product_Month_Actual_Variable_Cost[[#Headers],[2025-04]],Table4[CostType],"Fixed")</f>
        <v>305.64999999999998</v>
      </c>
      <c r="AM29">
        <f>SUMIFS(Table4[ActualCost_Clean],Table4[ProductID_Clean],Product_Month_Actual_Fixed_Cost[[#This Row],[ProductID]],Table4[Period_Clean],Product_Month_Actual_Variable_Cost[[#Headers],[2025-05]],Table4[CostType],"Fixed")</f>
        <v>295.52</v>
      </c>
      <c r="AN29">
        <f>SUMIFS(Table4[ActualCost_Clean],Table4[ProductID_Clean],Product_Month_Actual_Fixed_Cost[[#This Row],[ProductID]],Table4[Period_Clean],Product_Month_Actual_Variable_Cost[[#Headers],[2025-06]],Table4[CostType],"Fixed")</f>
        <v>304</v>
      </c>
      <c r="AQ29" t="s">
        <v>68</v>
      </c>
      <c r="AR29" t="s">
        <v>32</v>
      </c>
      <c r="AS29">
        <f>Product_Month_Actual_Fixed_Cost[[#This Row],[2025-01]]*Table33[[#This Row],[1/1/2025]]</f>
        <v>305.16000000000003</v>
      </c>
      <c r="AT29">
        <f>Product_Month_Actual_Fixed_Cost[[#This Row],[2025-02]]*Table33[[#This Row],[2/1/2025]]</f>
        <v>0</v>
      </c>
      <c r="AU29">
        <f>Product_Month_Actual_Fixed_Cost[[#This Row],[2025-03]]*Table33[[#This Row],[3/1/2025]]</f>
        <v>0</v>
      </c>
      <c r="AV29">
        <f>Product_Month_Actual_Fixed_Cost[[#This Row],[2025-04]]*Table33[[#This Row],[4/1/2025]]</f>
        <v>611.29999999999995</v>
      </c>
      <c r="AW29">
        <f>Product_Month_Actual_Fixed_Cost[[#This Row],[2025-05]]*Table33[[#This Row],[5/1/2025]]</f>
        <v>0</v>
      </c>
      <c r="AX29">
        <f>Product_Month_Actual_Fixed_Cost[[#This Row],[2025-06]]*Table33[[#This Row],[6/1/2025]]</f>
        <v>304</v>
      </c>
      <c r="AY29">
        <f>SUM(Product_Region_Monthly_Fixed_Cost[[#This Row],[25-Jan]:[25-Jun]])</f>
        <v>1220.46</v>
      </c>
      <c r="BB29" t="s">
        <v>68</v>
      </c>
      <c r="BC29" t="s">
        <v>32</v>
      </c>
      <c r="BD29">
        <f>Product_Region_Monthly_Fixed_Cost[[#This Row],[25-Jan]]+Product_Region_Monthly_Variable_Cost[[#This Row],[25-Jan]]</f>
        <v>506.1</v>
      </c>
      <c r="BE29">
        <f>Product_Region_Monthly_Fixed_Cost[[#This Row],[25-Feb]]+Product_Region_Monthly_Variable_Cost[[#This Row],[25-Feb]]</f>
        <v>0</v>
      </c>
      <c r="BF29">
        <f>Product_Region_Monthly_Fixed_Cost[[#This Row],[25-Mar]]+Product_Region_Monthly_Variable_Cost[[#This Row],[25-Mar]]</f>
        <v>0</v>
      </c>
      <c r="BG29">
        <f>Product_Region_Monthly_Fixed_Cost[[#This Row],[25-Apr]]+Product_Region_Monthly_Variable_Cost[[#This Row],[25-Apr]]</f>
        <v>969.18</v>
      </c>
      <c r="BH29">
        <f>Product_Region_Monthly_Fixed_Cost[[#This Row],[25-May]]+Product_Region_Monthly_Variable_Cost[[#This Row],[25-May]]</f>
        <v>0</v>
      </c>
      <c r="BI29">
        <f>Product_Region_Monthly_Fixed_Cost[[#This Row],[25-Jun]]+Product_Region_Monthly_Variable_Cost[[#This Row],[25-Jun]]</f>
        <v>487.44</v>
      </c>
      <c r="BJ29">
        <f>Product_Region_Monthly_Fixed_Cost[[#This Row],[H1 Fixed Cost]]+Product_Region_Monthly_Variable_Cost[[#This Row],[H1 Variable Cost]]</f>
        <v>1962.72</v>
      </c>
    </row>
    <row r="30" spans="1:62">
      <c r="A30" t="s">
        <v>147</v>
      </c>
      <c r="B30" t="s">
        <v>23</v>
      </c>
      <c r="C30">
        <f>SUMIFS(Table1[Quantity],Table1[ProductID],Table33[[#This Row],[ProductID]],Table1[RegionClean_],Table33[[#This Row],[Region]],Table1[TransactionDate_Clean],"&gt;"&amp;EOMONTH($C$1,-1),Table1[TransactionDate_Clean],"&lt;="&amp;EOMONTH($C$1,0))</f>
        <v>4</v>
      </c>
      <c r="D30">
        <f>SUMIFS(Table1[Quantity],Table1[ProductID],Table33[[#This Row],[ProductID]],Table1[RegionClean_],Table33[[#This Row],[Region]],Table1[TransactionDate_Clean],"&gt;"&amp;EOMONTH($D$1,-1),Table1[TransactionDate_Clean],"&lt;="&amp;EOMONTH($D$1,0))</f>
        <v>2</v>
      </c>
      <c r="E30">
        <f>SUMIFS(Table1[Quantity],Table1[ProductID],Table33[[#This Row],[ProductID]],Table1[RegionClean_],Table33[[#This Row],[Region]],Table1[TransactionDate_Clean],"&gt;"&amp;EOMONTH($E$1,-1),Table1[TransactionDate_Clean],"&lt;="&amp;EOMONTH($E$1,0))</f>
        <v>2</v>
      </c>
      <c r="F30">
        <f>SUMIFS(Table1[Quantity],Table1[ProductID],Table33[[#This Row],[ProductID]],Table1[RegionClean_],Table33[[#This Row],[Region]],Table1[TransactionDate_Clean],"&gt;"&amp;EOMONTH($F$1,-1),Table1[TransactionDate_Clean],"&lt;="&amp;EOMONTH($F$1,0))</f>
        <v>5</v>
      </c>
      <c r="G30">
        <f>SUMIFS(Table1[Quantity],Table1[ProductID],Table33[[#This Row],[ProductID]],Table1[RegionClean_],Table33[[#This Row],[Region]],Table1[TransactionDate_Clean],"&gt;"&amp;EOMONTH($G$1,-1),Table1[TransactionDate_Clean],"&lt;="&amp;EOMONTH($G$1,0))</f>
        <v>4</v>
      </c>
      <c r="H30">
        <f>SUMIFS(Table1[Quantity],Table1[ProductID],Table33[[#This Row],[ProductID]],Table1[RegionClean_],Table33[[#This Row],[Region]],Table1[TransactionDate_Clean],"&gt;"&amp;EOMONTH($H$1,-1),Table1[TransactionDate_Clean],"&lt;="&amp;EOMONTH($H$1,0))</f>
        <v>8</v>
      </c>
      <c r="I30">
        <f>SUM(Table33[[#This Row],[1/1/2025]:[6/1/2025]])</f>
        <v>25</v>
      </c>
      <c r="L30" t="s">
        <v>147</v>
      </c>
      <c r="M30" t="s">
        <v>23</v>
      </c>
      <c r="N30">
        <f>SUMIFS(Table4[ActualCost_Clean],Table4[ProductID_Clean],Product_Month_Actual_Variable_Cost[[#This Row],[ProductID]],Table4[Period_Clean],Product_Month_Actual_Variable_Cost[[#Headers],[2025-01]],Table4[CostType],"Variable")</f>
        <v>403.51</v>
      </c>
      <c r="O30">
        <f>SUMIFS(Table4[ActualCost_Clean],Table4[ProductID_Clean],Product_Month_Actual_Variable_Cost[[#This Row],[ProductID]],Table4[Period_Clean],Product_Month_Actual_Variable_Cost[[#Headers],[2025-02]],Table4[CostType],"Variable")</f>
        <v>393.51</v>
      </c>
      <c r="P30">
        <f>SUMIFS(Table4[ActualCost_Clean],Table4[ProductID_Clean],Product_Month_Actual_Variable_Cost[[#This Row],[ProductID]],Table4[Period_Clean],Product_Month_Actual_Variable_Cost[[#Headers],[2025-03]],Table4[CostType],"Variable")</f>
        <v>392.18</v>
      </c>
      <c r="Q30">
        <f>SUMIFS(Table4[ActualCost_Clean],Table4[ProductID_Clean],Product_Month_Actual_Variable_Cost[[#This Row],[ProductID]],Table4[Period_Clean],Product_Month_Actual_Variable_Cost[[#Headers],[2025-04]],Table4[CostType],"Variable")</f>
        <v>395.9</v>
      </c>
      <c r="R30">
        <f>SUMIFS(Table4[ActualCost_Clean],Table4[ProductID_Clean],Product_Month_Actual_Variable_Cost[[#This Row],[ProductID]],Table4[Period_Clean],Product_Month_Actual_Variable_Cost[[#Headers],[2025-05]],Table4[CostType],"Variable")</f>
        <v>407.64</v>
      </c>
      <c r="S30">
        <f>SUMIFS(Table4[ActualCost_Clean],Table4[ProductID_Clean],Product_Month_Actual_Variable_Cost[[#This Row],[ProductID]],Table4[Period_Clean],Product_Month_Actual_Variable_Cost[[#Headers],[2025-06]],Table4[CostType],"Variable")</f>
        <v>403.67</v>
      </c>
      <c r="V30" t="s">
        <v>147</v>
      </c>
      <c r="W30" t="s">
        <v>23</v>
      </c>
      <c r="X30">
        <f>Table33[[#This Row],[1/1/2025]]*Product_Month_Actual_Variable_Cost[[#This Row],[2025-01]]</f>
        <v>1614.04</v>
      </c>
      <c r="Y30">
        <f>Table33[[#This Row],[2/1/2025]]*Product_Month_Actual_Variable_Cost[[#This Row],[2025-02]]</f>
        <v>787.02</v>
      </c>
      <c r="Z30">
        <f>Table33[[#This Row],[3/1/2025]]*Product_Month_Actual_Variable_Cost[[#This Row],[2025-03]]</f>
        <v>784.36</v>
      </c>
      <c r="AA30">
        <f>Table33[[#This Row],[4/1/2025]]*Product_Month_Actual_Variable_Cost[[#This Row],[2025-04]]</f>
        <v>1979.5</v>
      </c>
      <c r="AB30">
        <f>Table33[[#This Row],[5/1/2025]]*Product_Month_Actual_Variable_Cost[[#This Row],[2025-05]]</f>
        <v>1630.56</v>
      </c>
      <c r="AC30">
        <f>Table33[[#This Row],[6/1/2025]]*Product_Month_Actual_Variable_Cost[[#This Row],[2025-06]]</f>
        <v>3229.36</v>
      </c>
      <c r="AD30">
        <f>SUM(Product_Region_Monthly_Variable_Cost[[#This Row],[25-Jan]:[25-Jun]])</f>
        <v>10024.84</v>
      </c>
      <c r="AG30" t="s">
        <v>147</v>
      </c>
      <c r="AH30" t="s">
        <v>23</v>
      </c>
      <c r="AI30">
        <f>SUMIFS(Table4[ActualCost_Clean],Table4[ProductID_Clean],Product_Month_Actual_Fixed_Cost[[#This Row],[ProductID]],Table4[Period_Clean],Product_Month_Actual_Variable_Cost[[#Headers],[2025-01]],Table4[CostType],"Fixed")</f>
        <v>710.4</v>
      </c>
      <c r="AJ30">
        <f>SUMIFS(Table4[ActualCost_Clean],Table4[ProductID_Clean],Product_Month_Actual_Fixed_Cost[[#This Row],[ProductID]],Table4[Period_Clean],Product_Month_Actual_Variable_Cost[[#Headers],[2025-02]],Table4[CostType],"Fixed")</f>
        <v>697.66</v>
      </c>
      <c r="AK30">
        <f>SUMIFS(Table4[ActualCost_Clean],Table4[ProductID_Clean],Product_Month_Actual_Fixed_Cost[[#This Row],[ProductID]],Table4[Period_Clean],Product_Month_Actual_Variable_Cost[[#Headers],[2025-03]],Table4[CostType],"Fixed")</f>
        <v>702.72</v>
      </c>
      <c r="AL30">
        <f>SUMIFS(Table4[ActualCost_Clean],Table4[ProductID_Clean],Product_Month_Actual_Fixed_Cost[[#This Row],[ProductID]],Table4[Period_Clean],Product_Month_Actual_Variable_Cost[[#Headers],[2025-04]],Table4[CostType],"Fixed")</f>
        <v>657.71</v>
      </c>
      <c r="AM30">
        <f>SUMIFS(Table4[ActualCost_Clean],Table4[ProductID_Clean],Product_Month_Actual_Fixed_Cost[[#This Row],[ProductID]],Table4[Period_Clean],Product_Month_Actual_Variable_Cost[[#Headers],[2025-05]],Table4[CostType],"Fixed")</f>
        <v>711.13</v>
      </c>
      <c r="AN30">
        <f>SUMIFS(Table4[ActualCost_Clean],Table4[ProductID_Clean],Product_Month_Actual_Fixed_Cost[[#This Row],[ProductID]],Table4[Period_Clean],Product_Month_Actual_Variable_Cost[[#Headers],[2025-06]],Table4[CostType],"Fixed")</f>
        <v>731.37</v>
      </c>
      <c r="AQ30" t="s">
        <v>147</v>
      </c>
      <c r="AR30" t="s">
        <v>23</v>
      </c>
      <c r="AS30">
        <f>Product_Month_Actual_Fixed_Cost[[#This Row],[2025-01]]*Table33[[#This Row],[1/1/2025]]</f>
        <v>2841.6</v>
      </c>
      <c r="AT30">
        <f>Product_Month_Actual_Fixed_Cost[[#This Row],[2025-02]]*Table33[[#This Row],[2/1/2025]]</f>
        <v>1395.32</v>
      </c>
      <c r="AU30">
        <f>Product_Month_Actual_Fixed_Cost[[#This Row],[2025-03]]*Table33[[#This Row],[3/1/2025]]</f>
        <v>1405.44</v>
      </c>
      <c r="AV30">
        <f>Product_Month_Actual_Fixed_Cost[[#This Row],[2025-04]]*Table33[[#This Row],[4/1/2025]]</f>
        <v>3288.55</v>
      </c>
      <c r="AW30">
        <f>Product_Month_Actual_Fixed_Cost[[#This Row],[2025-05]]*Table33[[#This Row],[5/1/2025]]</f>
        <v>2844.52</v>
      </c>
      <c r="AX30">
        <f>Product_Month_Actual_Fixed_Cost[[#This Row],[2025-06]]*Table33[[#This Row],[6/1/2025]]</f>
        <v>5850.96</v>
      </c>
      <c r="AY30">
        <f>SUM(Product_Region_Monthly_Fixed_Cost[[#This Row],[25-Jan]:[25-Jun]])</f>
        <v>17626.39</v>
      </c>
      <c r="BB30" t="s">
        <v>147</v>
      </c>
      <c r="BC30" t="s">
        <v>23</v>
      </c>
      <c r="BD30">
        <f>Product_Region_Monthly_Fixed_Cost[[#This Row],[25-Jan]]+Product_Region_Monthly_Variable_Cost[[#This Row],[25-Jan]]</f>
        <v>4455.6399999999994</v>
      </c>
      <c r="BE30">
        <f>Product_Region_Monthly_Fixed_Cost[[#This Row],[25-Feb]]+Product_Region_Monthly_Variable_Cost[[#This Row],[25-Feb]]</f>
        <v>2182.34</v>
      </c>
      <c r="BF30">
        <f>Product_Region_Monthly_Fixed_Cost[[#This Row],[25-Mar]]+Product_Region_Monthly_Variable_Cost[[#This Row],[25-Mar]]</f>
        <v>2189.8000000000002</v>
      </c>
      <c r="BG30">
        <f>Product_Region_Monthly_Fixed_Cost[[#This Row],[25-Apr]]+Product_Region_Monthly_Variable_Cost[[#This Row],[25-Apr]]</f>
        <v>5268.05</v>
      </c>
      <c r="BH30">
        <f>Product_Region_Monthly_Fixed_Cost[[#This Row],[25-May]]+Product_Region_Monthly_Variable_Cost[[#This Row],[25-May]]</f>
        <v>4475.08</v>
      </c>
      <c r="BI30">
        <f>Product_Region_Monthly_Fixed_Cost[[#This Row],[25-Jun]]+Product_Region_Monthly_Variable_Cost[[#This Row],[25-Jun]]</f>
        <v>9080.32</v>
      </c>
      <c r="BJ30">
        <f>Product_Region_Monthly_Fixed_Cost[[#This Row],[H1 Fixed Cost]]+Product_Region_Monthly_Variable_Cost[[#This Row],[H1 Variable Cost]]</f>
        <v>27651.23</v>
      </c>
    </row>
    <row r="31" spans="1:62">
      <c r="A31" t="s">
        <v>147</v>
      </c>
      <c r="B31" t="s">
        <v>47</v>
      </c>
      <c r="C31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31">
        <f>SUMIFS(Table1[Quantity],Table1[ProductID],Table33[[#This Row],[ProductID]],Table1[RegionClean_],Table33[[#This Row],[Region]],Table1[TransactionDate_Clean],"&gt;"&amp;EOMONTH($D$1,-1),Table1[TransactionDate_Clean],"&lt;="&amp;EOMONTH($D$1,0))</f>
        <v>1</v>
      </c>
      <c r="E31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31">
        <f>SUMIFS(Table1[Quantity],Table1[ProductID],Table33[[#This Row],[ProductID]],Table1[RegionClean_],Table33[[#This Row],[Region]],Table1[TransactionDate_Clean],"&gt;"&amp;EOMONTH($F$1,-1),Table1[TransactionDate_Clean],"&lt;="&amp;EOMONTH($F$1,0))</f>
        <v>4</v>
      </c>
      <c r="G31">
        <f>SUMIFS(Table1[Quantity],Table1[ProductID],Table33[[#This Row],[ProductID]],Table1[RegionClean_],Table33[[#This Row],[Region]],Table1[TransactionDate_Clean],"&gt;"&amp;EOMONTH($G$1,-1),Table1[TransactionDate_Clean],"&lt;="&amp;EOMONTH($G$1,0))</f>
        <v>6</v>
      </c>
      <c r="H31">
        <f>SUMIFS(Table1[Quantity],Table1[ProductID],Table33[[#This Row],[ProductID]],Table1[RegionClean_],Table33[[#This Row],[Region]],Table1[TransactionDate_Clean],"&gt;"&amp;EOMONTH($H$1,-1),Table1[TransactionDate_Clean],"&lt;="&amp;EOMONTH($H$1,0))</f>
        <v>4</v>
      </c>
      <c r="I31">
        <f>SUM(Table33[[#This Row],[1/1/2025]:[6/1/2025]])</f>
        <v>17</v>
      </c>
      <c r="L31" t="s">
        <v>147</v>
      </c>
      <c r="M31" t="s">
        <v>47</v>
      </c>
      <c r="N31">
        <f>SUMIFS(Table4[ActualCost_Clean],Table4[ProductID_Clean],Product_Month_Actual_Variable_Cost[[#This Row],[ProductID]],Table4[Period_Clean],Product_Month_Actual_Variable_Cost[[#Headers],[2025-01]],Table4[CostType],"Variable")</f>
        <v>403.51</v>
      </c>
      <c r="O31">
        <f>SUMIFS(Table4[ActualCost_Clean],Table4[ProductID_Clean],Product_Month_Actual_Variable_Cost[[#This Row],[ProductID]],Table4[Period_Clean],Product_Month_Actual_Variable_Cost[[#Headers],[2025-02]],Table4[CostType],"Variable")</f>
        <v>393.51</v>
      </c>
      <c r="P31">
        <f>SUMIFS(Table4[ActualCost_Clean],Table4[ProductID_Clean],Product_Month_Actual_Variable_Cost[[#This Row],[ProductID]],Table4[Period_Clean],Product_Month_Actual_Variable_Cost[[#Headers],[2025-03]],Table4[CostType],"Variable")</f>
        <v>392.18</v>
      </c>
      <c r="Q31">
        <f>SUMIFS(Table4[ActualCost_Clean],Table4[ProductID_Clean],Product_Month_Actual_Variable_Cost[[#This Row],[ProductID]],Table4[Period_Clean],Product_Month_Actual_Variable_Cost[[#Headers],[2025-04]],Table4[CostType],"Variable")</f>
        <v>395.9</v>
      </c>
      <c r="R31">
        <f>SUMIFS(Table4[ActualCost_Clean],Table4[ProductID_Clean],Product_Month_Actual_Variable_Cost[[#This Row],[ProductID]],Table4[Period_Clean],Product_Month_Actual_Variable_Cost[[#Headers],[2025-05]],Table4[CostType],"Variable")</f>
        <v>407.64</v>
      </c>
      <c r="S31">
        <f>SUMIFS(Table4[ActualCost_Clean],Table4[ProductID_Clean],Product_Month_Actual_Variable_Cost[[#This Row],[ProductID]],Table4[Period_Clean],Product_Month_Actual_Variable_Cost[[#Headers],[2025-06]],Table4[CostType],"Variable")</f>
        <v>403.67</v>
      </c>
      <c r="V31" t="s">
        <v>147</v>
      </c>
      <c r="W31" t="s">
        <v>47</v>
      </c>
      <c r="X31">
        <f>Table33[[#This Row],[1/1/2025]]*Product_Month_Actual_Variable_Cost[[#This Row],[2025-01]]</f>
        <v>403.51</v>
      </c>
      <c r="Y31">
        <f>Table33[[#This Row],[2/1/2025]]*Product_Month_Actual_Variable_Cost[[#This Row],[2025-02]]</f>
        <v>393.51</v>
      </c>
      <c r="Z31">
        <f>Table33[[#This Row],[3/1/2025]]*Product_Month_Actual_Variable_Cost[[#This Row],[2025-03]]</f>
        <v>392.18</v>
      </c>
      <c r="AA31">
        <f>Table33[[#This Row],[4/1/2025]]*Product_Month_Actual_Variable_Cost[[#This Row],[2025-04]]</f>
        <v>1583.6</v>
      </c>
      <c r="AB31">
        <f>Table33[[#This Row],[5/1/2025]]*Product_Month_Actual_Variable_Cost[[#This Row],[2025-05]]</f>
        <v>2445.84</v>
      </c>
      <c r="AC31">
        <f>Table33[[#This Row],[6/1/2025]]*Product_Month_Actual_Variable_Cost[[#This Row],[2025-06]]</f>
        <v>1614.68</v>
      </c>
      <c r="AD31">
        <f>SUM(Product_Region_Monthly_Variable_Cost[[#This Row],[25-Jan]:[25-Jun]])</f>
        <v>6833.3200000000006</v>
      </c>
      <c r="AG31" t="s">
        <v>147</v>
      </c>
      <c r="AH31" t="s">
        <v>47</v>
      </c>
      <c r="AI31">
        <f>SUMIFS(Table4[ActualCost_Clean],Table4[ProductID_Clean],Product_Month_Actual_Fixed_Cost[[#This Row],[ProductID]],Table4[Period_Clean],Product_Month_Actual_Variable_Cost[[#Headers],[2025-01]],Table4[CostType],"Fixed")</f>
        <v>710.4</v>
      </c>
      <c r="AJ31">
        <f>SUMIFS(Table4[ActualCost_Clean],Table4[ProductID_Clean],Product_Month_Actual_Fixed_Cost[[#This Row],[ProductID]],Table4[Period_Clean],Product_Month_Actual_Variable_Cost[[#Headers],[2025-02]],Table4[CostType],"Fixed")</f>
        <v>697.66</v>
      </c>
      <c r="AK31">
        <f>SUMIFS(Table4[ActualCost_Clean],Table4[ProductID_Clean],Product_Month_Actual_Fixed_Cost[[#This Row],[ProductID]],Table4[Period_Clean],Product_Month_Actual_Variable_Cost[[#Headers],[2025-03]],Table4[CostType],"Fixed")</f>
        <v>702.72</v>
      </c>
      <c r="AL31">
        <f>SUMIFS(Table4[ActualCost_Clean],Table4[ProductID_Clean],Product_Month_Actual_Fixed_Cost[[#This Row],[ProductID]],Table4[Period_Clean],Product_Month_Actual_Variable_Cost[[#Headers],[2025-04]],Table4[CostType],"Fixed")</f>
        <v>657.71</v>
      </c>
      <c r="AM31">
        <f>SUMIFS(Table4[ActualCost_Clean],Table4[ProductID_Clean],Product_Month_Actual_Fixed_Cost[[#This Row],[ProductID]],Table4[Period_Clean],Product_Month_Actual_Variable_Cost[[#Headers],[2025-05]],Table4[CostType],"Fixed")</f>
        <v>711.13</v>
      </c>
      <c r="AN31">
        <f>SUMIFS(Table4[ActualCost_Clean],Table4[ProductID_Clean],Product_Month_Actual_Fixed_Cost[[#This Row],[ProductID]],Table4[Period_Clean],Product_Month_Actual_Variable_Cost[[#Headers],[2025-06]],Table4[CostType],"Fixed")</f>
        <v>731.37</v>
      </c>
      <c r="AQ31" t="s">
        <v>147</v>
      </c>
      <c r="AR31" t="s">
        <v>47</v>
      </c>
      <c r="AS31">
        <f>Product_Month_Actual_Fixed_Cost[[#This Row],[2025-01]]*Table33[[#This Row],[1/1/2025]]</f>
        <v>710.4</v>
      </c>
      <c r="AT31">
        <f>Product_Month_Actual_Fixed_Cost[[#This Row],[2025-02]]*Table33[[#This Row],[2/1/2025]]</f>
        <v>697.66</v>
      </c>
      <c r="AU31">
        <f>Product_Month_Actual_Fixed_Cost[[#This Row],[2025-03]]*Table33[[#This Row],[3/1/2025]]</f>
        <v>702.72</v>
      </c>
      <c r="AV31">
        <f>Product_Month_Actual_Fixed_Cost[[#This Row],[2025-04]]*Table33[[#This Row],[4/1/2025]]</f>
        <v>2630.84</v>
      </c>
      <c r="AW31">
        <f>Product_Month_Actual_Fixed_Cost[[#This Row],[2025-05]]*Table33[[#This Row],[5/1/2025]]</f>
        <v>4266.78</v>
      </c>
      <c r="AX31">
        <f>Product_Month_Actual_Fixed_Cost[[#This Row],[2025-06]]*Table33[[#This Row],[6/1/2025]]</f>
        <v>2925.48</v>
      </c>
      <c r="AY31">
        <f>SUM(Product_Region_Monthly_Fixed_Cost[[#This Row],[25-Jan]:[25-Jun]])</f>
        <v>11933.88</v>
      </c>
      <c r="BB31" t="s">
        <v>147</v>
      </c>
      <c r="BC31" t="s">
        <v>47</v>
      </c>
      <c r="BD31">
        <f>Product_Region_Monthly_Fixed_Cost[[#This Row],[25-Jan]]+Product_Region_Monthly_Variable_Cost[[#This Row],[25-Jan]]</f>
        <v>1113.9099999999999</v>
      </c>
      <c r="BE31">
        <f>Product_Region_Monthly_Fixed_Cost[[#This Row],[25-Feb]]+Product_Region_Monthly_Variable_Cost[[#This Row],[25-Feb]]</f>
        <v>1091.17</v>
      </c>
      <c r="BF31">
        <f>Product_Region_Monthly_Fixed_Cost[[#This Row],[25-Mar]]+Product_Region_Monthly_Variable_Cost[[#This Row],[25-Mar]]</f>
        <v>1094.9000000000001</v>
      </c>
      <c r="BG31">
        <f>Product_Region_Monthly_Fixed_Cost[[#This Row],[25-Apr]]+Product_Region_Monthly_Variable_Cost[[#This Row],[25-Apr]]</f>
        <v>4214.4400000000005</v>
      </c>
      <c r="BH31">
        <f>Product_Region_Monthly_Fixed_Cost[[#This Row],[25-May]]+Product_Region_Monthly_Variable_Cost[[#This Row],[25-May]]</f>
        <v>6712.62</v>
      </c>
      <c r="BI31">
        <f>Product_Region_Monthly_Fixed_Cost[[#This Row],[25-Jun]]+Product_Region_Monthly_Variable_Cost[[#This Row],[25-Jun]]</f>
        <v>4540.16</v>
      </c>
      <c r="BJ31">
        <f>Product_Region_Monthly_Fixed_Cost[[#This Row],[H1 Fixed Cost]]+Product_Region_Monthly_Variable_Cost[[#This Row],[H1 Variable Cost]]</f>
        <v>18767.2</v>
      </c>
    </row>
    <row r="32" spans="1:62">
      <c r="A32" t="s">
        <v>147</v>
      </c>
      <c r="B32" t="s">
        <v>58</v>
      </c>
      <c r="C32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32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32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32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32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32">
        <f>SUMIFS(Table1[Quantity],Table1[ProductID],Table33[[#This Row],[ProductID]],Table1[RegionClean_],Table33[[#This Row],[Region]],Table1[TransactionDate_Clean],"&gt;"&amp;EOMONTH($H$1,-1),Table1[TransactionDate_Clean],"&lt;="&amp;EOMONTH($H$1,0))</f>
        <v>4</v>
      </c>
      <c r="I32">
        <f>SUM(Table33[[#This Row],[1/1/2025]:[6/1/2025]])</f>
        <v>6</v>
      </c>
      <c r="L32" t="s">
        <v>147</v>
      </c>
      <c r="M32" t="s">
        <v>58</v>
      </c>
      <c r="N32">
        <f>SUMIFS(Table4[ActualCost_Clean],Table4[ProductID_Clean],Product_Month_Actual_Variable_Cost[[#This Row],[ProductID]],Table4[Period_Clean],Product_Month_Actual_Variable_Cost[[#Headers],[2025-01]],Table4[CostType],"Variable")</f>
        <v>403.51</v>
      </c>
      <c r="O32">
        <f>SUMIFS(Table4[ActualCost_Clean],Table4[ProductID_Clean],Product_Month_Actual_Variable_Cost[[#This Row],[ProductID]],Table4[Period_Clean],Product_Month_Actual_Variable_Cost[[#Headers],[2025-02]],Table4[CostType],"Variable")</f>
        <v>393.51</v>
      </c>
      <c r="P32">
        <f>SUMIFS(Table4[ActualCost_Clean],Table4[ProductID_Clean],Product_Month_Actual_Variable_Cost[[#This Row],[ProductID]],Table4[Period_Clean],Product_Month_Actual_Variable_Cost[[#Headers],[2025-03]],Table4[CostType],"Variable")</f>
        <v>392.18</v>
      </c>
      <c r="Q32">
        <f>SUMIFS(Table4[ActualCost_Clean],Table4[ProductID_Clean],Product_Month_Actual_Variable_Cost[[#This Row],[ProductID]],Table4[Period_Clean],Product_Month_Actual_Variable_Cost[[#Headers],[2025-04]],Table4[CostType],"Variable")</f>
        <v>395.9</v>
      </c>
      <c r="R32">
        <f>SUMIFS(Table4[ActualCost_Clean],Table4[ProductID_Clean],Product_Month_Actual_Variable_Cost[[#This Row],[ProductID]],Table4[Period_Clean],Product_Month_Actual_Variable_Cost[[#Headers],[2025-05]],Table4[CostType],"Variable")</f>
        <v>407.64</v>
      </c>
      <c r="S32">
        <f>SUMIFS(Table4[ActualCost_Clean],Table4[ProductID_Clean],Product_Month_Actual_Variable_Cost[[#This Row],[ProductID]],Table4[Period_Clean],Product_Month_Actual_Variable_Cost[[#Headers],[2025-06]],Table4[CostType],"Variable")</f>
        <v>403.67</v>
      </c>
      <c r="V32" t="s">
        <v>147</v>
      </c>
      <c r="W32" t="s">
        <v>58</v>
      </c>
      <c r="X32">
        <f>Table33[[#This Row],[1/1/2025]]*Product_Month_Actual_Variable_Cost[[#This Row],[2025-01]]</f>
        <v>0</v>
      </c>
      <c r="Y32">
        <f>Table33[[#This Row],[2/1/2025]]*Product_Month_Actual_Variable_Cost[[#This Row],[2025-02]]</f>
        <v>0</v>
      </c>
      <c r="Z32">
        <f>Table33[[#This Row],[3/1/2025]]*Product_Month_Actual_Variable_Cost[[#This Row],[2025-03]]</f>
        <v>0</v>
      </c>
      <c r="AA32">
        <f>Table33[[#This Row],[4/1/2025]]*Product_Month_Actual_Variable_Cost[[#This Row],[2025-04]]</f>
        <v>791.8</v>
      </c>
      <c r="AB32">
        <f>Table33[[#This Row],[5/1/2025]]*Product_Month_Actual_Variable_Cost[[#This Row],[2025-05]]</f>
        <v>0</v>
      </c>
      <c r="AC32">
        <f>Table33[[#This Row],[6/1/2025]]*Product_Month_Actual_Variable_Cost[[#This Row],[2025-06]]</f>
        <v>1614.68</v>
      </c>
      <c r="AD32">
        <f>SUM(Product_Region_Monthly_Variable_Cost[[#This Row],[25-Jan]:[25-Jun]])</f>
        <v>2406.48</v>
      </c>
      <c r="AG32" t="s">
        <v>147</v>
      </c>
      <c r="AH32" t="s">
        <v>58</v>
      </c>
      <c r="AI32">
        <f>SUMIFS(Table4[ActualCost_Clean],Table4[ProductID_Clean],Product_Month_Actual_Fixed_Cost[[#This Row],[ProductID]],Table4[Period_Clean],Product_Month_Actual_Variable_Cost[[#Headers],[2025-01]],Table4[CostType],"Fixed")</f>
        <v>710.4</v>
      </c>
      <c r="AJ32">
        <f>SUMIFS(Table4[ActualCost_Clean],Table4[ProductID_Clean],Product_Month_Actual_Fixed_Cost[[#This Row],[ProductID]],Table4[Period_Clean],Product_Month_Actual_Variable_Cost[[#Headers],[2025-02]],Table4[CostType],"Fixed")</f>
        <v>697.66</v>
      </c>
      <c r="AK32">
        <f>SUMIFS(Table4[ActualCost_Clean],Table4[ProductID_Clean],Product_Month_Actual_Fixed_Cost[[#This Row],[ProductID]],Table4[Period_Clean],Product_Month_Actual_Variable_Cost[[#Headers],[2025-03]],Table4[CostType],"Fixed")</f>
        <v>702.72</v>
      </c>
      <c r="AL32">
        <f>SUMIFS(Table4[ActualCost_Clean],Table4[ProductID_Clean],Product_Month_Actual_Fixed_Cost[[#This Row],[ProductID]],Table4[Period_Clean],Product_Month_Actual_Variable_Cost[[#Headers],[2025-04]],Table4[CostType],"Fixed")</f>
        <v>657.71</v>
      </c>
      <c r="AM32">
        <f>SUMIFS(Table4[ActualCost_Clean],Table4[ProductID_Clean],Product_Month_Actual_Fixed_Cost[[#This Row],[ProductID]],Table4[Period_Clean],Product_Month_Actual_Variable_Cost[[#Headers],[2025-05]],Table4[CostType],"Fixed")</f>
        <v>711.13</v>
      </c>
      <c r="AN32">
        <f>SUMIFS(Table4[ActualCost_Clean],Table4[ProductID_Clean],Product_Month_Actual_Fixed_Cost[[#This Row],[ProductID]],Table4[Period_Clean],Product_Month_Actual_Variable_Cost[[#Headers],[2025-06]],Table4[CostType],"Fixed")</f>
        <v>731.37</v>
      </c>
      <c r="AQ32" t="s">
        <v>147</v>
      </c>
      <c r="AR32" t="s">
        <v>58</v>
      </c>
      <c r="AS32">
        <f>Product_Month_Actual_Fixed_Cost[[#This Row],[2025-01]]*Table33[[#This Row],[1/1/2025]]</f>
        <v>0</v>
      </c>
      <c r="AT32">
        <f>Product_Month_Actual_Fixed_Cost[[#This Row],[2025-02]]*Table33[[#This Row],[2/1/2025]]</f>
        <v>0</v>
      </c>
      <c r="AU32">
        <f>Product_Month_Actual_Fixed_Cost[[#This Row],[2025-03]]*Table33[[#This Row],[3/1/2025]]</f>
        <v>0</v>
      </c>
      <c r="AV32">
        <f>Product_Month_Actual_Fixed_Cost[[#This Row],[2025-04]]*Table33[[#This Row],[4/1/2025]]</f>
        <v>1315.42</v>
      </c>
      <c r="AW32">
        <f>Product_Month_Actual_Fixed_Cost[[#This Row],[2025-05]]*Table33[[#This Row],[5/1/2025]]</f>
        <v>0</v>
      </c>
      <c r="AX32">
        <f>Product_Month_Actual_Fixed_Cost[[#This Row],[2025-06]]*Table33[[#This Row],[6/1/2025]]</f>
        <v>2925.48</v>
      </c>
      <c r="AY32">
        <f>SUM(Product_Region_Monthly_Fixed_Cost[[#This Row],[25-Jan]:[25-Jun]])</f>
        <v>4240.8999999999996</v>
      </c>
      <c r="BB32" t="s">
        <v>147</v>
      </c>
      <c r="BC32" t="s">
        <v>58</v>
      </c>
      <c r="BD32">
        <f>Product_Region_Monthly_Fixed_Cost[[#This Row],[25-Jan]]+Product_Region_Monthly_Variable_Cost[[#This Row],[25-Jan]]</f>
        <v>0</v>
      </c>
      <c r="BE32">
        <f>Product_Region_Monthly_Fixed_Cost[[#This Row],[25-Feb]]+Product_Region_Monthly_Variable_Cost[[#This Row],[25-Feb]]</f>
        <v>0</v>
      </c>
      <c r="BF32">
        <f>Product_Region_Monthly_Fixed_Cost[[#This Row],[25-Mar]]+Product_Region_Monthly_Variable_Cost[[#This Row],[25-Mar]]</f>
        <v>0</v>
      </c>
      <c r="BG32">
        <f>Product_Region_Monthly_Fixed_Cost[[#This Row],[25-Apr]]+Product_Region_Monthly_Variable_Cost[[#This Row],[25-Apr]]</f>
        <v>2107.2200000000003</v>
      </c>
      <c r="BH32">
        <f>Product_Region_Monthly_Fixed_Cost[[#This Row],[25-May]]+Product_Region_Monthly_Variable_Cost[[#This Row],[25-May]]</f>
        <v>0</v>
      </c>
      <c r="BI32">
        <f>Product_Region_Monthly_Fixed_Cost[[#This Row],[25-Jun]]+Product_Region_Monthly_Variable_Cost[[#This Row],[25-Jun]]</f>
        <v>4540.16</v>
      </c>
      <c r="BJ32">
        <f>Product_Region_Monthly_Fixed_Cost[[#This Row],[H1 Fixed Cost]]+Product_Region_Monthly_Variable_Cost[[#This Row],[H1 Variable Cost]]</f>
        <v>6647.3799999999992</v>
      </c>
    </row>
    <row r="33" spans="1:62">
      <c r="A33" t="s">
        <v>147</v>
      </c>
      <c r="B33" t="s">
        <v>32</v>
      </c>
      <c r="C33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33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33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33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33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33">
        <f>SUMIFS(Table1[Quantity],Table1[ProductID],Table33[[#This Row],[ProductID]],Table1[RegionClean_],Table33[[#This Row],[Region]],Table1[TransactionDate_Clean],"&gt;"&amp;EOMONTH($H$1,-1),Table1[TransactionDate_Clean],"&lt;="&amp;EOMONTH($H$1,0))</f>
        <v>7</v>
      </c>
      <c r="I33">
        <f>SUM(Table33[[#This Row],[1/1/2025]:[6/1/2025]])</f>
        <v>9</v>
      </c>
      <c r="L33" t="s">
        <v>147</v>
      </c>
      <c r="M33" t="s">
        <v>32</v>
      </c>
      <c r="N33">
        <f>SUMIFS(Table4[ActualCost_Clean],Table4[ProductID_Clean],Product_Month_Actual_Variable_Cost[[#This Row],[ProductID]],Table4[Period_Clean],Product_Month_Actual_Variable_Cost[[#Headers],[2025-01]],Table4[CostType],"Variable")</f>
        <v>403.51</v>
      </c>
      <c r="O33">
        <f>SUMIFS(Table4[ActualCost_Clean],Table4[ProductID_Clean],Product_Month_Actual_Variable_Cost[[#This Row],[ProductID]],Table4[Period_Clean],Product_Month_Actual_Variable_Cost[[#Headers],[2025-02]],Table4[CostType],"Variable")</f>
        <v>393.51</v>
      </c>
      <c r="P33">
        <f>SUMIFS(Table4[ActualCost_Clean],Table4[ProductID_Clean],Product_Month_Actual_Variable_Cost[[#This Row],[ProductID]],Table4[Period_Clean],Product_Month_Actual_Variable_Cost[[#Headers],[2025-03]],Table4[CostType],"Variable")</f>
        <v>392.18</v>
      </c>
      <c r="Q33">
        <f>SUMIFS(Table4[ActualCost_Clean],Table4[ProductID_Clean],Product_Month_Actual_Variable_Cost[[#This Row],[ProductID]],Table4[Period_Clean],Product_Month_Actual_Variable_Cost[[#Headers],[2025-04]],Table4[CostType],"Variable")</f>
        <v>395.9</v>
      </c>
      <c r="R33">
        <f>SUMIFS(Table4[ActualCost_Clean],Table4[ProductID_Clean],Product_Month_Actual_Variable_Cost[[#This Row],[ProductID]],Table4[Period_Clean],Product_Month_Actual_Variable_Cost[[#Headers],[2025-05]],Table4[CostType],"Variable")</f>
        <v>407.64</v>
      </c>
      <c r="S33">
        <f>SUMIFS(Table4[ActualCost_Clean],Table4[ProductID_Clean],Product_Month_Actual_Variable_Cost[[#This Row],[ProductID]],Table4[Period_Clean],Product_Month_Actual_Variable_Cost[[#Headers],[2025-06]],Table4[CostType],"Variable")</f>
        <v>403.67</v>
      </c>
      <c r="V33" t="s">
        <v>147</v>
      </c>
      <c r="W33" t="s">
        <v>32</v>
      </c>
      <c r="X33">
        <f>Table33[[#This Row],[1/1/2025]]*Product_Month_Actual_Variable_Cost[[#This Row],[2025-01]]</f>
        <v>0</v>
      </c>
      <c r="Y33">
        <f>Table33[[#This Row],[2/1/2025]]*Product_Month_Actual_Variable_Cost[[#This Row],[2025-02]]</f>
        <v>0</v>
      </c>
      <c r="Z33">
        <f>Table33[[#This Row],[3/1/2025]]*Product_Month_Actual_Variable_Cost[[#This Row],[2025-03]]</f>
        <v>392.18</v>
      </c>
      <c r="AA33">
        <f>Table33[[#This Row],[4/1/2025]]*Product_Month_Actual_Variable_Cost[[#This Row],[2025-04]]</f>
        <v>395.9</v>
      </c>
      <c r="AB33">
        <f>Table33[[#This Row],[5/1/2025]]*Product_Month_Actual_Variable_Cost[[#This Row],[2025-05]]</f>
        <v>0</v>
      </c>
      <c r="AC33">
        <f>Table33[[#This Row],[6/1/2025]]*Product_Month_Actual_Variable_Cost[[#This Row],[2025-06]]</f>
        <v>2825.69</v>
      </c>
      <c r="AD33">
        <f>SUM(Product_Region_Monthly_Variable_Cost[[#This Row],[25-Jan]:[25-Jun]])</f>
        <v>3613.77</v>
      </c>
      <c r="AG33" t="s">
        <v>147</v>
      </c>
      <c r="AH33" t="s">
        <v>32</v>
      </c>
      <c r="AI33">
        <f>SUMIFS(Table4[ActualCost_Clean],Table4[ProductID_Clean],Product_Month_Actual_Fixed_Cost[[#This Row],[ProductID]],Table4[Period_Clean],Product_Month_Actual_Variable_Cost[[#Headers],[2025-01]],Table4[CostType],"Fixed")</f>
        <v>710.4</v>
      </c>
      <c r="AJ33">
        <f>SUMIFS(Table4[ActualCost_Clean],Table4[ProductID_Clean],Product_Month_Actual_Fixed_Cost[[#This Row],[ProductID]],Table4[Period_Clean],Product_Month_Actual_Variable_Cost[[#Headers],[2025-02]],Table4[CostType],"Fixed")</f>
        <v>697.66</v>
      </c>
      <c r="AK33">
        <f>SUMIFS(Table4[ActualCost_Clean],Table4[ProductID_Clean],Product_Month_Actual_Fixed_Cost[[#This Row],[ProductID]],Table4[Period_Clean],Product_Month_Actual_Variable_Cost[[#Headers],[2025-03]],Table4[CostType],"Fixed")</f>
        <v>702.72</v>
      </c>
      <c r="AL33">
        <f>SUMIFS(Table4[ActualCost_Clean],Table4[ProductID_Clean],Product_Month_Actual_Fixed_Cost[[#This Row],[ProductID]],Table4[Period_Clean],Product_Month_Actual_Variable_Cost[[#Headers],[2025-04]],Table4[CostType],"Fixed")</f>
        <v>657.71</v>
      </c>
      <c r="AM33">
        <f>SUMIFS(Table4[ActualCost_Clean],Table4[ProductID_Clean],Product_Month_Actual_Fixed_Cost[[#This Row],[ProductID]],Table4[Period_Clean],Product_Month_Actual_Variable_Cost[[#Headers],[2025-05]],Table4[CostType],"Fixed")</f>
        <v>711.13</v>
      </c>
      <c r="AN33">
        <f>SUMIFS(Table4[ActualCost_Clean],Table4[ProductID_Clean],Product_Month_Actual_Fixed_Cost[[#This Row],[ProductID]],Table4[Period_Clean],Product_Month_Actual_Variable_Cost[[#Headers],[2025-06]],Table4[CostType],"Fixed")</f>
        <v>731.37</v>
      </c>
      <c r="AQ33" t="s">
        <v>147</v>
      </c>
      <c r="AR33" t="s">
        <v>32</v>
      </c>
      <c r="AS33">
        <f>Product_Month_Actual_Fixed_Cost[[#This Row],[2025-01]]*Table33[[#This Row],[1/1/2025]]</f>
        <v>0</v>
      </c>
      <c r="AT33">
        <f>Product_Month_Actual_Fixed_Cost[[#This Row],[2025-02]]*Table33[[#This Row],[2/1/2025]]</f>
        <v>0</v>
      </c>
      <c r="AU33">
        <f>Product_Month_Actual_Fixed_Cost[[#This Row],[2025-03]]*Table33[[#This Row],[3/1/2025]]</f>
        <v>702.72</v>
      </c>
      <c r="AV33">
        <f>Product_Month_Actual_Fixed_Cost[[#This Row],[2025-04]]*Table33[[#This Row],[4/1/2025]]</f>
        <v>657.71</v>
      </c>
      <c r="AW33">
        <f>Product_Month_Actual_Fixed_Cost[[#This Row],[2025-05]]*Table33[[#This Row],[5/1/2025]]</f>
        <v>0</v>
      </c>
      <c r="AX33">
        <f>Product_Month_Actual_Fixed_Cost[[#This Row],[2025-06]]*Table33[[#This Row],[6/1/2025]]</f>
        <v>5119.59</v>
      </c>
      <c r="AY33">
        <f>SUM(Product_Region_Monthly_Fixed_Cost[[#This Row],[25-Jan]:[25-Jun]])</f>
        <v>6480.02</v>
      </c>
      <c r="BB33" t="s">
        <v>147</v>
      </c>
      <c r="BC33" t="s">
        <v>32</v>
      </c>
      <c r="BD33">
        <f>Product_Region_Monthly_Fixed_Cost[[#This Row],[25-Jan]]+Product_Region_Monthly_Variable_Cost[[#This Row],[25-Jan]]</f>
        <v>0</v>
      </c>
      <c r="BE33">
        <f>Product_Region_Monthly_Fixed_Cost[[#This Row],[25-Feb]]+Product_Region_Monthly_Variable_Cost[[#This Row],[25-Feb]]</f>
        <v>0</v>
      </c>
      <c r="BF33">
        <f>Product_Region_Monthly_Fixed_Cost[[#This Row],[25-Mar]]+Product_Region_Monthly_Variable_Cost[[#This Row],[25-Mar]]</f>
        <v>1094.9000000000001</v>
      </c>
      <c r="BG33">
        <f>Product_Region_Monthly_Fixed_Cost[[#This Row],[25-Apr]]+Product_Region_Monthly_Variable_Cost[[#This Row],[25-Apr]]</f>
        <v>1053.6100000000001</v>
      </c>
      <c r="BH33">
        <f>Product_Region_Monthly_Fixed_Cost[[#This Row],[25-May]]+Product_Region_Monthly_Variable_Cost[[#This Row],[25-May]]</f>
        <v>0</v>
      </c>
      <c r="BI33">
        <f>Product_Region_Monthly_Fixed_Cost[[#This Row],[25-Jun]]+Product_Region_Monthly_Variable_Cost[[#This Row],[25-Jun]]</f>
        <v>7945.2800000000007</v>
      </c>
      <c r="BJ33">
        <f>Product_Region_Monthly_Fixed_Cost[[#This Row],[H1 Fixed Cost]]+Product_Region_Monthly_Variable_Cost[[#This Row],[H1 Variable Cost]]</f>
        <v>10093.790000000001</v>
      </c>
    </row>
    <row r="34" spans="1:62">
      <c r="A34" t="s">
        <v>51</v>
      </c>
      <c r="B34" t="s">
        <v>23</v>
      </c>
      <c r="C34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34">
        <f>SUMIFS(Table1[Quantity],Table1[ProductID],Table33[[#This Row],[ProductID]],Table1[RegionClean_],Table33[[#This Row],[Region]],Table1[TransactionDate_Clean],"&gt;"&amp;EOMONTH($D$1,-1),Table1[TransactionDate_Clean],"&lt;="&amp;EOMONTH($D$1,0))</f>
        <v>4</v>
      </c>
      <c r="E34">
        <f>SUMIFS(Table1[Quantity],Table1[ProductID],Table33[[#This Row],[ProductID]],Table1[RegionClean_],Table33[[#This Row],[Region]],Table1[TransactionDate_Clean],"&gt;"&amp;EOMONTH($E$1,-1),Table1[TransactionDate_Clean],"&lt;="&amp;EOMONTH($E$1,0))</f>
        <v>2</v>
      </c>
      <c r="F34">
        <f>SUMIFS(Table1[Quantity],Table1[ProductID],Table33[[#This Row],[ProductID]],Table1[RegionClean_],Table33[[#This Row],[Region]],Table1[TransactionDate_Clean],"&gt;"&amp;EOMONTH($F$1,-1),Table1[TransactionDate_Clean],"&lt;="&amp;EOMONTH($F$1,0))</f>
        <v>4</v>
      </c>
      <c r="G34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34">
        <f>SUMIFS(Table1[Quantity],Table1[ProductID],Table33[[#This Row],[ProductID]],Table1[RegionClean_],Table33[[#This Row],[Region]],Table1[TransactionDate_Clean],"&gt;"&amp;EOMONTH($H$1,-1),Table1[TransactionDate_Clean],"&lt;="&amp;EOMONTH($H$1,0))</f>
        <v>6</v>
      </c>
      <c r="I34">
        <f>SUM(Table33[[#This Row],[1/1/2025]:[6/1/2025]])</f>
        <v>20</v>
      </c>
      <c r="L34" t="s">
        <v>51</v>
      </c>
      <c r="M34" t="s">
        <v>23</v>
      </c>
      <c r="N34">
        <f>SUMIFS(Table4[ActualCost_Clean],Table4[ProductID_Clean],Product_Month_Actual_Variable_Cost[[#This Row],[ProductID]],Table4[Period_Clean],Product_Month_Actual_Variable_Cost[[#Headers],[2025-01]],Table4[CostType],"Variable")</f>
        <v>93.7</v>
      </c>
      <c r="O34">
        <f>SUMIFS(Table4[ActualCost_Clean],Table4[ProductID_Clean],Product_Month_Actual_Variable_Cost[[#This Row],[ProductID]],Table4[Period_Clean],Product_Month_Actual_Variable_Cost[[#Headers],[2025-02]],Table4[CostType],"Variable")</f>
        <v>96.82</v>
      </c>
      <c r="P34">
        <f>SUMIFS(Table4[ActualCost_Clean],Table4[ProductID_Clean],Product_Month_Actual_Variable_Cost[[#This Row],[ProductID]],Table4[Period_Clean],Product_Month_Actual_Variable_Cost[[#Headers],[2025-03]],Table4[CostType],"Variable")</f>
        <v>102.15</v>
      </c>
      <c r="Q34">
        <f>SUMIFS(Table4[ActualCost_Clean],Table4[ProductID_Clean],Product_Month_Actual_Variable_Cost[[#This Row],[ProductID]],Table4[Period_Clean],Product_Month_Actual_Variable_Cost[[#Headers],[2025-04]],Table4[CostType],"Variable")</f>
        <v>94.46</v>
      </c>
      <c r="R34">
        <f>SUMIFS(Table4[ActualCost_Clean],Table4[ProductID_Clean],Product_Month_Actual_Variable_Cost[[#This Row],[ProductID]],Table4[Period_Clean],Product_Month_Actual_Variable_Cost[[#Headers],[2025-05]],Table4[CostType],"Variable")</f>
        <v>92.44</v>
      </c>
      <c r="S34">
        <f>SUMIFS(Table4[ActualCost_Clean],Table4[ProductID_Clean],Product_Month_Actual_Variable_Cost[[#This Row],[ProductID]],Table4[Period_Clean],Product_Month_Actual_Variable_Cost[[#Headers],[2025-06]],Table4[CostType],"Variable")</f>
        <v>95.52</v>
      </c>
      <c r="V34" t="s">
        <v>51</v>
      </c>
      <c r="W34" t="s">
        <v>23</v>
      </c>
      <c r="X34">
        <f>Table33[[#This Row],[1/1/2025]]*Product_Month_Actual_Variable_Cost[[#This Row],[2025-01]]</f>
        <v>187.4</v>
      </c>
      <c r="Y34">
        <f>Table33[[#This Row],[2/1/2025]]*Product_Month_Actual_Variable_Cost[[#This Row],[2025-02]]</f>
        <v>387.28</v>
      </c>
      <c r="Z34">
        <f>Table33[[#This Row],[3/1/2025]]*Product_Month_Actual_Variable_Cost[[#This Row],[2025-03]]</f>
        <v>204.3</v>
      </c>
      <c r="AA34">
        <f>Table33[[#This Row],[4/1/2025]]*Product_Month_Actual_Variable_Cost[[#This Row],[2025-04]]</f>
        <v>377.84</v>
      </c>
      <c r="AB34">
        <f>Table33[[#This Row],[5/1/2025]]*Product_Month_Actual_Variable_Cost[[#This Row],[2025-05]]</f>
        <v>184.88</v>
      </c>
      <c r="AC34">
        <f>Table33[[#This Row],[6/1/2025]]*Product_Month_Actual_Variable_Cost[[#This Row],[2025-06]]</f>
        <v>573.12</v>
      </c>
      <c r="AD34">
        <f>SUM(Product_Region_Monthly_Variable_Cost[[#This Row],[25-Jan]:[25-Jun]])</f>
        <v>1914.8199999999997</v>
      </c>
      <c r="AG34" t="s">
        <v>51</v>
      </c>
      <c r="AH34" t="s">
        <v>23</v>
      </c>
      <c r="AI34">
        <f>SUMIFS(Table4[ActualCost_Clean],Table4[ProductID_Clean],Product_Month_Actual_Fixed_Cost[[#This Row],[ProductID]],Table4[Period_Clean],Product_Month_Actual_Variable_Cost[[#Headers],[2025-01]],Table4[CostType],"Fixed")</f>
        <v>222.93</v>
      </c>
      <c r="AJ34">
        <f>SUMIFS(Table4[ActualCost_Clean],Table4[ProductID_Clean],Product_Month_Actual_Fixed_Cost[[#This Row],[ProductID]],Table4[Period_Clean],Product_Month_Actual_Variable_Cost[[#Headers],[2025-02]],Table4[CostType],"Fixed")</f>
        <v>223.9</v>
      </c>
      <c r="AK34">
        <f>SUMIFS(Table4[ActualCost_Clean],Table4[ProductID_Clean],Product_Month_Actual_Fixed_Cost[[#This Row],[ProductID]],Table4[Period_Clean],Product_Month_Actual_Variable_Cost[[#Headers],[2025-03]],Table4[CostType],"Fixed")</f>
        <v>213.69</v>
      </c>
      <c r="AL34">
        <f>SUMIFS(Table4[ActualCost_Clean],Table4[ProductID_Clean],Product_Month_Actual_Fixed_Cost[[#This Row],[ProductID]],Table4[Period_Clean],Product_Month_Actual_Variable_Cost[[#Headers],[2025-04]],Table4[CostType],"Fixed")</f>
        <v>213.85</v>
      </c>
      <c r="AM34">
        <f>SUMIFS(Table4[ActualCost_Clean],Table4[ProductID_Clean],Product_Month_Actual_Fixed_Cost[[#This Row],[ProductID]],Table4[Period_Clean],Product_Month_Actual_Variable_Cost[[#Headers],[2025-05]],Table4[CostType],"Fixed")</f>
        <v>208</v>
      </c>
      <c r="AN34">
        <f>SUMIFS(Table4[ActualCost_Clean],Table4[ProductID_Clean],Product_Month_Actual_Fixed_Cost[[#This Row],[ProductID]],Table4[Period_Clean],Product_Month_Actual_Variable_Cost[[#Headers],[2025-06]],Table4[CostType],"Fixed")</f>
        <v>220.22</v>
      </c>
      <c r="AQ34" t="s">
        <v>51</v>
      </c>
      <c r="AR34" t="s">
        <v>23</v>
      </c>
      <c r="AS34">
        <f>Product_Month_Actual_Fixed_Cost[[#This Row],[2025-01]]*Table33[[#This Row],[1/1/2025]]</f>
        <v>445.86</v>
      </c>
      <c r="AT34">
        <f>Product_Month_Actual_Fixed_Cost[[#This Row],[2025-02]]*Table33[[#This Row],[2/1/2025]]</f>
        <v>895.6</v>
      </c>
      <c r="AU34">
        <f>Product_Month_Actual_Fixed_Cost[[#This Row],[2025-03]]*Table33[[#This Row],[3/1/2025]]</f>
        <v>427.38</v>
      </c>
      <c r="AV34">
        <f>Product_Month_Actual_Fixed_Cost[[#This Row],[2025-04]]*Table33[[#This Row],[4/1/2025]]</f>
        <v>855.4</v>
      </c>
      <c r="AW34">
        <f>Product_Month_Actual_Fixed_Cost[[#This Row],[2025-05]]*Table33[[#This Row],[5/1/2025]]</f>
        <v>416</v>
      </c>
      <c r="AX34">
        <f>Product_Month_Actual_Fixed_Cost[[#This Row],[2025-06]]*Table33[[#This Row],[6/1/2025]]</f>
        <v>1321.32</v>
      </c>
      <c r="AY34">
        <f>SUM(Product_Region_Monthly_Fixed_Cost[[#This Row],[25-Jan]:[25-Jun]])</f>
        <v>4361.5600000000004</v>
      </c>
      <c r="BB34" t="s">
        <v>51</v>
      </c>
      <c r="BC34" t="s">
        <v>23</v>
      </c>
      <c r="BD34">
        <f>Product_Region_Monthly_Fixed_Cost[[#This Row],[25-Jan]]+Product_Region_Monthly_Variable_Cost[[#This Row],[25-Jan]]</f>
        <v>633.26</v>
      </c>
      <c r="BE34">
        <f>Product_Region_Monthly_Fixed_Cost[[#This Row],[25-Feb]]+Product_Region_Monthly_Variable_Cost[[#This Row],[25-Feb]]</f>
        <v>1282.8800000000001</v>
      </c>
      <c r="BF34">
        <f>Product_Region_Monthly_Fixed_Cost[[#This Row],[25-Mar]]+Product_Region_Monthly_Variable_Cost[[#This Row],[25-Mar]]</f>
        <v>631.68000000000006</v>
      </c>
      <c r="BG34">
        <f>Product_Region_Monthly_Fixed_Cost[[#This Row],[25-Apr]]+Product_Region_Monthly_Variable_Cost[[#This Row],[25-Apr]]</f>
        <v>1233.24</v>
      </c>
      <c r="BH34">
        <f>Product_Region_Monthly_Fixed_Cost[[#This Row],[25-May]]+Product_Region_Monthly_Variable_Cost[[#This Row],[25-May]]</f>
        <v>600.88</v>
      </c>
      <c r="BI34">
        <f>Product_Region_Monthly_Fixed_Cost[[#This Row],[25-Jun]]+Product_Region_Monthly_Variable_Cost[[#This Row],[25-Jun]]</f>
        <v>1894.44</v>
      </c>
      <c r="BJ34">
        <f>Product_Region_Monthly_Fixed_Cost[[#This Row],[H1 Fixed Cost]]+Product_Region_Monthly_Variable_Cost[[#This Row],[H1 Variable Cost]]</f>
        <v>6276.38</v>
      </c>
    </row>
    <row r="35" spans="1:62">
      <c r="A35" t="s">
        <v>51</v>
      </c>
      <c r="B35" t="s">
        <v>47</v>
      </c>
      <c r="C35">
        <f>SUMIFS(Table1[Quantity],Table1[ProductID],Table33[[#This Row],[ProductID]],Table1[RegionClean_],Table33[[#This Row],[Region]],Table1[TransactionDate_Clean],"&gt;"&amp;EOMONTH($C$1,-1),Table1[TransactionDate_Clean],"&lt;="&amp;EOMONTH($C$1,0))</f>
        <v>3</v>
      </c>
      <c r="D35">
        <f>SUMIFS(Table1[Quantity],Table1[ProductID],Table33[[#This Row],[ProductID]],Table1[RegionClean_],Table33[[#This Row],[Region]],Table1[TransactionDate_Clean],"&gt;"&amp;EOMONTH($D$1,-1),Table1[TransactionDate_Clean],"&lt;="&amp;EOMONTH($D$1,0))</f>
        <v>1</v>
      </c>
      <c r="E35">
        <f>SUMIFS(Table1[Quantity],Table1[ProductID],Table33[[#This Row],[ProductID]],Table1[RegionClean_],Table33[[#This Row],[Region]],Table1[TransactionDate_Clean],"&gt;"&amp;EOMONTH($E$1,-1),Table1[TransactionDate_Clean],"&lt;="&amp;EOMONTH($E$1,0))</f>
        <v>2</v>
      </c>
      <c r="F35">
        <f>SUMIFS(Table1[Quantity],Table1[ProductID],Table33[[#This Row],[ProductID]],Table1[RegionClean_],Table33[[#This Row],[Region]],Table1[TransactionDate_Clean],"&gt;"&amp;EOMONTH($F$1,-1),Table1[TransactionDate_Clean],"&lt;="&amp;EOMONTH($F$1,0))</f>
        <v>6</v>
      </c>
      <c r="G35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35">
        <f>SUMIFS(Table1[Quantity],Table1[ProductID],Table33[[#This Row],[ProductID]],Table1[RegionClean_],Table33[[#This Row],[Region]],Table1[TransactionDate_Clean],"&gt;"&amp;EOMONTH($H$1,-1),Table1[TransactionDate_Clean],"&lt;="&amp;EOMONTH($H$1,0))</f>
        <v>5</v>
      </c>
      <c r="I35">
        <f>SUM(Table33[[#This Row],[1/1/2025]:[6/1/2025]])</f>
        <v>18</v>
      </c>
      <c r="L35" t="s">
        <v>51</v>
      </c>
      <c r="M35" t="s">
        <v>47</v>
      </c>
      <c r="N35">
        <f>SUMIFS(Table4[ActualCost_Clean],Table4[ProductID_Clean],Product_Month_Actual_Variable_Cost[[#This Row],[ProductID]],Table4[Period_Clean],Product_Month_Actual_Variable_Cost[[#Headers],[2025-01]],Table4[CostType],"Variable")</f>
        <v>93.7</v>
      </c>
      <c r="O35">
        <f>SUMIFS(Table4[ActualCost_Clean],Table4[ProductID_Clean],Product_Month_Actual_Variable_Cost[[#This Row],[ProductID]],Table4[Period_Clean],Product_Month_Actual_Variable_Cost[[#Headers],[2025-02]],Table4[CostType],"Variable")</f>
        <v>96.82</v>
      </c>
      <c r="P35">
        <f>SUMIFS(Table4[ActualCost_Clean],Table4[ProductID_Clean],Product_Month_Actual_Variable_Cost[[#This Row],[ProductID]],Table4[Period_Clean],Product_Month_Actual_Variable_Cost[[#Headers],[2025-03]],Table4[CostType],"Variable")</f>
        <v>102.15</v>
      </c>
      <c r="Q35">
        <f>SUMIFS(Table4[ActualCost_Clean],Table4[ProductID_Clean],Product_Month_Actual_Variable_Cost[[#This Row],[ProductID]],Table4[Period_Clean],Product_Month_Actual_Variable_Cost[[#Headers],[2025-04]],Table4[CostType],"Variable")</f>
        <v>94.46</v>
      </c>
      <c r="R35">
        <f>SUMIFS(Table4[ActualCost_Clean],Table4[ProductID_Clean],Product_Month_Actual_Variable_Cost[[#This Row],[ProductID]],Table4[Period_Clean],Product_Month_Actual_Variable_Cost[[#Headers],[2025-05]],Table4[CostType],"Variable")</f>
        <v>92.44</v>
      </c>
      <c r="S35">
        <f>SUMIFS(Table4[ActualCost_Clean],Table4[ProductID_Clean],Product_Month_Actual_Variable_Cost[[#This Row],[ProductID]],Table4[Period_Clean],Product_Month_Actual_Variable_Cost[[#Headers],[2025-06]],Table4[CostType],"Variable")</f>
        <v>95.52</v>
      </c>
      <c r="V35" t="s">
        <v>51</v>
      </c>
      <c r="W35" t="s">
        <v>47</v>
      </c>
      <c r="X35">
        <f>Table33[[#This Row],[1/1/2025]]*Product_Month_Actual_Variable_Cost[[#This Row],[2025-01]]</f>
        <v>281.10000000000002</v>
      </c>
      <c r="Y35">
        <f>Table33[[#This Row],[2/1/2025]]*Product_Month_Actual_Variable_Cost[[#This Row],[2025-02]]</f>
        <v>96.82</v>
      </c>
      <c r="Z35">
        <f>Table33[[#This Row],[3/1/2025]]*Product_Month_Actual_Variable_Cost[[#This Row],[2025-03]]</f>
        <v>204.3</v>
      </c>
      <c r="AA35">
        <f>Table33[[#This Row],[4/1/2025]]*Product_Month_Actual_Variable_Cost[[#This Row],[2025-04]]</f>
        <v>566.76</v>
      </c>
      <c r="AB35">
        <f>Table33[[#This Row],[5/1/2025]]*Product_Month_Actual_Variable_Cost[[#This Row],[2025-05]]</f>
        <v>92.44</v>
      </c>
      <c r="AC35">
        <f>Table33[[#This Row],[6/1/2025]]*Product_Month_Actual_Variable_Cost[[#This Row],[2025-06]]</f>
        <v>477.59999999999997</v>
      </c>
      <c r="AD35">
        <f>SUM(Product_Region_Monthly_Variable_Cost[[#This Row],[25-Jan]:[25-Jun]])</f>
        <v>1719.02</v>
      </c>
      <c r="AG35" t="s">
        <v>51</v>
      </c>
      <c r="AH35" t="s">
        <v>47</v>
      </c>
      <c r="AI35">
        <f>SUMIFS(Table4[ActualCost_Clean],Table4[ProductID_Clean],Product_Month_Actual_Fixed_Cost[[#This Row],[ProductID]],Table4[Period_Clean],Product_Month_Actual_Variable_Cost[[#Headers],[2025-01]],Table4[CostType],"Fixed")</f>
        <v>222.93</v>
      </c>
      <c r="AJ35">
        <f>SUMIFS(Table4[ActualCost_Clean],Table4[ProductID_Clean],Product_Month_Actual_Fixed_Cost[[#This Row],[ProductID]],Table4[Period_Clean],Product_Month_Actual_Variable_Cost[[#Headers],[2025-02]],Table4[CostType],"Fixed")</f>
        <v>223.9</v>
      </c>
      <c r="AK35">
        <f>SUMIFS(Table4[ActualCost_Clean],Table4[ProductID_Clean],Product_Month_Actual_Fixed_Cost[[#This Row],[ProductID]],Table4[Period_Clean],Product_Month_Actual_Variable_Cost[[#Headers],[2025-03]],Table4[CostType],"Fixed")</f>
        <v>213.69</v>
      </c>
      <c r="AL35">
        <f>SUMIFS(Table4[ActualCost_Clean],Table4[ProductID_Clean],Product_Month_Actual_Fixed_Cost[[#This Row],[ProductID]],Table4[Period_Clean],Product_Month_Actual_Variable_Cost[[#Headers],[2025-04]],Table4[CostType],"Fixed")</f>
        <v>213.85</v>
      </c>
      <c r="AM35">
        <f>SUMIFS(Table4[ActualCost_Clean],Table4[ProductID_Clean],Product_Month_Actual_Fixed_Cost[[#This Row],[ProductID]],Table4[Period_Clean],Product_Month_Actual_Variable_Cost[[#Headers],[2025-05]],Table4[CostType],"Fixed")</f>
        <v>208</v>
      </c>
      <c r="AN35">
        <f>SUMIFS(Table4[ActualCost_Clean],Table4[ProductID_Clean],Product_Month_Actual_Fixed_Cost[[#This Row],[ProductID]],Table4[Period_Clean],Product_Month_Actual_Variable_Cost[[#Headers],[2025-06]],Table4[CostType],"Fixed")</f>
        <v>220.22</v>
      </c>
      <c r="AQ35" t="s">
        <v>51</v>
      </c>
      <c r="AR35" t="s">
        <v>47</v>
      </c>
      <c r="AS35">
        <f>Product_Month_Actual_Fixed_Cost[[#This Row],[2025-01]]*Table33[[#This Row],[1/1/2025]]</f>
        <v>668.79</v>
      </c>
      <c r="AT35">
        <f>Product_Month_Actual_Fixed_Cost[[#This Row],[2025-02]]*Table33[[#This Row],[2/1/2025]]</f>
        <v>223.9</v>
      </c>
      <c r="AU35">
        <f>Product_Month_Actual_Fixed_Cost[[#This Row],[2025-03]]*Table33[[#This Row],[3/1/2025]]</f>
        <v>427.38</v>
      </c>
      <c r="AV35">
        <f>Product_Month_Actual_Fixed_Cost[[#This Row],[2025-04]]*Table33[[#This Row],[4/1/2025]]</f>
        <v>1283.0999999999999</v>
      </c>
      <c r="AW35">
        <f>Product_Month_Actual_Fixed_Cost[[#This Row],[2025-05]]*Table33[[#This Row],[5/1/2025]]</f>
        <v>208</v>
      </c>
      <c r="AX35">
        <f>Product_Month_Actual_Fixed_Cost[[#This Row],[2025-06]]*Table33[[#This Row],[6/1/2025]]</f>
        <v>1101.0999999999999</v>
      </c>
      <c r="AY35">
        <f>SUM(Product_Region_Monthly_Fixed_Cost[[#This Row],[25-Jan]:[25-Jun]])</f>
        <v>3912.27</v>
      </c>
      <c r="BB35" t="s">
        <v>51</v>
      </c>
      <c r="BC35" t="s">
        <v>47</v>
      </c>
      <c r="BD35">
        <f>Product_Region_Monthly_Fixed_Cost[[#This Row],[25-Jan]]+Product_Region_Monthly_Variable_Cost[[#This Row],[25-Jan]]</f>
        <v>949.89</v>
      </c>
      <c r="BE35">
        <f>Product_Region_Monthly_Fixed_Cost[[#This Row],[25-Feb]]+Product_Region_Monthly_Variable_Cost[[#This Row],[25-Feb]]</f>
        <v>320.72000000000003</v>
      </c>
      <c r="BF35">
        <f>Product_Region_Monthly_Fixed_Cost[[#This Row],[25-Mar]]+Product_Region_Monthly_Variable_Cost[[#This Row],[25-Mar]]</f>
        <v>631.68000000000006</v>
      </c>
      <c r="BG35">
        <f>Product_Region_Monthly_Fixed_Cost[[#This Row],[25-Apr]]+Product_Region_Monthly_Variable_Cost[[#This Row],[25-Apr]]</f>
        <v>1849.86</v>
      </c>
      <c r="BH35">
        <f>Product_Region_Monthly_Fixed_Cost[[#This Row],[25-May]]+Product_Region_Monthly_Variable_Cost[[#This Row],[25-May]]</f>
        <v>300.44</v>
      </c>
      <c r="BI35">
        <f>Product_Region_Monthly_Fixed_Cost[[#This Row],[25-Jun]]+Product_Region_Monthly_Variable_Cost[[#This Row],[25-Jun]]</f>
        <v>1578.6999999999998</v>
      </c>
      <c r="BJ35">
        <f>Product_Region_Monthly_Fixed_Cost[[#This Row],[H1 Fixed Cost]]+Product_Region_Monthly_Variable_Cost[[#This Row],[H1 Variable Cost]]</f>
        <v>5631.29</v>
      </c>
    </row>
    <row r="36" spans="1:62">
      <c r="A36" t="s">
        <v>51</v>
      </c>
      <c r="B36" t="s">
        <v>58</v>
      </c>
      <c r="C36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36">
        <f>SUMIFS(Table1[Quantity],Table1[ProductID],Table33[[#This Row],[ProductID]],Table1[RegionClean_],Table33[[#This Row],[Region]],Table1[TransactionDate_Clean],"&gt;"&amp;EOMONTH($D$1,-1),Table1[TransactionDate_Clean],"&lt;="&amp;EOMONTH($D$1,0))</f>
        <v>1</v>
      </c>
      <c r="E36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36">
        <f>SUMIFS(Table1[Quantity],Table1[ProductID],Table33[[#This Row],[ProductID]],Table1[RegionClean_],Table33[[#This Row],[Region]],Table1[TransactionDate_Clean],"&gt;"&amp;EOMONTH($F$1,-1),Table1[TransactionDate_Clean],"&lt;="&amp;EOMONTH($F$1,0))</f>
        <v>3</v>
      </c>
      <c r="G36">
        <f>SUMIFS(Table1[Quantity],Table1[ProductID],Table33[[#This Row],[ProductID]],Table1[RegionClean_],Table33[[#This Row],[Region]],Table1[TransactionDate_Clean],"&gt;"&amp;EOMONTH($G$1,-1),Table1[TransactionDate_Clean],"&lt;="&amp;EOMONTH($G$1,0))</f>
        <v>4</v>
      </c>
      <c r="H36">
        <f>SUMIFS(Table1[Quantity],Table1[ProductID],Table33[[#This Row],[ProductID]],Table1[RegionClean_],Table33[[#This Row],[Region]],Table1[TransactionDate_Clean],"&gt;"&amp;EOMONTH($H$1,-1),Table1[TransactionDate_Clean],"&lt;="&amp;EOMONTH($H$1,0))</f>
        <v>5</v>
      </c>
      <c r="I36">
        <f>SUM(Table33[[#This Row],[1/1/2025]:[6/1/2025]])</f>
        <v>14</v>
      </c>
      <c r="L36" t="s">
        <v>51</v>
      </c>
      <c r="M36" t="s">
        <v>58</v>
      </c>
      <c r="N36">
        <f>SUMIFS(Table4[ActualCost_Clean],Table4[ProductID_Clean],Product_Month_Actual_Variable_Cost[[#This Row],[ProductID]],Table4[Period_Clean],Product_Month_Actual_Variable_Cost[[#Headers],[2025-01]],Table4[CostType],"Variable")</f>
        <v>93.7</v>
      </c>
      <c r="O36">
        <f>SUMIFS(Table4[ActualCost_Clean],Table4[ProductID_Clean],Product_Month_Actual_Variable_Cost[[#This Row],[ProductID]],Table4[Period_Clean],Product_Month_Actual_Variable_Cost[[#Headers],[2025-02]],Table4[CostType],"Variable")</f>
        <v>96.82</v>
      </c>
      <c r="P36">
        <f>SUMIFS(Table4[ActualCost_Clean],Table4[ProductID_Clean],Product_Month_Actual_Variable_Cost[[#This Row],[ProductID]],Table4[Period_Clean],Product_Month_Actual_Variable_Cost[[#Headers],[2025-03]],Table4[CostType],"Variable")</f>
        <v>102.15</v>
      </c>
      <c r="Q36">
        <f>SUMIFS(Table4[ActualCost_Clean],Table4[ProductID_Clean],Product_Month_Actual_Variable_Cost[[#This Row],[ProductID]],Table4[Period_Clean],Product_Month_Actual_Variable_Cost[[#Headers],[2025-04]],Table4[CostType],"Variable")</f>
        <v>94.46</v>
      </c>
      <c r="R36">
        <f>SUMIFS(Table4[ActualCost_Clean],Table4[ProductID_Clean],Product_Month_Actual_Variable_Cost[[#This Row],[ProductID]],Table4[Period_Clean],Product_Month_Actual_Variable_Cost[[#Headers],[2025-05]],Table4[CostType],"Variable")</f>
        <v>92.44</v>
      </c>
      <c r="S36">
        <f>SUMIFS(Table4[ActualCost_Clean],Table4[ProductID_Clean],Product_Month_Actual_Variable_Cost[[#This Row],[ProductID]],Table4[Period_Clean],Product_Month_Actual_Variable_Cost[[#Headers],[2025-06]],Table4[CostType],"Variable")</f>
        <v>95.52</v>
      </c>
      <c r="V36" t="s">
        <v>51</v>
      </c>
      <c r="W36" t="s">
        <v>58</v>
      </c>
      <c r="X36">
        <f>Table33[[#This Row],[1/1/2025]]*Product_Month_Actual_Variable_Cost[[#This Row],[2025-01]]</f>
        <v>93.7</v>
      </c>
      <c r="Y36">
        <f>Table33[[#This Row],[2/1/2025]]*Product_Month_Actual_Variable_Cost[[#This Row],[2025-02]]</f>
        <v>96.82</v>
      </c>
      <c r="Z36">
        <f>Table33[[#This Row],[3/1/2025]]*Product_Month_Actual_Variable_Cost[[#This Row],[2025-03]]</f>
        <v>0</v>
      </c>
      <c r="AA36">
        <f>Table33[[#This Row],[4/1/2025]]*Product_Month_Actual_Variable_Cost[[#This Row],[2025-04]]</f>
        <v>283.38</v>
      </c>
      <c r="AB36">
        <f>Table33[[#This Row],[5/1/2025]]*Product_Month_Actual_Variable_Cost[[#This Row],[2025-05]]</f>
        <v>369.76</v>
      </c>
      <c r="AC36">
        <f>Table33[[#This Row],[6/1/2025]]*Product_Month_Actual_Variable_Cost[[#This Row],[2025-06]]</f>
        <v>477.59999999999997</v>
      </c>
      <c r="AD36">
        <f>SUM(Product_Region_Monthly_Variable_Cost[[#This Row],[25-Jan]:[25-Jun]])</f>
        <v>1321.26</v>
      </c>
      <c r="AG36" t="s">
        <v>51</v>
      </c>
      <c r="AH36" t="s">
        <v>58</v>
      </c>
      <c r="AI36">
        <f>SUMIFS(Table4[ActualCost_Clean],Table4[ProductID_Clean],Product_Month_Actual_Fixed_Cost[[#This Row],[ProductID]],Table4[Period_Clean],Product_Month_Actual_Variable_Cost[[#Headers],[2025-01]],Table4[CostType],"Fixed")</f>
        <v>222.93</v>
      </c>
      <c r="AJ36">
        <f>SUMIFS(Table4[ActualCost_Clean],Table4[ProductID_Clean],Product_Month_Actual_Fixed_Cost[[#This Row],[ProductID]],Table4[Period_Clean],Product_Month_Actual_Variable_Cost[[#Headers],[2025-02]],Table4[CostType],"Fixed")</f>
        <v>223.9</v>
      </c>
      <c r="AK36">
        <f>SUMIFS(Table4[ActualCost_Clean],Table4[ProductID_Clean],Product_Month_Actual_Fixed_Cost[[#This Row],[ProductID]],Table4[Period_Clean],Product_Month_Actual_Variable_Cost[[#Headers],[2025-03]],Table4[CostType],"Fixed")</f>
        <v>213.69</v>
      </c>
      <c r="AL36">
        <f>SUMIFS(Table4[ActualCost_Clean],Table4[ProductID_Clean],Product_Month_Actual_Fixed_Cost[[#This Row],[ProductID]],Table4[Period_Clean],Product_Month_Actual_Variable_Cost[[#Headers],[2025-04]],Table4[CostType],"Fixed")</f>
        <v>213.85</v>
      </c>
      <c r="AM36">
        <f>SUMIFS(Table4[ActualCost_Clean],Table4[ProductID_Clean],Product_Month_Actual_Fixed_Cost[[#This Row],[ProductID]],Table4[Period_Clean],Product_Month_Actual_Variable_Cost[[#Headers],[2025-05]],Table4[CostType],"Fixed")</f>
        <v>208</v>
      </c>
      <c r="AN36">
        <f>SUMIFS(Table4[ActualCost_Clean],Table4[ProductID_Clean],Product_Month_Actual_Fixed_Cost[[#This Row],[ProductID]],Table4[Period_Clean],Product_Month_Actual_Variable_Cost[[#Headers],[2025-06]],Table4[CostType],"Fixed")</f>
        <v>220.22</v>
      </c>
      <c r="AQ36" t="s">
        <v>51</v>
      </c>
      <c r="AR36" t="s">
        <v>58</v>
      </c>
      <c r="AS36">
        <f>Product_Month_Actual_Fixed_Cost[[#This Row],[2025-01]]*Table33[[#This Row],[1/1/2025]]</f>
        <v>222.93</v>
      </c>
      <c r="AT36">
        <f>Product_Month_Actual_Fixed_Cost[[#This Row],[2025-02]]*Table33[[#This Row],[2/1/2025]]</f>
        <v>223.9</v>
      </c>
      <c r="AU36">
        <f>Product_Month_Actual_Fixed_Cost[[#This Row],[2025-03]]*Table33[[#This Row],[3/1/2025]]</f>
        <v>0</v>
      </c>
      <c r="AV36">
        <f>Product_Month_Actual_Fixed_Cost[[#This Row],[2025-04]]*Table33[[#This Row],[4/1/2025]]</f>
        <v>641.54999999999995</v>
      </c>
      <c r="AW36">
        <f>Product_Month_Actual_Fixed_Cost[[#This Row],[2025-05]]*Table33[[#This Row],[5/1/2025]]</f>
        <v>832</v>
      </c>
      <c r="AX36">
        <f>Product_Month_Actual_Fixed_Cost[[#This Row],[2025-06]]*Table33[[#This Row],[6/1/2025]]</f>
        <v>1101.0999999999999</v>
      </c>
      <c r="AY36">
        <f>SUM(Product_Region_Monthly_Fixed_Cost[[#This Row],[25-Jan]:[25-Jun]])</f>
        <v>3021.48</v>
      </c>
      <c r="BB36" t="s">
        <v>51</v>
      </c>
      <c r="BC36" t="s">
        <v>58</v>
      </c>
      <c r="BD36">
        <f>Product_Region_Monthly_Fixed_Cost[[#This Row],[25-Jan]]+Product_Region_Monthly_Variable_Cost[[#This Row],[25-Jan]]</f>
        <v>316.63</v>
      </c>
      <c r="BE36">
        <f>Product_Region_Monthly_Fixed_Cost[[#This Row],[25-Feb]]+Product_Region_Monthly_Variable_Cost[[#This Row],[25-Feb]]</f>
        <v>320.72000000000003</v>
      </c>
      <c r="BF36">
        <f>Product_Region_Monthly_Fixed_Cost[[#This Row],[25-Mar]]+Product_Region_Monthly_Variable_Cost[[#This Row],[25-Mar]]</f>
        <v>0</v>
      </c>
      <c r="BG36">
        <f>Product_Region_Monthly_Fixed_Cost[[#This Row],[25-Apr]]+Product_Region_Monthly_Variable_Cost[[#This Row],[25-Apr]]</f>
        <v>924.93</v>
      </c>
      <c r="BH36">
        <f>Product_Region_Monthly_Fixed_Cost[[#This Row],[25-May]]+Product_Region_Monthly_Variable_Cost[[#This Row],[25-May]]</f>
        <v>1201.76</v>
      </c>
      <c r="BI36">
        <f>Product_Region_Monthly_Fixed_Cost[[#This Row],[25-Jun]]+Product_Region_Monthly_Variable_Cost[[#This Row],[25-Jun]]</f>
        <v>1578.6999999999998</v>
      </c>
      <c r="BJ36">
        <f>Product_Region_Monthly_Fixed_Cost[[#This Row],[H1 Fixed Cost]]+Product_Region_Monthly_Variable_Cost[[#This Row],[H1 Variable Cost]]</f>
        <v>4342.74</v>
      </c>
    </row>
    <row r="37" spans="1:62">
      <c r="A37" t="s">
        <v>51</v>
      </c>
      <c r="B37" t="s">
        <v>32</v>
      </c>
      <c r="C37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37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37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37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37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37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37">
        <f>SUM(Table33[[#This Row],[1/1/2025]:[6/1/2025]])</f>
        <v>6</v>
      </c>
      <c r="L37" t="s">
        <v>51</v>
      </c>
      <c r="M37" t="s">
        <v>32</v>
      </c>
      <c r="N37">
        <f>SUMIFS(Table4[ActualCost_Clean],Table4[ProductID_Clean],Product_Month_Actual_Variable_Cost[[#This Row],[ProductID]],Table4[Period_Clean],Product_Month_Actual_Variable_Cost[[#Headers],[2025-01]],Table4[CostType],"Variable")</f>
        <v>93.7</v>
      </c>
      <c r="O37">
        <f>SUMIFS(Table4[ActualCost_Clean],Table4[ProductID_Clean],Product_Month_Actual_Variable_Cost[[#This Row],[ProductID]],Table4[Period_Clean],Product_Month_Actual_Variable_Cost[[#Headers],[2025-02]],Table4[CostType],"Variable")</f>
        <v>96.82</v>
      </c>
      <c r="P37">
        <f>SUMIFS(Table4[ActualCost_Clean],Table4[ProductID_Clean],Product_Month_Actual_Variable_Cost[[#This Row],[ProductID]],Table4[Period_Clean],Product_Month_Actual_Variable_Cost[[#Headers],[2025-03]],Table4[CostType],"Variable")</f>
        <v>102.15</v>
      </c>
      <c r="Q37">
        <f>SUMIFS(Table4[ActualCost_Clean],Table4[ProductID_Clean],Product_Month_Actual_Variable_Cost[[#This Row],[ProductID]],Table4[Period_Clean],Product_Month_Actual_Variable_Cost[[#Headers],[2025-04]],Table4[CostType],"Variable")</f>
        <v>94.46</v>
      </c>
      <c r="R37">
        <f>SUMIFS(Table4[ActualCost_Clean],Table4[ProductID_Clean],Product_Month_Actual_Variable_Cost[[#This Row],[ProductID]],Table4[Period_Clean],Product_Month_Actual_Variable_Cost[[#Headers],[2025-05]],Table4[CostType],"Variable")</f>
        <v>92.44</v>
      </c>
      <c r="S37">
        <f>SUMIFS(Table4[ActualCost_Clean],Table4[ProductID_Clean],Product_Month_Actual_Variable_Cost[[#This Row],[ProductID]],Table4[Period_Clean],Product_Month_Actual_Variable_Cost[[#Headers],[2025-06]],Table4[CostType],"Variable")</f>
        <v>95.52</v>
      </c>
      <c r="V37" t="s">
        <v>51</v>
      </c>
      <c r="W37" t="s">
        <v>32</v>
      </c>
      <c r="X37">
        <f>Table33[[#This Row],[1/1/2025]]*Product_Month_Actual_Variable_Cost[[#This Row],[2025-01]]</f>
        <v>93.7</v>
      </c>
      <c r="Y37">
        <f>Table33[[#This Row],[2/1/2025]]*Product_Month_Actual_Variable_Cost[[#This Row],[2025-02]]</f>
        <v>0</v>
      </c>
      <c r="Z37">
        <f>Table33[[#This Row],[3/1/2025]]*Product_Month_Actual_Variable_Cost[[#This Row],[2025-03]]</f>
        <v>0</v>
      </c>
      <c r="AA37">
        <f>Table33[[#This Row],[4/1/2025]]*Product_Month_Actual_Variable_Cost[[#This Row],[2025-04]]</f>
        <v>94.46</v>
      </c>
      <c r="AB37">
        <f>Table33[[#This Row],[5/1/2025]]*Product_Month_Actual_Variable_Cost[[#This Row],[2025-05]]</f>
        <v>184.88</v>
      </c>
      <c r="AC37">
        <f>Table33[[#This Row],[6/1/2025]]*Product_Month_Actual_Variable_Cost[[#This Row],[2025-06]]</f>
        <v>191.04</v>
      </c>
      <c r="AD37">
        <f>SUM(Product_Region_Monthly_Variable_Cost[[#This Row],[25-Jan]:[25-Jun]])</f>
        <v>564.07999999999993</v>
      </c>
      <c r="AG37" t="s">
        <v>51</v>
      </c>
      <c r="AH37" t="s">
        <v>32</v>
      </c>
      <c r="AI37">
        <f>SUMIFS(Table4[ActualCost_Clean],Table4[ProductID_Clean],Product_Month_Actual_Fixed_Cost[[#This Row],[ProductID]],Table4[Period_Clean],Product_Month_Actual_Variable_Cost[[#Headers],[2025-01]],Table4[CostType],"Fixed")</f>
        <v>222.93</v>
      </c>
      <c r="AJ37">
        <f>SUMIFS(Table4[ActualCost_Clean],Table4[ProductID_Clean],Product_Month_Actual_Fixed_Cost[[#This Row],[ProductID]],Table4[Period_Clean],Product_Month_Actual_Variable_Cost[[#Headers],[2025-02]],Table4[CostType],"Fixed")</f>
        <v>223.9</v>
      </c>
      <c r="AK37">
        <f>SUMIFS(Table4[ActualCost_Clean],Table4[ProductID_Clean],Product_Month_Actual_Fixed_Cost[[#This Row],[ProductID]],Table4[Period_Clean],Product_Month_Actual_Variable_Cost[[#Headers],[2025-03]],Table4[CostType],"Fixed")</f>
        <v>213.69</v>
      </c>
      <c r="AL37">
        <f>SUMIFS(Table4[ActualCost_Clean],Table4[ProductID_Clean],Product_Month_Actual_Fixed_Cost[[#This Row],[ProductID]],Table4[Period_Clean],Product_Month_Actual_Variable_Cost[[#Headers],[2025-04]],Table4[CostType],"Fixed")</f>
        <v>213.85</v>
      </c>
      <c r="AM37">
        <f>SUMIFS(Table4[ActualCost_Clean],Table4[ProductID_Clean],Product_Month_Actual_Fixed_Cost[[#This Row],[ProductID]],Table4[Period_Clean],Product_Month_Actual_Variable_Cost[[#Headers],[2025-05]],Table4[CostType],"Fixed")</f>
        <v>208</v>
      </c>
      <c r="AN37">
        <f>SUMIFS(Table4[ActualCost_Clean],Table4[ProductID_Clean],Product_Month_Actual_Fixed_Cost[[#This Row],[ProductID]],Table4[Period_Clean],Product_Month_Actual_Variable_Cost[[#Headers],[2025-06]],Table4[CostType],"Fixed")</f>
        <v>220.22</v>
      </c>
      <c r="AQ37" t="s">
        <v>51</v>
      </c>
      <c r="AR37" t="s">
        <v>32</v>
      </c>
      <c r="AS37">
        <f>Product_Month_Actual_Fixed_Cost[[#This Row],[2025-01]]*Table33[[#This Row],[1/1/2025]]</f>
        <v>222.93</v>
      </c>
      <c r="AT37">
        <f>Product_Month_Actual_Fixed_Cost[[#This Row],[2025-02]]*Table33[[#This Row],[2/1/2025]]</f>
        <v>0</v>
      </c>
      <c r="AU37">
        <f>Product_Month_Actual_Fixed_Cost[[#This Row],[2025-03]]*Table33[[#This Row],[3/1/2025]]</f>
        <v>0</v>
      </c>
      <c r="AV37">
        <f>Product_Month_Actual_Fixed_Cost[[#This Row],[2025-04]]*Table33[[#This Row],[4/1/2025]]</f>
        <v>213.85</v>
      </c>
      <c r="AW37">
        <f>Product_Month_Actual_Fixed_Cost[[#This Row],[2025-05]]*Table33[[#This Row],[5/1/2025]]</f>
        <v>416</v>
      </c>
      <c r="AX37">
        <f>Product_Month_Actual_Fixed_Cost[[#This Row],[2025-06]]*Table33[[#This Row],[6/1/2025]]</f>
        <v>440.44</v>
      </c>
      <c r="AY37">
        <f>SUM(Product_Region_Monthly_Fixed_Cost[[#This Row],[25-Jan]:[25-Jun]])</f>
        <v>1293.22</v>
      </c>
      <c r="BB37" t="s">
        <v>51</v>
      </c>
      <c r="BC37" t="s">
        <v>32</v>
      </c>
      <c r="BD37">
        <f>Product_Region_Monthly_Fixed_Cost[[#This Row],[25-Jan]]+Product_Region_Monthly_Variable_Cost[[#This Row],[25-Jan]]</f>
        <v>316.63</v>
      </c>
      <c r="BE37">
        <f>Product_Region_Monthly_Fixed_Cost[[#This Row],[25-Feb]]+Product_Region_Monthly_Variable_Cost[[#This Row],[25-Feb]]</f>
        <v>0</v>
      </c>
      <c r="BF37">
        <f>Product_Region_Monthly_Fixed_Cost[[#This Row],[25-Mar]]+Product_Region_Monthly_Variable_Cost[[#This Row],[25-Mar]]</f>
        <v>0</v>
      </c>
      <c r="BG37">
        <f>Product_Region_Monthly_Fixed_Cost[[#This Row],[25-Apr]]+Product_Region_Monthly_Variable_Cost[[#This Row],[25-Apr]]</f>
        <v>308.31</v>
      </c>
      <c r="BH37">
        <f>Product_Region_Monthly_Fixed_Cost[[#This Row],[25-May]]+Product_Region_Monthly_Variable_Cost[[#This Row],[25-May]]</f>
        <v>600.88</v>
      </c>
      <c r="BI37">
        <f>Product_Region_Monthly_Fixed_Cost[[#This Row],[25-Jun]]+Product_Region_Monthly_Variable_Cost[[#This Row],[25-Jun]]</f>
        <v>631.48</v>
      </c>
      <c r="BJ37">
        <f>Product_Region_Monthly_Fixed_Cost[[#This Row],[H1 Fixed Cost]]+Product_Region_Monthly_Variable_Cost[[#This Row],[H1 Variable Cost]]</f>
        <v>1857.3</v>
      </c>
    </row>
    <row r="38" spans="1:62">
      <c r="A38" t="s">
        <v>86</v>
      </c>
      <c r="B38" t="s">
        <v>23</v>
      </c>
      <c r="C38">
        <f>SUMIFS(Table1[Quantity],Table1[ProductID],Table33[[#This Row],[ProductID]],Table1[RegionClean_],Table33[[#This Row],[Region]],Table1[TransactionDate_Clean],"&gt;"&amp;EOMONTH($C$1,-1),Table1[TransactionDate_Clean],"&lt;="&amp;EOMONTH($C$1,0))</f>
        <v>8</v>
      </c>
      <c r="D38">
        <f>SUMIFS(Table1[Quantity],Table1[ProductID],Table33[[#This Row],[ProductID]],Table1[RegionClean_],Table33[[#This Row],[Region]],Table1[TransactionDate_Clean],"&gt;"&amp;EOMONTH($D$1,-1),Table1[TransactionDate_Clean],"&lt;="&amp;EOMONTH($D$1,0))</f>
        <v>3</v>
      </c>
      <c r="E38">
        <f>SUMIFS(Table1[Quantity],Table1[ProductID],Table33[[#This Row],[ProductID]],Table1[RegionClean_],Table33[[#This Row],[Region]],Table1[TransactionDate_Clean],"&gt;"&amp;EOMONTH($E$1,-1),Table1[TransactionDate_Clean],"&lt;="&amp;EOMONTH($E$1,0))</f>
        <v>9</v>
      </c>
      <c r="F38">
        <f>SUMIFS(Table1[Quantity],Table1[ProductID],Table33[[#This Row],[ProductID]],Table1[RegionClean_],Table33[[#This Row],[Region]],Table1[TransactionDate_Clean],"&gt;"&amp;EOMONTH($F$1,-1),Table1[TransactionDate_Clean],"&lt;="&amp;EOMONTH($F$1,0))</f>
        <v>6</v>
      </c>
      <c r="G38">
        <f>SUMIFS(Table1[Quantity],Table1[ProductID],Table33[[#This Row],[ProductID]],Table1[RegionClean_],Table33[[#This Row],[Region]],Table1[TransactionDate_Clean],"&gt;"&amp;EOMONTH($G$1,-1),Table1[TransactionDate_Clean],"&lt;="&amp;EOMONTH($G$1,0))</f>
        <v>3</v>
      </c>
      <c r="H38">
        <f>SUMIFS(Table1[Quantity],Table1[ProductID],Table33[[#This Row],[ProductID]],Table1[RegionClean_],Table33[[#This Row],[Region]],Table1[TransactionDate_Clean],"&gt;"&amp;EOMONTH($H$1,-1),Table1[TransactionDate_Clean],"&lt;="&amp;EOMONTH($H$1,0))</f>
        <v>4</v>
      </c>
      <c r="I38">
        <f>SUM(Table33[[#This Row],[1/1/2025]:[6/1/2025]])</f>
        <v>33</v>
      </c>
      <c r="L38" t="s">
        <v>86</v>
      </c>
      <c r="M38" t="s">
        <v>23</v>
      </c>
      <c r="N38">
        <f>SUMIFS(Table4[ActualCost_Clean],Table4[ProductID_Clean],Product_Month_Actual_Variable_Cost[[#This Row],[ProductID]],Table4[Period_Clean],Product_Month_Actual_Variable_Cost[[#Headers],[2025-01]],Table4[CostType],"Variable")</f>
        <v>66.33</v>
      </c>
      <c r="O38">
        <f>SUMIFS(Table4[ActualCost_Clean],Table4[ProductID_Clean],Product_Month_Actual_Variable_Cost[[#This Row],[ProductID]],Table4[Period_Clean],Product_Month_Actual_Variable_Cost[[#Headers],[2025-02]],Table4[CostType],"Variable")</f>
        <v>69.849999999999994</v>
      </c>
      <c r="P38">
        <f>SUMIFS(Table4[ActualCost_Clean],Table4[ProductID_Clean],Product_Month_Actual_Variable_Cost[[#This Row],[ProductID]],Table4[Period_Clean],Product_Month_Actual_Variable_Cost[[#Headers],[2025-03]],Table4[CostType],"Variable")</f>
        <v>67.67</v>
      </c>
      <c r="Q38">
        <f>SUMIFS(Table4[ActualCost_Clean],Table4[ProductID_Clean],Product_Month_Actual_Variable_Cost[[#This Row],[ProductID]],Table4[Period_Clean],Product_Month_Actual_Variable_Cost[[#Headers],[2025-04]],Table4[CostType],"Variable")</f>
        <v>62.98</v>
      </c>
      <c r="R38">
        <f>SUMIFS(Table4[ActualCost_Clean],Table4[ProductID_Clean],Product_Month_Actual_Variable_Cost[[#This Row],[ProductID]],Table4[Period_Clean],Product_Month_Actual_Variable_Cost[[#Headers],[2025-05]],Table4[CostType],"Variable")</f>
        <v>64.709999999999994</v>
      </c>
      <c r="S38">
        <f>SUMIFS(Table4[ActualCost_Clean],Table4[ProductID_Clean],Product_Month_Actual_Variable_Cost[[#This Row],[ProductID]],Table4[Period_Clean],Product_Month_Actual_Variable_Cost[[#Headers],[2025-06]],Table4[CostType],"Variable")</f>
        <v>64.45</v>
      </c>
      <c r="V38" t="s">
        <v>86</v>
      </c>
      <c r="W38" t="s">
        <v>23</v>
      </c>
      <c r="X38">
        <f>Table33[[#This Row],[1/1/2025]]*Product_Month_Actual_Variable_Cost[[#This Row],[2025-01]]</f>
        <v>530.64</v>
      </c>
      <c r="Y38">
        <f>Table33[[#This Row],[2/1/2025]]*Product_Month_Actual_Variable_Cost[[#This Row],[2025-02]]</f>
        <v>209.54999999999998</v>
      </c>
      <c r="Z38">
        <f>Table33[[#This Row],[3/1/2025]]*Product_Month_Actual_Variable_Cost[[#This Row],[2025-03]]</f>
        <v>609.03</v>
      </c>
      <c r="AA38">
        <f>Table33[[#This Row],[4/1/2025]]*Product_Month_Actual_Variable_Cost[[#This Row],[2025-04]]</f>
        <v>377.88</v>
      </c>
      <c r="AB38">
        <f>Table33[[#This Row],[5/1/2025]]*Product_Month_Actual_Variable_Cost[[#This Row],[2025-05]]</f>
        <v>194.13</v>
      </c>
      <c r="AC38">
        <f>Table33[[#This Row],[6/1/2025]]*Product_Month_Actual_Variable_Cost[[#This Row],[2025-06]]</f>
        <v>257.8</v>
      </c>
      <c r="AD38">
        <f>SUM(Product_Region_Monthly_Variable_Cost[[#This Row],[25-Jan]:[25-Jun]])</f>
        <v>2179.0300000000002</v>
      </c>
      <c r="AG38" t="s">
        <v>86</v>
      </c>
      <c r="AH38" t="s">
        <v>23</v>
      </c>
      <c r="AI38">
        <f>SUMIFS(Table4[ActualCost_Clean],Table4[ProductID_Clean],Product_Month_Actual_Fixed_Cost[[#This Row],[ProductID]],Table4[Period_Clean],Product_Month_Actual_Variable_Cost[[#Headers],[2025-01]],Table4[CostType],"Fixed")</f>
        <v>144.66</v>
      </c>
      <c r="AJ38">
        <f>SUMIFS(Table4[ActualCost_Clean],Table4[ProductID_Clean],Product_Month_Actual_Fixed_Cost[[#This Row],[ProductID]],Table4[Period_Clean],Product_Month_Actual_Variable_Cost[[#Headers],[2025-02]],Table4[CostType],"Fixed")</f>
        <v>147.44</v>
      </c>
      <c r="AK38">
        <f>SUMIFS(Table4[ActualCost_Clean],Table4[ProductID_Clean],Product_Month_Actual_Fixed_Cost[[#This Row],[ProductID]],Table4[Period_Clean],Product_Month_Actual_Variable_Cost[[#Headers],[2025-03]],Table4[CostType],"Fixed")</f>
        <v>139.41</v>
      </c>
      <c r="AL38">
        <f>SUMIFS(Table4[ActualCost_Clean],Table4[ProductID_Clean],Product_Month_Actual_Fixed_Cost[[#This Row],[ProductID]],Table4[Period_Clean],Product_Month_Actual_Variable_Cost[[#Headers],[2025-04]],Table4[CostType],"Fixed")</f>
        <v>152.15</v>
      </c>
      <c r="AM38">
        <f>SUMIFS(Table4[ActualCost_Clean],Table4[ProductID_Clean],Product_Month_Actual_Fixed_Cost[[#This Row],[ProductID]],Table4[Period_Clean],Product_Month_Actual_Variable_Cost[[#Headers],[2025-05]],Table4[CostType],"Fixed")</f>
        <v>153.69</v>
      </c>
      <c r="AN38">
        <f>SUMIFS(Table4[ActualCost_Clean],Table4[ProductID_Clean],Product_Month_Actual_Fixed_Cost[[#This Row],[ProductID]],Table4[Period_Clean],Product_Month_Actual_Variable_Cost[[#Headers],[2025-06]],Table4[CostType],"Fixed")</f>
        <v>140.94</v>
      </c>
      <c r="AQ38" t="s">
        <v>86</v>
      </c>
      <c r="AR38" t="s">
        <v>23</v>
      </c>
      <c r="AS38">
        <f>Product_Month_Actual_Fixed_Cost[[#This Row],[2025-01]]*Table33[[#This Row],[1/1/2025]]</f>
        <v>1157.28</v>
      </c>
      <c r="AT38">
        <f>Product_Month_Actual_Fixed_Cost[[#This Row],[2025-02]]*Table33[[#This Row],[2/1/2025]]</f>
        <v>442.32</v>
      </c>
      <c r="AU38">
        <f>Product_Month_Actual_Fixed_Cost[[#This Row],[2025-03]]*Table33[[#This Row],[3/1/2025]]</f>
        <v>1254.69</v>
      </c>
      <c r="AV38">
        <f>Product_Month_Actual_Fixed_Cost[[#This Row],[2025-04]]*Table33[[#This Row],[4/1/2025]]</f>
        <v>912.90000000000009</v>
      </c>
      <c r="AW38">
        <f>Product_Month_Actual_Fixed_Cost[[#This Row],[2025-05]]*Table33[[#This Row],[5/1/2025]]</f>
        <v>461.07</v>
      </c>
      <c r="AX38">
        <f>Product_Month_Actual_Fixed_Cost[[#This Row],[2025-06]]*Table33[[#This Row],[6/1/2025]]</f>
        <v>563.76</v>
      </c>
      <c r="AY38">
        <f>SUM(Product_Region_Monthly_Fixed_Cost[[#This Row],[25-Jan]:[25-Jun]])</f>
        <v>4792.0200000000004</v>
      </c>
      <c r="BB38" t="s">
        <v>86</v>
      </c>
      <c r="BC38" t="s">
        <v>23</v>
      </c>
      <c r="BD38">
        <f>Product_Region_Monthly_Fixed_Cost[[#This Row],[25-Jan]]+Product_Region_Monthly_Variable_Cost[[#This Row],[25-Jan]]</f>
        <v>1687.92</v>
      </c>
      <c r="BE38">
        <f>Product_Region_Monthly_Fixed_Cost[[#This Row],[25-Feb]]+Product_Region_Monthly_Variable_Cost[[#This Row],[25-Feb]]</f>
        <v>651.87</v>
      </c>
      <c r="BF38">
        <f>Product_Region_Monthly_Fixed_Cost[[#This Row],[25-Mar]]+Product_Region_Monthly_Variable_Cost[[#This Row],[25-Mar]]</f>
        <v>1863.72</v>
      </c>
      <c r="BG38">
        <f>Product_Region_Monthly_Fixed_Cost[[#This Row],[25-Apr]]+Product_Region_Monthly_Variable_Cost[[#This Row],[25-Apr]]</f>
        <v>1290.7800000000002</v>
      </c>
      <c r="BH38">
        <f>Product_Region_Monthly_Fixed_Cost[[#This Row],[25-May]]+Product_Region_Monthly_Variable_Cost[[#This Row],[25-May]]</f>
        <v>655.20000000000005</v>
      </c>
      <c r="BI38">
        <f>Product_Region_Monthly_Fixed_Cost[[#This Row],[25-Jun]]+Product_Region_Monthly_Variable_Cost[[#This Row],[25-Jun]]</f>
        <v>821.56</v>
      </c>
      <c r="BJ38">
        <f>Product_Region_Monthly_Fixed_Cost[[#This Row],[H1 Fixed Cost]]+Product_Region_Monthly_Variable_Cost[[#This Row],[H1 Variable Cost]]</f>
        <v>6971.0500000000011</v>
      </c>
    </row>
    <row r="39" spans="1:62">
      <c r="A39" t="s">
        <v>86</v>
      </c>
      <c r="B39" t="s">
        <v>47</v>
      </c>
      <c r="C39">
        <f>SUMIFS(Table1[Quantity],Table1[ProductID],Table33[[#This Row],[ProductID]],Table1[RegionClean_],Table33[[#This Row],[Region]],Table1[TransactionDate_Clean],"&gt;"&amp;EOMONTH($C$1,-1),Table1[TransactionDate_Clean],"&lt;="&amp;EOMONTH($C$1,0))</f>
        <v>3</v>
      </c>
      <c r="D39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39">
        <f>SUMIFS(Table1[Quantity],Table1[ProductID],Table33[[#This Row],[ProductID]],Table1[RegionClean_],Table33[[#This Row],[Region]],Table1[TransactionDate_Clean],"&gt;"&amp;EOMONTH($E$1,-1),Table1[TransactionDate_Clean],"&lt;="&amp;EOMONTH($E$1,0))</f>
        <v>3</v>
      </c>
      <c r="F39">
        <f>SUMIFS(Table1[Quantity],Table1[ProductID],Table33[[#This Row],[ProductID]],Table1[RegionClean_],Table33[[#This Row],[Region]],Table1[TransactionDate_Clean],"&gt;"&amp;EOMONTH($F$1,-1),Table1[TransactionDate_Clean],"&lt;="&amp;EOMONTH($F$1,0))</f>
        <v>4</v>
      </c>
      <c r="G39">
        <f>SUMIFS(Table1[Quantity],Table1[ProductID],Table33[[#This Row],[ProductID]],Table1[RegionClean_],Table33[[#This Row],[Region]],Table1[TransactionDate_Clean],"&gt;"&amp;EOMONTH($G$1,-1),Table1[TransactionDate_Clean],"&lt;="&amp;EOMONTH($G$1,0))</f>
        <v>5</v>
      </c>
      <c r="H39">
        <f>SUMIFS(Table1[Quantity],Table1[ProductID],Table33[[#This Row],[ProductID]],Table1[RegionClean_],Table33[[#This Row],[Region]],Table1[TransactionDate_Clean],"&gt;"&amp;EOMONTH($H$1,-1),Table1[TransactionDate_Clean],"&lt;="&amp;EOMONTH($H$1,0))</f>
        <v>9</v>
      </c>
      <c r="I39">
        <f>SUM(Table33[[#This Row],[1/1/2025]:[6/1/2025]])</f>
        <v>24</v>
      </c>
      <c r="L39" t="s">
        <v>86</v>
      </c>
      <c r="M39" t="s">
        <v>47</v>
      </c>
      <c r="N39">
        <f>SUMIFS(Table4[ActualCost_Clean],Table4[ProductID_Clean],Product_Month_Actual_Variable_Cost[[#This Row],[ProductID]],Table4[Period_Clean],Product_Month_Actual_Variable_Cost[[#Headers],[2025-01]],Table4[CostType],"Variable")</f>
        <v>66.33</v>
      </c>
      <c r="O39">
        <f>SUMIFS(Table4[ActualCost_Clean],Table4[ProductID_Clean],Product_Month_Actual_Variable_Cost[[#This Row],[ProductID]],Table4[Period_Clean],Product_Month_Actual_Variable_Cost[[#Headers],[2025-02]],Table4[CostType],"Variable")</f>
        <v>69.849999999999994</v>
      </c>
      <c r="P39">
        <f>SUMIFS(Table4[ActualCost_Clean],Table4[ProductID_Clean],Product_Month_Actual_Variable_Cost[[#This Row],[ProductID]],Table4[Period_Clean],Product_Month_Actual_Variable_Cost[[#Headers],[2025-03]],Table4[CostType],"Variable")</f>
        <v>67.67</v>
      </c>
      <c r="Q39">
        <f>SUMIFS(Table4[ActualCost_Clean],Table4[ProductID_Clean],Product_Month_Actual_Variable_Cost[[#This Row],[ProductID]],Table4[Period_Clean],Product_Month_Actual_Variable_Cost[[#Headers],[2025-04]],Table4[CostType],"Variable")</f>
        <v>62.98</v>
      </c>
      <c r="R39">
        <f>SUMIFS(Table4[ActualCost_Clean],Table4[ProductID_Clean],Product_Month_Actual_Variable_Cost[[#This Row],[ProductID]],Table4[Period_Clean],Product_Month_Actual_Variable_Cost[[#Headers],[2025-05]],Table4[CostType],"Variable")</f>
        <v>64.709999999999994</v>
      </c>
      <c r="S39">
        <f>SUMIFS(Table4[ActualCost_Clean],Table4[ProductID_Clean],Product_Month_Actual_Variable_Cost[[#This Row],[ProductID]],Table4[Period_Clean],Product_Month_Actual_Variable_Cost[[#Headers],[2025-06]],Table4[CostType],"Variable")</f>
        <v>64.45</v>
      </c>
      <c r="V39" t="s">
        <v>86</v>
      </c>
      <c r="W39" t="s">
        <v>47</v>
      </c>
      <c r="X39">
        <f>Table33[[#This Row],[1/1/2025]]*Product_Month_Actual_Variable_Cost[[#This Row],[2025-01]]</f>
        <v>198.99</v>
      </c>
      <c r="Y39">
        <f>Table33[[#This Row],[2/1/2025]]*Product_Month_Actual_Variable_Cost[[#This Row],[2025-02]]</f>
        <v>0</v>
      </c>
      <c r="Z39">
        <f>Table33[[#This Row],[3/1/2025]]*Product_Month_Actual_Variable_Cost[[#This Row],[2025-03]]</f>
        <v>203.01</v>
      </c>
      <c r="AA39">
        <f>Table33[[#This Row],[4/1/2025]]*Product_Month_Actual_Variable_Cost[[#This Row],[2025-04]]</f>
        <v>251.92</v>
      </c>
      <c r="AB39">
        <f>Table33[[#This Row],[5/1/2025]]*Product_Month_Actual_Variable_Cost[[#This Row],[2025-05]]</f>
        <v>323.54999999999995</v>
      </c>
      <c r="AC39">
        <f>Table33[[#This Row],[6/1/2025]]*Product_Month_Actual_Variable_Cost[[#This Row],[2025-06]]</f>
        <v>580.05000000000007</v>
      </c>
      <c r="AD39">
        <f>SUM(Product_Region_Monthly_Variable_Cost[[#This Row],[25-Jan]:[25-Jun]])</f>
        <v>1557.52</v>
      </c>
      <c r="AG39" t="s">
        <v>86</v>
      </c>
      <c r="AH39" t="s">
        <v>47</v>
      </c>
      <c r="AI39">
        <f>SUMIFS(Table4[ActualCost_Clean],Table4[ProductID_Clean],Product_Month_Actual_Fixed_Cost[[#This Row],[ProductID]],Table4[Period_Clean],Product_Month_Actual_Variable_Cost[[#Headers],[2025-01]],Table4[CostType],"Fixed")</f>
        <v>144.66</v>
      </c>
      <c r="AJ39">
        <f>SUMIFS(Table4[ActualCost_Clean],Table4[ProductID_Clean],Product_Month_Actual_Fixed_Cost[[#This Row],[ProductID]],Table4[Period_Clean],Product_Month_Actual_Variable_Cost[[#Headers],[2025-02]],Table4[CostType],"Fixed")</f>
        <v>147.44</v>
      </c>
      <c r="AK39">
        <f>SUMIFS(Table4[ActualCost_Clean],Table4[ProductID_Clean],Product_Month_Actual_Fixed_Cost[[#This Row],[ProductID]],Table4[Period_Clean],Product_Month_Actual_Variable_Cost[[#Headers],[2025-03]],Table4[CostType],"Fixed")</f>
        <v>139.41</v>
      </c>
      <c r="AL39">
        <f>SUMIFS(Table4[ActualCost_Clean],Table4[ProductID_Clean],Product_Month_Actual_Fixed_Cost[[#This Row],[ProductID]],Table4[Period_Clean],Product_Month_Actual_Variable_Cost[[#Headers],[2025-04]],Table4[CostType],"Fixed")</f>
        <v>152.15</v>
      </c>
      <c r="AM39">
        <f>SUMIFS(Table4[ActualCost_Clean],Table4[ProductID_Clean],Product_Month_Actual_Fixed_Cost[[#This Row],[ProductID]],Table4[Period_Clean],Product_Month_Actual_Variable_Cost[[#Headers],[2025-05]],Table4[CostType],"Fixed")</f>
        <v>153.69</v>
      </c>
      <c r="AN39">
        <f>SUMIFS(Table4[ActualCost_Clean],Table4[ProductID_Clean],Product_Month_Actual_Fixed_Cost[[#This Row],[ProductID]],Table4[Period_Clean],Product_Month_Actual_Variable_Cost[[#Headers],[2025-06]],Table4[CostType],"Fixed")</f>
        <v>140.94</v>
      </c>
      <c r="AQ39" t="s">
        <v>86</v>
      </c>
      <c r="AR39" t="s">
        <v>47</v>
      </c>
      <c r="AS39">
        <f>Product_Month_Actual_Fixed_Cost[[#This Row],[2025-01]]*Table33[[#This Row],[1/1/2025]]</f>
        <v>433.98</v>
      </c>
      <c r="AT39">
        <f>Product_Month_Actual_Fixed_Cost[[#This Row],[2025-02]]*Table33[[#This Row],[2/1/2025]]</f>
        <v>0</v>
      </c>
      <c r="AU39">
        <f>Product_Month_Actual_Fixed_Cost[[#This Row],[2025-03]]*Table33[[#This Row],[3/1/2025]]</f>
        <v>418.23</v>
      </c>
      <c r="AV39">
        <f>Product_Month_Actual_Fixed_Cost[[#This Row],[2025-04]]*Table33[[#This Row],[4/1/2025]]</f>
        <v>608.6</v>
      </c>
      <c r="AW39">
        <f>Product_Month_Actual_Fixed_Cost[[#This Row],[2025-05]]*Table33[[#This Row],[5/1/2025]]</f>
        <v>768.45</v>
      </c>
      <c r="AX39">
        <f>Product_Month_Actual_Fixed_Cost[[#This Row],[2025-06]]*Table33[[#This Row],[6/1/2025]]</f>
        <v>1268.46</v>
      </c>
      <c r="AY39">
        <f>SUM(Product_Region_Monthly_Fixed_Cost[[#This Row],[25-Jan]:[25-Jun]])</f>
        <v>3497.7200000000003</v>
      </c>
      <c r="BB39" t="s">
        <v>86</v>
      </c>
      <c r="BC39" t="s">
        <v>47</v>
      </c>
      <c r="BD39">
        <f>Product_Region_Monthly_Fixed_Cost[[#This Row],[25-Jan]]+Product_Region_Monthly_Variable_Cost[[#This Row],[25-Jan]]</f>
        <v>632.97</v>
      </c>
      <c r="BE39">
        <f>Product_Region_Monthly_Fixed_Cost[[#This Row],[25-Feb]]+Product_Region_Monthly_Variable_Cost[[#This Row],[25-Feb]]</f>
        <v>0</v>
      </c>
      <c r="BF39">
        <f>Product_Region_Monthly_Fixed_Cost[[#This Row],[25-Mar]]+Product_Region_Monthly_Variable_Cost[[#This Row],[25-Mar]]</f>
        <v>621.24</v>
      </c>
      <c r="BG39">
        <f>Product_Region_Monthly_Fixed_Cost[[#This Row],[25-Apr]]+Product_Region_Monthly_Variable_Cost[[#This Row],[25-Apr]]</f>
        <v>860.52</v>
      </c>
      <c r="BH39">
        <f>Product_Region_Monthly_Fixed_Cost[[#This Row],[25-May]]+Product_Region_Monthly_Variable_Cost[[#This Row],[25-May]]</f>
        <v>1092</v>
      </c>
      <c r="BI39">
        <f>Product_Region_Monthly_Fixed_Cost[[#This Row],[25-Jun]]+Product_Region_Monthly_Variable_Cost[[#This Row],[25-Jun]]</f>
        <v>1848.5100000000002</v>
      </c>
      <c r="BJ39">
        <f>Product_Region_Monthly_Fixed_Cost[[#This Row],[H1 Fixed Cost]]+Product_Region_Monthly_Variable_Cost[[#This Row],[H1 Variable Cost]]</f>
        <v>5055.24</v>
      </c>
    </row>
    <row r="40" spans="1:62">
      <c r="A40" t="s">
        <v>86</v>
      </c>
      <c r="B40" t="s">
        <v>58</v>
      </c>
      <c r="C40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40">
        <f>SUMIFS(Table1[Quantity],Table1[ProductID],Table33[[#This Row],[ProductID]],Table1[RegionClean_],Table33[[#This Row],[Region]],Table1[TransactionDate_Clean],"&gt;"&amp;EOMONTH($D$1,-1),Table1[TransactionDate_Clean],"&lt;="&amp;EOMONTH($D$1,0))</f>
        <v>3</v>
      </c>
      <c r="E40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40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40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40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40">
        <f>SUM(Table33[[#This Row],[1/1/2025]:[6/1/2025]])</f>
        <v>8</v>
      </c>
      <c r="L40" t="s">
        <v>86</v>
      </c>
      <c r="M40" t="s">
        <v>58</v>
      </c>
      <c r="N40">
        <f>SUMIFS(Table4[ActualCost_Clean],Table4[ProductID_Clean],Product_Month_Actual_Variable_Cost[[#This Row],[ProductID]],Table4[Period_Clean],Product_Month_Actual_Variable_Cost[[#Headers],[2025-01]],Table4[CostType],"Variable")</f>
        <v>66.33</v>
      </c>
      <c r="O40">
        <f>SUMIFS(Table4[ActualCost_Clean],Table4[ProductID_Clean],Product_Month_Actual_Variable_Cost[[#This Row],[ProductID]],Table4[Period_Clean],Product_Month_Actual_Variable_Cost[[#Headers],[2025-02]],Table4[CostType],"Variable")</f>
        <v>69.849999999999994</v>
      </c>
      <c r="P40">
        <f>SUMIFS(Table4[ActualCost_Clean],Table4[ProductID_Clean],Product_Month_Actual_Variable_Cost[[#This Row],[ProductID]],Table4[Period_Clean],Product_Month_Actual_Variable_Cost[[#Headers],[2025-03]],Table4[CostType],"Variable")</f>
        <v>67.67</v>
      </c>
      <c r="Q40">
        <f>SUMIFS(Table4[ActualCost_Clean],Table4[ProductID_Clean],Product_Month_Actual_Variable_Cost[[#This Row],[ProductID]],Table4[Period_Clean],Product_Month_Actual_Variable_Cost[[#Headers],[2025-04]],Table4[CostType],"Variable")</f>
        <v>62.98</v>
      </c>
      <c r="R40">
        <f>SUMIFS(Table4[ActualCost_Clean],Table4[ProductID_Clean],Product_Month_Actual_Variable_Cost[[#This Row],[ProductID]],Table4[Period_Clean],Product_Month_Actual_Variable_Cost[[#Headers],[2025-05]],Table4[CostType],"Variable")</f>
        <v>64.709999999999994</v>
      </c>
      <c r="S40">
        <f>SUMIFS(Table4[ActualCost_Clean],Table4[ProductID_Clean],Product_Month_Actual_Variable_Cost[[#This Row],[ProductID]],Table4[Period_Clean],Product_Month_Actual_Variable_Cost[[#Headers],[2025-06]],Table4[CostType],"Variable")</f>
        <v>64.45</v>
      </c>
      <c r="V40" t="s">
        <v>86</v>
      </c>
      <c r="W40" t="s">
        <v>58</v>
      </c>
      <c r="X40">
        <f>Table33[[#This Row],[1/1/2025]]*Product_Month_Actual_Variable_Cost[[#This Row],[2025-01]]</f>
        <v>0</v>
      </c>
      <c r="Y40">
        <f>Table33[[#This Row],[2/1/2025]]*Product_Month_Actual_Variable_Cost[[#This Row],[2025-02]]</f>
        <v>209.54999999999998</v>
      </c>
      <c r="Z40">
        <f>Table33[[#This Row],[3/1/2025]]*Product_Month_Actual_Variable_Cost[[#This Row],[2025-03]]</f>
        <v>67.67</v>
      </c>
      <c r="AA40">
        <f>Table33[[#This Row],[4/1/2025]]*Product_Month_Actual_Variable_Cost[[#This Row],[2025-04]]</f>
        <v>62.98</v>
      </c>
      <c r="AB40">
        <f>Table33[[#This Row],[5/1/2025]]*Product_Month_Actual_Variable_Cost[[#This Row],[2025-05]]</f>
        <v>129.41999999999999</v>
      </c>
      <c r="AC40">
        <f>Table33[[#This Row],[6/1/2025]]*Product_Month_Actual_Variable_Cost[[#This Row],[2025-06]]</f>
        <v>64.45</v>
      </c>
      <c r="AD40">
        <f>SUM(Product_Region_Monthly_Variable_Cost[[#This Row],[25-Jan]:[25-Jun]])</f>
        <v>534.07000000000005</v>
      </c>
      <c r="AG40" t="s">
        <v>86</v>
      </c>
      <c r="AH40" t="s">
        <v>58</v>
      </c>
      <c r="AI40">
        <f>SUMIFS(Table4[ActualCost_Clean],Table4[ProductID_Clean],Product_Month_Actual_Fixed_Cost[[#This Row],[ProductID]],Table4[Period_Clean],Product_Month_Actual_Variable_Cost[[#Headers],[2025-01]],Table4[CostType],"Fixed")</f>
        <v>144.66</v>
      </c>
      <c r="AJ40">
        <f>SUMIFS(Table4[ActualCost_Clean],Table4[ProductID_Clean],Product_Month_Actual_Fixed_Cost[[#This Row],[ProductID]],Table4[Period_Clean],Product_Month_Actual_Variable_Cost[[#Headers],[2025-02]],Table4[CostType],"Fixed")</f>
        <v>147.44</v>
      </c>
      <c r="AK40">
        <f>SUMIFS(Table4[ActualCost_Clean],Table4[ProductID_Clean],Product_Month_Actual_Fixed_Cost[[#This Row],[ProductID]],Table4[Period_Clean],Product_Month_Actual_Variable_Cost[[#Headers],[2025-03]],Table4[CostType],"Fixed")</f>
        <v>139.41</v>
      </c>
      <c r="AL40">
        <f>SUMIFS(Table4[ActualCost_Clean],Table4[ProductID_Clean],Product_Month_Actual_Fixed_Cost[[#This Row],[ProductID]],Table4[Period_Clean],Product_Month_Actual_Variable_Cost[[#Headers],[2025-04]],Table4[CostType],"Fixed")</f>
        <v>152.15</v>
      </c>
      <c r="AM40">
        <f>SUMIFS(Table4[ActualCost_Clean],Table4[ProductID_Clean],Product_Month_Actual_Fixed_Cost[[#This Row],[ProductID]],Table4[Period_Clean],Product_Month_Actual_Variable_Cost[[#Headers],[2025-05]],Table4[CostType],"Fixed")</f>
        <v>153.69</v>
      </c>
      <c r="AN40">
        <f>SUMIFS(Table4[ActualCost_Clean],Table4[ProductID_Clean],Product_Month_Actual_Fixed_Cost[[#This Row],[ProductID]],Table4[Period_Clean],Product_Month_Actual_Variable_Cost[[#Headers],[2025-06]],Table4[CostType],"Fixed")</f>
        <v>140.94</v>
      </c>
      <c r="AQ40" t="s">
        <v>86</v>
      </c>
      <c r="AR40" t="s">
        <v>58</v>
      </c>
      <c r="AS40">
        <f>Product_Month_Actual_Fixed_Cost[[#This Row],[2025-01]]*Table33[[#This Row],[1/1/2025]]</f>
        <v>0</v>
      </c>
      <c r="AT40">
        <f>Product_Month_Actual_Fixed_Cost[[#This Row],[2025-02]]*Table33[[#This Row],[2/1/2025]]</f>
        <v>442.32</v>
      </c>
      <c r="AU40">
        <f>Product_Month_Actual_Fixed_Cost[[#This Row],[2025-03]]*Table33[[#This Row],[3/1/2025]]</f>
        <v>139.41</v>
      </c>
      <c r="AV40">
        <f>Product_Month_Actual_Fixed_Cost[[#This Row],[2025-04]]*Table33[[#This Row],[4/1/2025]]</f>
        <v>152.15</v>
      </c>
      <c r="AW40">
        <f>Product_Month_Actual_Fixed_Cost[[#This Row],[2025-05]]*Table33[[#This Row],[5/1/2025]]</f>
        <v>307.38</v>
      </c>
      <c r="AX40">
        <f>Product_Month_Actual_Fixed_Cost[[#This Row],[2025-06]]*Table33[[#This Row],[6/1/2025]]</f>
        <v>140.94</v>
      </c>
      <c r="AY40">
        <f>SUM(Product_Region_Monthly_Fixed_Cost[[#This Row],[25-Jan]:[25-Jun]])</f>
        <v>1182.2</v>
      </c>
      <c r="BB40" t="s">
        <v>86</v>
      </c>
      <c r="BC40" t="s">
        <v>58</v>
      </c>
      <c r="BD40">
        <f>Product_Region_Monthly_Fixed_Cost[[#This Row],[25-Jan]]+Product_Region_Monthly_Variable_Cost[[#This Row],[25-Jan]]</f>
        <v>0</v>
      </c>
      <c r="BE40">
        <f>Product_Region_Monthly_Fixed_Cost[[#This Row],[25-Feb]]+Product_Region_Monthly_Variable_Cost[[#This Row],[25-Feb]]</f>
        <v>651.87</v>
      </c>
      <c r="BF40">
        <f>Product_Region_Monthly_Fixed_Cost[[#This Row],[25-Mar]]+Product_Region_Monthly_Variable_Cost[[#This Row],[25-Mar]]</f>
        <v>207.07999999999998</v>
      </c>
      <c r="BG40">
        <f>Product_Region_Monthly_Fixed_Cost[[#This Row],[25-Apr]]+Product_Region_Monthly_Variable_Cost[[#This Row],[25-Apr]]</f>
        <v>215.13</v>
      </c>
      <c r="BH40">
        <f>Product_Region_Monthly_Fixed_Cost[[#This Row],[25-May]]+Product_Region_Monthly_Variable_Cost[[#This Row],[25-May]]</f>
        <v>436.79999999999995</v>
      </c>
      <c r="BI40">
        <f>Product_Region_Monthly_Fixed_Cost[[#This Row],[25-Jun]]+Product_Region_Monthly_Variable_Cost[[#This Row],[25-Jun]]</f>
        <v>205.39</v>
      </c>
      <c r="BJ40">
        <f>Product_Region_Monthly_Fixed_Cost[[#This Row],[H1 Fixed Cost]]+Product_Region_Monthly_Variable_Cost[[#This Row],[H1 Variable Cost]]</f>
        <v>1716.27</v>
      </c>
    </row>
    <row r="41" spans="1:62">
      <c r="A41" t="s">
        <v>86</v>
      </c>
      <c r="B41" t="s">
        <v>32</v>
      </c>
      <c r="C41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41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41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41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41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41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41">
        <f>SUM(Table33[[#This Row],[1/1/2025]:[6/1/2025]])</f>
        <v>0</v>
      </c>
      <c r="L41" t="s">
        <v>86</v>
      </c>
      <c r="M41" t="s">
        <v>32</v>
      </c>
      <c r="N41">
        <f>SUMIFS(Table4[ActualCost_Clean],Table4[ProductID_Clean],Product_Month_Actual_Variable_Cost[[#This Row],[ProductID]],Table4[Period_Clean],Product_Month_Actual_Variable_Cost[[#Headers],[2025-01]],Table4[CostType],"Variable")</f>
        <v>66.33</v>
      </c>
      <c r="O41">
        <f>SUMIFS(Table4[ActualCost_Clean],Table4[ProductID_Clean],Product_Month_Actual_Variable_Cost[[#This Row],[ProductID]],Table4[Period_Clean],Product_Month_Actual_Variable_Cost[[#Headers],[2025-02]],Table4[CostType],"Variable")</f>
        <v>69.849999999999994</v>
      </c>
      <c r="P41">
        <f>SUMIFS(Table4[ActualCost_Clean],Table4[ProductID_Clean],Product_Month_Actual_Variable_Cost[[#This Row],[ProductID]],Table4[Period_Clean],Product_Month_Actual_Variable_Cost[[#Headers],[2025-03]],Table4[CostType],"Variable")</f>
        <v>67.67</v>
      </c>
      <c r="Q41">
        <f>SUMIFS(Table4[ActualCost_Clean],Table4[ProductID_Clean],Product_Month_Actual_Variable_Cost[[#This Row],[ProductID]],Table4[Period_Clean],Product_Month_Actual_Variable_Cost[[#Headers],[2025-04]],Table4[CostType],"Variable")</f>
        <v>62.98</v>
      </c>
      <c r="R41">
        <f>SUMIFS(Table4[ActualCost_Clean],Table4[ProductID_Clean],Product_Month_Actual_Variable_Cost[[#This Row],[ProductID]],Table4[Period_Clean],Product_Month_Actual_Variable_Cost[[#Headers],[2025-05]],Table4[CostType],"Variable")</f>
        <v>64.709999999999994</v>
      </c>
      <c r="S41">
        <f>SUMIFS(Table4[ActualCost_Clean],Table4[ProductID_Clean],Product_Month_Actual_Variable_Cost[[#This Row],[ProductID]],Table4[Period_Clean],Product_Month_Actual_Variable_Cost[[#Headers],[2025-06]],Table4[CostType],"Variable")</f>
        <v>64.45</v>
      </c>
      <c r="V41" t="s">
        <v>86</v>
      </c>
      <c r="W41" t="s">
        <v>32</v>
      </c>
      <c r="X41">
        <f>Table33[[#This Row],[1/1/2025]]*Product_Month_Actual_Variable_Cost[[#This Row],[2025-01]]</f>
        <v>0</v>
      </c>
      <c r="Y41">
        <f>Table33[[#This Row],[2/1/2025]]*Product_Month_Actual_Variable_Cost[[#This Row],[2025-02]]</f>
        <v>0</v>
      </c>
      <c r="Z41">
        <f>Table33[[#This Row],[3/1/2025]]*Product_Month_Actual_Variable_Cost[[#This Row],[2025-03]]</f>
        <v>0</v>
      </c>
      <c r="AA41">
        <f>Table33[[#This Row],[4/1/2025]]*Product_Month_Actual_Variable_Cost[[#This Row],[2025-04]]</f>
        <v>0</v>
      </c>
      <c r="AB41">
        <f>Table33[[#This Row],[5/1/2025]]*Product_Month_Actual_Variable_Cost[[#This Row],[2025-05]]</f>
        <v>0</v>
      </c>
      <c r="AC41">
        <f>Table33[[#This Row],[6/1/2025]]*Product_Month_Actual_Variable_Cost[[#This Row],[2025-06]]</f>
        <v>0</v>
      </c>
      <c r="AD41">
        <f>SUM(Product_Region_Monthly_Variable_Cost[[#This Row],[25-Jan]:[25-Jun]])</f>
        <v>0</v>
      </c>
      <c r="AG41" t="s">
        <v>86</v>
      </c>
      <c r="AH41" t="s">
        <v>32</v>
      </c>
      <c r="AI41">
        <f>SUMIFS(Table4[ActualCost_Clean],Table4[ProductID_Clean],Product_Month_Actual_Fixed_Cost[[#This Row],[ProductID]],Table4[Period_Clean],Product_Month_Actual_Variable_Cost[[#Headers],[2025-01]],Table4[CostType],"Fixed")</f>
        <v>144.66</v>
      </c>
      <c r="AJ41">
        <f>SUMIFS(Table4[ActualCost_Clean],Table4[ProductID_Clean],Product_Month_Actual_Fixed_Cost[[#This Row],[ProductID]],Table4[Period_Clean],Product_Month_Actual_Variable_Cost[[#Headers],[2025-02]],Table4[CostType],"Fixed")</f>
        <v>147.44</v>
      </c>
      <c r="AK41">
        <f>SUMIFS(Table4[ActualCost_Clean],Table4[ProductID_Clean],Product_Month_Actual_Fixed_Cost[[#This Row],[ProductID]],Table4[Period_Clean],Product_Month_Actual_Variable_Cost[[#Headers],[2025-03]],Table4[CostType],"Fixed")</f>
        <v>139.41</v>
      </c>
      <c r="AL41">
        <f>SUMIFS(Table4[ActualCost_Clean],Table4[ProductID_Clean],Product_Month_Actual_Fixed_Cost[[#This Row],[ProductID]],Table4[Period_Clean],Product_Month_Actual_Variable_Cost[[#Headers],[2025-04]],Table4[CostType],"Fixed")</f>
        <v>152.15</v>
      </c>
      <c r="AM41">
        <f>SUMIFS(Table4[ActualCost_Clean],Table4[ProductID_Clean],Product_Month_Actual_Fixed_Cost[[#This Row],[ProductID]],Table4[Period_Clean],Product_Month_Actual_Variable_Cost[[#Headers],[2025-05]],Table4[CostType],"Fixed")</f>
        <v>153.69</v>
      </c>
      <c r="AN41">
        <f>SUMIFS(Table4[ActualCost_Clean],Table4[ProductID_Clean],Product_Month_Actual_Fixed_Cost[[#This Row],[ProductID]],Table4[Period_Clean],Product_Month_Actual_Variable_Cost[[#Headers],[2025-06]],Table4[CostType],"Fixed")</f>
        <v>140.94</v>
      </c>
      <c r="AQ41" t="s">
        <v>86</v>
      </c>
      <c r="AR41" t="s">
        <v>32</v>
      </c>
      <c r="AS41">
        <f>Product_Month_Actual_Fixed_Cost[[#This Row],[2025-01]]*Table33[[#This Row],[1/1/2025]]</f>
        <v>0</v>
      </c>
      <c r="AT41">
        <f>Product_Month_Actual_Fixed_Cost[[#This Row],[2025-02]]*Table33[[#This Row],[2/1/2025]]</f>
        <v>0</v>
      </c>
      <c r="AU41">
        <f>Product_Month_Actual_Fixed_Cost[[#This Row],[2025-03]]*Table33[[#This Row],[3/1/2025]]</f>
        <v>0</v>
      </c>
      <c r="AV41">
        <f>Product_Month_Actual_Fixed_Cost[[#This Row],[2025-04]]*Table33[[#This Row],[4/1/2025]]</f>
        <v>0</v>
      </c>
      <c r="AW41">
        <f>Product_Month_Actual_Fixed_Cost[[#This Row],[2025-05]]*Table33[[#This Row],[5/1/2025]]</f>
        <v>0</v>
      </c>
      <c r="AX41">
        <f>Product_Month_Actual_Fixed_Cost[[#This Row],[2025-06]]*Table33[[#This Row],[6/1/2025]]</f>
        <v>0</v>
      </c>
      <c r="AY41">
        <f>SUM(Product_Region_Monthly_Fixed_Cost[[#This Row],[25-Jan]:[25-Jun]])</f>
        <v>0</v>
      </c>
      <c r="BB41" t="s">
        <v>86</v>
      </c>
      <c r="BC41" t="s">
        <v>32</v>
      </c>
      <c r="BD41">
        <f>Product_Region_Monthly_Fixed_Cost[[#This Row],[25-Jan]]+Product_Region_Monthly_Variable_Cost[[#This Row],[25-Jan]]</f>
        <v>0</v>
      </c>
      <c r="BE41">
        <f>Product_Region_Monthly_Fixed_Cost[[#This Row],[25-Feb]]+Product_Region_Monthly_Variable_Cost[[#This Row],[25-Feb]]</f>
        <v>0</v>
      </c>
      <c r="BF41">
        <f>Product_Region_Monthly_Fixed_Cost[[#This Row],[25-Mar]]+Product_Region_Monthly_Variable_Cost[[#This Row],[25-Mar]]</f>
        <v>0</v>
      </c>
      <c r="BG41">
        <f>Product_Region_Monthly_Fixed_Cost[[#This Row],[25-Apr]]+Product_Region_Monthly_Variable_Cost[[#This Row],[25-Apr]]</f>
        <v>0</v>
      </c>
      <c r="BH41">
        <f>Product_Region_Monthly_Fixed_Cost[[#This Row],[25-May]]+Product_Region_Monthly_Variable_Cost[[#This Row],[25-May]]</f>
        <v>0</v>
      </c>
      <c r="BI41">
        <f>Product_Region_Monthly_Fixed_Cost[[#This Row],[25-Jun]]+Product_Region_Monthly_Variable_Cost[[#This Row],[25-Jun]]</f>
        <v>0</v>
      </c>
      <c r="BJ41">
        <f>Product_Region_Monthly_Fixed_Cost[[#This Row],[H1 Fixed Cost]]+Product_Region_Monthly_Variable_Cost[[#This Row],[H1 Variable Cost]]</f>
        <v>0</v>
      </c>
    </row>
    <row r="42" spans="1:62">
      <c r="A42" t="s">
        <v>62</v>
      </c>
      <c r="B42" t="s">
        <v>23</v>
      </c>
      <c r="C42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42">
        <f>SUMIFS(Table1[Quantity],Table1[ProductID],Table33[[#This Row],[ProductID]],Table1[RegionClean_],Table33[[#This Row],[Region]],Table1[TransactionDate_Clean],"&gt;"&amp;EOMONTH($D$1,-1),Table1[TransactionDate_Clean],"&lt;="&amp;EOMONTH($D$1,0))</f>
        <v>4</v>
      </c>
      <c r="E42">
        <f>SUMIFS(Table1[Quantity],Table1[ProductID],Table33[[#This Row],[ProductID]],Table1[RegionClean_],Table33[[#This Row],[Region]],Table1[TransactionDate_Clean],"&gt;"&amp;EOMONTH($E$1,-1),Table1[TransactionDate_Clean],"&lt;="&amp;EOMONTH($E$1,0))</f>
        <v>6</v>
      </c>
      <c r="F42">
        <f>SUMIFS(Table1[Quantity],Table1[ProductID],Table33[[#This Row],[ProductID]],Table1[RegionClean_],Table33[[#This Row],[Region]],Table1[TransactionDate_Clean],"&gt;"&amp;EOMONTH($F$1,-1),Table1[TransactionDate_Clean],"&lt;="&amp;EOMONTH($F$1,0))</f>
        <v>1</v>
      </c>
      <c r="G42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42">
        <f>SUMIFS(Table1[Quantity],Table1[ProductID],Table33[[#This Row],[ProductID]],Table1[RegionClean_],Table33[[#This Row],[Region]],Table1[TransactionDate_Clean],"&gt;"&amp;EOMONTH($H$1,-1),Table1[TransactionDate_Clean],"&lt;="&amp;EOMONTH($H$1,0))</f>
        <v>8</v>
      </c>
      <c r="I42">
        <f>SUM(Table33[[#This Row],[1/1/2025]:[6/1/2025]])</f>
        <v>20</v>
      </c>
      <c r="L42" t="s">
        <v>62</v>
      </c>
      <c r="M42" t="s">
        <v>23</v>
      </c>
      <c r="N42">
        <v>143.6</v>
      </c>
      <c r="O42">
        <f>SUMIFS(Table4[ActualCost_Clean],Table4[ProductID_Clean],Product_Month_Actual_Variable_Cost[[#This Row],[ProductID]],Table4[Period_Clean],Product_Month_Actual_Variable_Cost[[#Headers],[2025-02]],Table4[CostType],"Variable")</f>
        <v>140.63</v>
      </c>
      <c r="P42">
        <f>SUMIFS(Table4[ActualCost_Clean],Table4[ProductID_Clean],Product_Month_Actual_Variable_Cost[[#This Row],[ProductID]],Table4[Period_Clean],Product_Month_Actual_Variable_Cost[[#Headers],[2025-03]],Table4[CostType],"Variable")</f>
        <v>146.57</v>
      </c>
      <c r="Q42">
        <f>SUMIFS(Table4[ActualCost_Clean],Table4[ProductID_Clean],Product_Month_Actual_Variable_Cost[[#This Row],[ProductID]],Table4[Period_Clean],Product_Month_Actual_Variable_Cost[[#Headers],[2025-04]],Table4[CostType],"Variable")</f>
        <v>143.72999999999999</v>
      </c>
      <c r="R42">
        <f>SUMIFS(Table4[ActualCost_Clean],Table4[ProductID_Clean],Product_Month_Actual_Variable_Cost[[#This Row],[ProductID]],Table4[Period_Clean],Product_Month_Actual_Variable_Cost[[#Headers],[2025-05]],Table4[CostType],"Variable")</f>
        <v>146.06</v>
      </c>
      <c r="S42">
        <f>SUMIFS(Table4[ActualCost_Clean],Table4[ProductID_Clean],Product_Month_Actual_Variable_Cost[[#This Row],[ProductID]],Table4[Period_Clean],Product_Month_Actual_Variable_Cost[[#Headers],[2025-06]],Table4[CostType],"Variable")</f>
        <v>142.15</v>
      </c>
      <c r="V42" t="s">
        <v>62</v>
      </c>
      <c r="W42" t="s">
        <v>23</v>
      </c>
      <c r="X42">
        <f>Table33[[#This Row],[1/1/2025]]*Product_Month_Actual_Variable_Cost[[#This Row],[2025-01]]</f>
        <v>143.6</v>
      </c>
      <c r="Y42">
        <f>Table33[[#This Row],[2/1/2025]]*Product_Month_Actual_Variable_Cost[[#This Row],[2025-02]]</f>
        <v>562.52</v>
      </c>
      <c r="Z42">
        <f>Table33[[#This Row],[3/1/2025]]*Product_Month_Actual_Variable_Cost[[#This Row],[2025-03]]</f>
        <v>879.42</v>
      </c>
      <c r="AA42">
        <f>Table33[[#This Row],[4/1/2025]]*Product_Month_Actual_Variable_Cost[[#This Row],[2025-04]]</f>
        <v>143.72999999999999</v>
      </c>
      <c r="AB42">
        <f>Table33[[#This Row],[5/1/2025]]*Product_Month_Actual_Variable_Cost[[#This Row],[2025-05]]</f>
        <v>0</v>
      </c>
      <c r="AC42">
        <f>Table33[[#This Row],[6/1/2025]]*Product_Month_Actual_Variable_Cost[[#This Row],[2025-06]]</f>
        <v>1137.2</v>
      </c>
      <c r="AD42">
        <f>SUM(Product_Region_Monthly_Variable_Cost[[#This Row],[25-Jan]:[25-Jun]])</f>
        <v>2866.4700000000003</v>
      </c>
      <c r="AG42" t="s">
        <v>62</v>
      </c>
      <c r="AH42" t="s">
        <v>23</v>
      </c>
      <c r="AI42">
        <f>SUMIFS(Table4[ActualCost_Clean],Table4[ProductID_Clean],Product_Month_Actual_Fixed_Cost[[#This Row],[ProductID]],Table4[Period_Clean],Product_Month_Actual_Variable_Cost[[#Headers],[2025-01]],Table4[CostType],"Fixed")</f>
        <v>253.97</v>
      </c>
      <c r="AJ42">
        <f>SUMIFS(Table4[ActualCost_Clean],Table4[ProductID_Clean],Product_Month_Actual_Fixed_Cost[[#This Row],[ProductID]],Table4[Period_Clean],Product_Month_Actual_Variable_Cost[[#Headers],[2025-02]],Table4[CostType],"Fixed")</f>
        <v>266.43</v>
      </c>
      <c r="AK42">
        <f>SUMIFS(Table4[ActualCost_Clean],Table4[ProductID_Clean],Product_Month_Actual_Fixed_Cost[[#This Row],[ProductID]],Table4[Period_Clean],Product_Month_Actual_Variable_Cost[[#Headers],[2025-03]],Table4[CostType],"Fixed")</f>
        <v>246.37</v>
      </c>
      <c r="AL42">
        <f>SUMIFS(Table4[ActualCost_Clean],Table4[ProductID_Clean],Product_Month_Actual_Fixed_Cost[[#This Row],[ProductID]],Table4[Period_Clean],Product_Month_Actual_Variable_Cost[[#Headers],[2025-04]],Table4[CostType],"Fixed")</f>
        <v>257.27</v>
      </c>
      <c r="AM42">
        <f>SUMIFS(Table4[ActualCost_Clean],Table4[ProductID_Clean],Product_Month_Actual_Fixed_Cost[[#This Row],[ProductID]],Table4[Period_Clean],Product_Month_Actual_Variable_Cost[[#Headers],[2025-05]],Table4[CostType],"Fixed")</f>
        <v>253.05</v>
      </c>
      <c r="AN42">
        <f>SUMIFS(Table4[ActualCost_Clean],Table4[ProductID_Clean],Product_Month_Actual_Fixed_Cost[[#This Row],[ProductID]],Table4[Period_Clean],Product_Month_Actual_Variable_Cost[[#Headers],[2025-06]],Table4[CostType],"Fixed")</f>
        <v>256.83999999999997</v>
      </c>
      <c r="AQ42" t="s">
        <v>62</v>
      </c>
      <c r="AR42" t="s">
        <v>23</v>
      </c>
      <c r="AS42">
        <f>Product_Month_Actual_Fixed_Cost[[#This Row],[2025-01]]*Table33[[#This Row],[1/1/2025]]</f>
        <v>253.97</v>
      </c>
      <c r="AT42">
        <f>Product_Month_Actual_Fixed_Cost[[#This Row],[2025-02]]*Table33[[#This Row],[2/1/2025]]</f>
        <v>1065.72</v>
      </c>
      <c r="AU42">
        <f>Product_Month_Actual_Fixed_Cost[[#This Row],[2025-03]]*Table33[[#This Row],[3/1/2025]]</f>
        <v>1478.22</v>
      </c>
      <c r="AV42">
        <f>Product_Month_Actual_Fixed_Cost[[#This Row],[2025-04]]*Table33[[#This Row],[4/1/2025]]</f>
        <v>257.27</v>
      </c>
      <c r="AW42">
        <f>Product_Month_Actual_Fixed_Cost[[#This Row],[2025-05]]*Table33[[#This Row],[5/1/2025]]</f>
        <v>0</v>
      </c>
      <c r="AX42">
        <f>Product_Month_Actual_Fixed_Cost[[#This Row],[2025-06]]*Table33[[#This Row],[6/1/2025]]</f>
        <v>2054.7199999999998</v>
      </c>
      <c r="AY42">
        <f>SUM(Product_Region_Monthly_Fixed_Cost[[#This Row],[25-Jan]:[25-Jun]])</f>
        <v>5109.8999999999996</v>
      </c>
      <c r="BB42" t="s">
        <v>62</v>
      </c>
      <c r="BC42" t="s">
        <v>23</v>
      </c>
      <c r="BD42">
        <f>Product_Region_Monthly_Fixed_Cost[[#This Row],[25-Jan]]+Product_Region_Monthly_Variable_Cost[[#This Row],[25-Jan]]</f>
        <v>397.57</v>
      </c>
      <c r="BE42">
        <f>Product_Region_Monthly_Fixed_Cost[[#This Row],[25-Feb]]+Product_Region_Monthly_Variable_Cost[[#This Row],[25-Feb]]</f>
        <v>1628.24</v>
      </c>
      <c r="BF42">
        <f>Product_Region_Monthly_Fixed_Cost[[#This Row],[25-Mar]]+Product_Region_Monthly_Variable_Cost[[#This Row],[25-Mar]]</f>
        <v>2357.64</v>
      </c>
      <c r="BG42">
        <f>Product_Region_Monthly_Fixed_Cost[[#This Row],[25-Apr]]+Product_Region_Monthly_Variable_Cost[[#This Row],[25-Apr]]</f>
        <v>401</v>
      </c>
      <c r="BH42">
        <f>Product_Region_Monthly_Fixed_Cost[[#This Row],[25-May]]+Product_Region_Monthly_Variable_Cost[[#This Row],[25-May]]</f>
        <v>0</v>
      </c>
      <c r="BI42">
        <f>Product_Region_Monthly_Fixed_Cost[[#This Row],[25-Jun]]+Product_Region_Monthly_Variable_Cost[[#This Row],[25-Jun]]</f>
        <v>3191.92</v>
      </c>
      <c r="BJ42">
        <f>Product_Region_Monthly_Fixed_Cost[[#This Row],[H1 Fixed Cost]]+Product_Region_Monthly_Variable_Cost[[#This Row],[H1 Variable Cost]]</f>
        <v>7976.37</v>
      </c>
    </row>
    <row r="43" spans="1:62">
      <c r="A43" t="s">
        <v>62</v>
      </c>
      <c r="B43" t="s">
        <v>47</v>
      </c>
      <c r="C43">
        <f>SUMIFS(Table1[Quantity],Table1[ProductID],Table33[[#This Row],[ProductID]],Table1[RegionClean_],Table33[[#This Row],[Region]],Table1[TransactionDate_Clean],"&gt;"&amp;EOMONTH($C$1,-1),Table1[TransactionDate_Clean],"&lt;="&amp;EOMONTH($C$1,0))</f>
        <v>5</v>
      </c>
      <c r="D43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43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43">
        <f>SUMIFS(Table1[Quantity],Table1[ProductID],Table33[[#This Row],[ProductID]],Table1[RegionClean_],Table33[[#This Row],[Region]],Table1[TransactionDate_Clean],"&gt;"&amp;EOMONTH($F$1,-1),Table1[TransactionDate_Clean],"&lt;="&amp;EOMONTH($F$1,0))</f>
        <v>2</v>
      </c>
      <c r="G43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43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43">
        <f>SUM(Table33[[#This Row],[1/1/2025]:[6/1/2025]])</f>
        <v>10</v>
      </c>
      <c r="L43" t="s">
        <v>62</v>
      </c>
      <c r="M43" t="s">
        <v>47</v>
      </c>
      <c r="N43">
        <v>143.6</v>
      </c>
      <c r="O43">
        <f>SUMIFS(Table4[ActualCost_Clean],Table4[ProductID_Clean],Product_Month_Actual_Variable_Cost[[#This Row],[ProductID]],Table4[Period_Clean],Product_Month_Actual_Variable_Cost[[#Headers],[2025-02]],Table4[CostType],"Variable")</f>
        <v>140.63</v>
      </c>
      <c r="P43">
        <f>SUMIFS(Table4[ActualCost_Clean],Table4[ProductID_Clean],Product_Month_Actual_Variable_Cost[[#This Row],[ProductID]],Table4[Period_Clean],Product_Month_Actual_Variable_Cost[[#Headers],[2025-03]],Table4[CostType],"Variable")</f>
        <v>146.57</v>
      </c>
      <c r="Q43">
        <f>SUMIFS(Table4[ActualCost_Clean],Table4[ProductID_Clean],Product_Month_Actual_Variable_Cost[[#This Row],[ProductID]],Table4[Period_Clean],Product_Month_Actual_Variable_Cost[[#Headers],[2025-04]],Table4[CostType],"Variable")</f>
        <v>143.72999999999999</v>
      </c>
      <c r="R43">
        <f>SUMIFS(Table4[ActualCost_Clean],Table4[ProductID_Clean],Product_Month_Actual_Variable_Cost[[#This Row],[ProductID]],Table4[Period_Clean],Product_Month_Actual_Variable_Cost[[#Headers],[2025-05]],Table4[CostType],"Variable")</f>
        <v>146.06</v>
      </c>
      <c r="S43">
        <f>SUMIFS(Table4[ActualCost_Clean],Table4[ProductID_Clean],Product_Month_Actual_Variable_Cost[[#This Row],[ProductID]],Table4[Period_Clean],Product_Month_Actual_Variable_Cost[[#Headers],[2025-06]],Table4[CostType],"Variable")</f>
        <v>142.15</v>
      </c>
      <c r="V43" t="s">
        <v>62</v>
      </c>
      <c r="W43" t="s">
        <v>47</v>
      </c>
      <c r="X43">
        <f>Table33[[#This Row],[1/1/2025]]*Product_Month_Actual_Variable_Cost[[#This Row],[2025-01]]</f>
        <v>718</v>
      </c>
      <c r="Y43">
        <f>Table33[[#This Row],[2/1/2025]]*Product_Month_Actual_Variable_Cost[[#This Row],[2025-02]]</f>
        <v>0</v>
      </c>
      <c r="Z43">
        <f>Table33[[#This Row],[3/1/2025]]*Product_Month_Actual_Variable_Cost[[#This Row],[2025-03]]</f>
        <v>0</v>
      </c>
      <c r="AA43">
        <f>Table33[[#This Row],[4/1/2025]]*Product_Month_Actual_Variable_Cost[[#This Row],[2025-04]]</f>
        <v>287.45999999999998</v>
      </c>
      <c r="AB43">
        <f>Table33[[#This Row],[5/1/2025]]*Product_Month_Actual_Variable_Cost[[#This Row],[2025-05]]</f>
        <v>146.06</v>
      </c>
      <c r="AC43">
        <f>Table33[[#This Row],[6/1/2025]]*Product_Month_Actual_Variable_Cost[[#This Row],[2025-06]]</f>
        <v>284.3</v>
      </c>
      <c r="AD43">
        <f>SUM(Product_Region_Monthly_Variable_Cost[[#This Row],[25-Jan]:[25-Jun]])</f>
        <v>1435.82</v>
      </c>
      <c r="AG43" t="s">
        <v>62</v>
      </c>
      <c r="AH43" t="s">
        <v>47</v>
      </c>
      <c r="AI43">
        <f>SUMIFS(Table4[ActualCost_Clean],Table4[ProductID_Clean],Product_Month_Actual_Fixed_Cost[[#This Row],[ProductID]],Table4[Period_Clean],Product_Month_Actual_Variable_Cost[[#Headers],[2025-01]],Table4[CostType],"Fixed")</f>
        <v>253.97</v>
      </c>
      <c r="AJ43">
        <f>SUMIFS(Table4[ActualCost_Clean],Table4[ProductID_Clean],Product_Month_Actual_Fixed_Cost[[#This Row],[ProductID]],Table4[Period_Clean],Product_Month_Actual_Variable_Cost[[#Headers],[2025-02]],Table4[CostType],"Fixed")</f>
        <v>266.43</v>
      </c>
      <c r="AK43">
        <f>SUMIFS(Table4[ActualCost_Clean],Table4[ProductID_Clean],Product_Month_Actual_Fixed_Cost[[#This Row],[ProductID]],Table4[Period_Clean],Product_Month_Actual_Variable_Cost[[#Headers],[2025-03]],Table4[CostType],"Fixed")</f>
        <v>246.37</v>
      </c>
      <c r="AL43">
        <f>SUMIFS(Table4[ActualCost_Clean],Table4[ProductID_Clean],Product_Month_Actual_Fixed_Cost[[#This Row],[ProductID]],Table4[Period_Clean],Product_Month_Actual_Variable_Cost[[#Headers],[2025-04]],Table4[CostType],"Fixed")</f>
        <v>257.27</v>
      </c>
      <c r="AM43">
        <f>SUMIFS(Table4[ActualCost_Clean],Table4[ProductID_Clean],Product_Month_Actual_Fixed_Cost[[#This Row],[ProductID]],Table4[Period_Clean],Product_Month_Actual_Variable_Cost[[#Headers],[2025-05]],Table4[CostType],"Fixed")</f>
        <v>253.05</v>
      </c>
      <c r="AN43">
        <f>SUMIFS(Table4[ActualCost_Clean],Table4[ProductID_Clean],Product_Month_Actual_Fixed_Cost[[#This Row],[ProductID]],Table4[Period_Clean],Product_Month_Actual_Variable_Cost[[#Headers],[2025-06]],Table4[CostType],"Fixed")</f>
        <v>256.83999999999997</v>
      </c>
      <c r="AQ43" t="s">
        <v>62</v>
      </c>
      <c r="AR43" t="s">
        <v>47</v>
      </c>
      <c r="AS43">
        <f>Product_Month_Actual_Fixed_Cost[[#This Row],[2025-01]]*Table33[[#This Row],[1/1/2025]]</f>
        <v>1269.8499999999999</v>
      </c>
      <c r="AT43">
        <f>Product_Month_Actual_Fixed_Cost[[#This Row],[2025-02]]*Table33[[#This Row],[2/1/2025]]</f>
        <v>0</v>
      </c>
      <c r="AU43">
        <f>Product_Month_Actual_Fixed_Cost[[#This Row],[2025-03]]*Table33[[#This Row],[3/1/2025]]</f>
        <v>0</v>
      </c>
      <c r="AV43">
        <f>Product_Month_Actual_Fixed_Cost[[#This Row],[2025-04]]*Table33[[#This Row],[4/1/2025]]</f>
        <v>514.54</v>
      </c>
      <c r="AW43">
        <f>Product_Month_Actual_Fixed_Cost[[#This Row],[2025-05]]*Table33[[#This Row],[5/1/2025]]</f>
        <v>253.05</v>
      </c>
      <c r="AX43">
        <f>Product_Month_Actual_Fixed_Cost[[#This Row],[2025-06]]*Table33[[#This Row],[6/1/2025]]</f>
        <v>513.67999999999995</v>
      </c>
      <c r="AY43">
        <f>SUM(Product_Region_Monthly_Fixed_Cost[[#This Row],[25-Jan]:[25-Jun]])</f>
        <v>2551.12</v>
      </c>
      <c r="BB43" t="s">
        <v>62</v>
      </c>
      <c r="BC43" t="s">
        <v>47</v>
      </c>
      <c r="BD43">
        <f>Product_Region_Monthly_Fixed_Cost[[#This Row],[25-Jan]]+Product_Region_Monthly_Variable_Cost[[#This Row],[25-Jan]]</f>
        <v>1987.85</v>
      </c>
      <c r="BE43">
        <f>Product_Region_Monthly_Fixed_Cost[[#This Row],[25-Feb]]+Product_Region_Monthly_Variable_Cost[[#This Row],[25-Feb]]</f>
        <v>0</v>
      </c>
      <c r="BF43">
        <f>Product_Region_Monthly_Fixed_Cost[[#This Row],[25-Mar]]+Product_Region_Monthly_Variable_Cost[[#This Row],[25-Mar]]</f>
        <v>0</v>
      </c>
      <c r="BG43">
        <f>Product_Region_Monthly_Fixed_Cost[[#This Row],[25-Apr]]+Product_Region_Monthly_Variable_Cost[[#This Row],[25-Apr]]</f>
        <v>802</v>
      </c>
      <c r="BH43">
        <f>Product_Region_Monthly_Fixed_Cost[[#This Row],[25-May]]+Product_Region_Monthly_Variable_Cost[[#This Row],[25-May]]</f>
        <v>399.11</v>
      </c>
      <c r="BI43">
        <f>Product_Region_Monthly_Fixed_Cost[[#This Row],[25-Jun]]+Product_Region_Monthly_Variable_Cost[[#This Row],[25-Jun]]</f>
        <v>797.98</v>
      </c>
      <c r="BJ43">
        <f>Product_Region_Monthly_Fixed_Cost[[#This Row],[H1 Fixed Cost]]+Product_Region_Monthly_Variable_Cost[[#This Row],[H1 Variable Cost]]</f>
        <v>3986.9399999999996</v>
      </c>
    </row>
    <row r="44" spans="1:62">
      <c r="A44" t="s">
        <v>62</v>
      </c>
      <c r="B44" t="s">
        <v>58</v>
      </c>
      <c r="C44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44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44">
        <f>SUMIFS(Table1[Quantity],Table1[ProductID],Table33[[#This Row],[ProductID]],Table1[RegionClean_],Table33[[#This Row],[Region]],Table1[TransactionDate_Clean],"&gt;"&amp;EOMONTH($E$1,-1),Table1[TransactionDate_Clean],"&lt;="&amp;EOMONTH($E$1,0))</f>
        <v>7</v>
      </c>
      <c r="F44">
        <f>SUMIFS(Table1[Quantity],Table1[ProductID],Table33[[#This Row],[ProductID]],Table1[RegionClean_],Table33[[#This Row],[Region]],Table1[TransactionDate_Clean],"&gt;"&amp;EOMONTH($F$1,-1),Table1[TransactionDate_Clean],"&lt;="&amp;EOMONTH($F$1,0))</f>
        <v>3</v>
      </c>
      <c r="G44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44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44">
        <f>SUM(Table33[[#This Row],[1/1/2025]:[6/1/2025]])</f>
        <v>14</v>
      </c>
      <c r="L44" t="s">
        <v>62</v>
      </c>
      <c r="M44" t="s">
        <v>58</v>
      </c>
      <c r="N44">
        <v>143.6</v>
      </c>
      <c r="O44">
        <f>SUMIFS(Table4[ActualCost_Clean],Table4[ProductID_Clean],Product_Month_Actual_Variable_Cost[[#This Row],[ProductID]],Table4[Period_Clean],Product_Month_Actual_Variable_Cost[[#Headers],[2025-02]],Table4[CostType],"Variable")</f>
        <v>140.63</v>
      </c>
      <c r="P44">
        <f>SUMIFS(Table4[ActualCost_Clean],Table4[ProductID_Clean],Product_Month_Actual_Variable_Cost[[#This Row],[ProductID]],Table4[Period_Clean],Product_Month_Actual_Variable_Cost[[#Headers],[2025-03]],Table4[CostType],"Variable")</f>
        <v>146.57</v>
      </c>
      <c r="Q44">
        <f>SUMIFS(Table4[ActualCost_Clean],Table4[ProductID_Clean],Product_Month_Actual_Variable_Cost[[#This Row],[ProductID]],Table4[Period_Clean],Product_Month_Actual_Variable_Cost[[#Headers],[2025-04]],Table4[CostType],"Variable")</f>
        <v>143.72999999999999</v>
      </c>
      <c r="R44">
        <f>SUMIFS(Table4[ActualCost_Clean],Table4[ProductID_Clean],Product_Month_Actual_Variable_Cost[[#This Row],[ProductID]],Table4[Period_Clean],Product_Month_Actual_Variable_Cost[[#Headers],[2025-05]],Table4[CostType],"Variable")</f>
        <v>146.06</v>
      </c>
      <c r="S44">
        <f>SUMIFS(Table4[ActualCost_Clean],Table4[ProductID_Clean],Product_Month_Actual_Variable_Cost[[#This Row],[ProductID]],Table4[Period_Clean],Product_Month_Actual_Variable_Cost[[#Headers],[2025-06]],Table4[CostType],"Variable")</f>
        <v>142.15</v>
      </c>
      <c r="V44" t="s">
        <v>62</v>
      </c>
      <c r="W44" t="s">
        <v>58</v>
      </c>
      <c r="X44">
        <f>Table33[[#This Row],[1/1/2025]]*Product_Month_Actual_Variable_Cost[[#This Row],[2025-01]]</f>
        <v>287.2</v>
      </c>
      <c r="Y44">
        <f>Table33[[#This Row],[2/1/2025]]*Product_Month_Actual_Variable_Cost[[#This Row],[2025-02]]</f>
        <v>0</v>
      </c>
      <c r="Z44">
        <f>Table33[[#This Row],[3/1/2025]]*Product_Month_Actual_Variable_Cost[[#This Row],[2025-03]]</f>
        <v>1025.99</v>
      </c>
      <c r="AA44">
        <f>Table33[[#This Row],[4/1/2025]]*Product_Month_Actual_Variable_Cost[[#This Row],[2025-04]]</f>
        <v>431.18999999999994</v>
      </c>
      <c r="AB44">
        <f>Table33[[#This Row],[5/1/2025]]*Product_Month_Actual_Variable_Cost[[#This Row],[2025-05]]</f>
        <v>0</v>
      </c>
      <c r="AC44">
        <f>Table33[[#This Row],[6/1/2025]]*Product_Month_Actual_Variable_Cost[[#This Row],[2025-06]]</f>
        <v>284.3</v>
      </c>
      <c r="AD44">
        <f>SUM(Product_Region_Monthly_Variable_Cost[[#This Row],[25-Jan]:[25-Jun]])</f>
        <v>2028.68</v>
      </c>
      <c r="AG44" t="s">
        <v>62</v>
      </c>
      <c r="AH44" t="s">
        <v>58</v>
      </c>
      <c r="AI44">
        <f>SUMIFS(Table4[ActualCost_Clean],Table4[ProductID_Clean],Product_Month_Actual_Fixed_Cost[[#This Row],[ProductID]],Table4[Period_Clean],Product_Month_Actual_Variable_Cost[[#Headers],[2025-01]],Table4[CostType],"Fixed")</f>
        <v>253.97</v>
      </c>
      <c r="AJ44">
        <f>SUMIFS(Table4[ActualCost_Clean],Table4[ProductID_Clean],Product_Month_Actual_Fixed_Cost[[#This Row],[ProductID]],Table4[Period_Clean],Product_Month_Actual_Variable_Cost[[#Headers],[2025-02]],Table4[CostType],"Fixed")</f>
        <v>266.43</v>
      </c>
      <c r="AK44">
        <f>SUMIFS(Table4[ActualCost_Clean],Table4[ProductID_Clean],Product_Month_Actual_Fixed_Cost[[#This Row],[ProductID]],Table4[Period_Clean],Product_Month_Actual_Variable_Cost[[#Headers],[2025-03]],Table4[CostType],"Fixed")</f>
        <v>246.37</v>
      </c>
      <c r="AL44">
        <f>SUMIFS(Table4[ActualCost_Clean],Table4[ProductID_Clean],Product_Month_Actual_Fixed_Cost[[#This Row],[ProductID]],Table4[Period_Clean],Product_Month_Actual_Variable_Cost[[#Headers],[2025-04]],Table4[CostType],"Fixed")</f>
        <v>257.27</v>
      </c>
      <c r="AM44">
        <f>SUMIFS(Table4[ActualCost_Clean],Table4[ProductID_Clean],Product_Month_Actual_Fixed_Cost[[#This Row],[ProductID]],Table4[Period_Clean],Product_Month_Actual_Variable_Cost[[#Headers],[2025-05]],Table4[CostType],"Fixed")</f>
        <v>253.05</v>
      </c>
      <c r="AN44">
        <f>SUMIFS(Table4[ActualCost_Clean],Table4[ProductID_Clean],Product_Month_Actual_Fixed_Cost[[#This Row],[ProductID]],Table4[Period_Clean],Product_Month_Actual_Variable_Cost[[#Headers],[2025-06]],Table4[CostType],"Fixed")</f>
        <v>256.83999999999997</v>
      </c>
      <c r="AQ44" t="s">
        <v>62</v>
      </c>
      <c r="AR44" t="s">
        <v>58</v>
      </c>
      <c r="AS44">
        <f>Product_Month_Actual_Fixed_Cost[[#This Row],[2025-01]]*Table33[[#This Row],[1/1/2025]]</f>
        <v>507.94</v>
      </c>
      <c r="AT44">
        <f>Product_Month_Actual_Fixed_Cost[[#This Row],[2025-02]]*Table33[[#This Row],[2/1/2025]]</f>
        <v>0</v>
      </c>
      <c r="AU44">
        <f>Product_Month_Actual_Fixed_Cost[[#This Row],[2025-03]]*Table33[[#This Row],[3/1/2025]]</f>
        <v>1724.5900000000001</v>
      </c>
      <c r="AV44">
        <f>Product_Month_Actual_Fixed_Cost[[#This Row],[2025-04]]*Table33[[#This Row],[4/1/2025]]</f>
        <v>771.81</v>
      </c>
      <c r="AW44">
        <f>Product_Month_Actual_Fixed_Cost[[#This Row],[2025-05]]*Table33[[#This Row],[5/1/2025]]</f>
        <v>0</v>
      </c>
      <c r="AX44">
        <f>Product_Month_Actual_Fixed_Cost[[#This Row],[2025-06]]*Table33[[#This Row],[6/1/2025]]</f>
        <v>513.67999999999995</v>
      </c>
      <c r="AY44">
        <f>SUM(Product_Region_Monthly_Fixed_Cost[[#This Row],[25-Jan]:[25-Jun]])</f>
        <v>3518.02</v>
      </c>
      <c r="BB44" t="s">
        <v>62</v>
      </c>
      <c r="BC44" t="s">
        <v>58</v>
      </c>
      <c r="BD44">
        <f>Product_Region_Monthly_Fixed_Cost[[#This Row],[25-Jan]]+Product_Region_Monthly_Variable_Cost[[#This Row],[25-Jan]]</f>
        <v>795.14</v>
      </c>
      <c r="BE44">
        <f>Product_Region_Monthly_Fixed_Cost[[#This Row],[25-Feb]]+Product_Region_Monthly_Variable_Cost[[#This Row],[25-Feb]]</f>
        <v>0</v>
      </c>
      <c r="BF44">
        <f>Product_Region_Monthly_Fixed_Cost[[#This Row],[25-Mar]]+Product_Region_Monthly_Variable_Cost[[#This Row],[25-Mar]]</f>
        <v>2750.58</v>
      </c>
      <c r="BG44">
        <f>Product_Region_Monthly_Fixed_Cost[[#This Row],[25-Apr]]+Product_Region_Monthly_Variable_Cost[[#This Row],[25-Apr]]</f>
        <v>1203</v>
      </c>
      <c r="BH44">
        <f>Product_Region_Monthly_Fixed_Cost[[#This Row],[25-May]]+Product_Region_Monthly_Variable_Cost[[#This Row],[25-May]]</f>
        <v>0</v>
      </c>
      <c r="BI44">
        <f>Product_Region_Monthly_Fixed_Cost[[#This Row],[25-Jun]]+Product_Region_Monthly_Variable_Cost[[#This Row],[25-Jun]]</f>
        <v>797.98</v>
      </c>
      <c r="BJ44">
        <f>Product_Region_Monthly_Fixed_Cost[[#This Row],[H1 Fixed Cost]]+Product_Region_Monthly_Variable_Cost[[#This Row],[H1 Variable Cost]]</f>
        <v>5546.7</v>
      </c>
    </row>
    <row r="45" spans="1:62">
      <c r="A45" t="s">
        <v>62</v>
      </c>
      <c r="B45" t="s">
        <v>32</v>
      </c>
      <c r="C45">
        <f>SUMIFS(Table1[Quantity],Table1[ProductID],Table33[[#This Row],[ProductID]],Table1[RegionClean_],Table33[[#This Row],[Region]],Table1[TransactionDate_Clean],"&gt;"&amp;EOMONTH($C$1,-1),Table1[TransactionDate_Clean],"&lt;="&amp;EOMONTH($C$1,0))</f>
        <v>1</v>
      </c>
      <c r="D45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45">
        <f>SUMIFS(Table1[Quantity],Table1[ProductID],Table33[[#This Row],[ProductID]],Table1[RegionClean_],Table33[[#This Row],[Region]],Table1[TransactionDate_Clean],"&gt;"&amp;EOMONTH($E$1,-1),Table1[TransactionDate_Clean],"&lt;="&amp;EOMONTH($E$1,0))</f>
        <v>6</v>
      </c>
      <c r="F45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45">
        <f>SUMIFS(Table1[Quantity],Table1[ProductID],Table33[[#This Row],[ProductID]],Table1[RegionClean_],Table33[[#This Row],[Region]],Table1[TransactionDate_Clean],"&gt;"&amp;EOMONTH($G$1,-1),Table1[TransactionDate_Clean],"&lt;="&amp;EOMONTH($G$1,0))</f>
        <v>0</v>
      </c>
      <c r="H45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45">
        <f>SUM(Table33[[#This Row],[1/1/2025]:[6/1/2025]])</f>
        <v>7</v>
      </c>
      <c r="L45" t="s">
        <v>62</v>
      </c>
      <c r="M45" t="s">
        <v>32</v>
      </c>
      <c r="N45">
        <v>143.6</v>
      </c>
      <c r="O45">
        <f>SUMIFS(Table4[ActualCost_Clean],Table4[ProductID_Clean],Product_Month_Actual_Variable_Cost[[#This Row],[ProductID]],Table4[Period_Clean],Product_Month_Actual_Variable_Cost[[#Headers],[2025-02]],Table4[CostType],"Variable")</f>
        <v>140.63</v>
      </c>
      <c r="P45">
        <f>SUMIFS(Table4[ActualCost_Clean],Table4[ProductID_Clean],Product_Month_Actual_Variable_Cost[[#This Row],[ProductID]],Table4[Period_Clean],Product_Month_Actual_Variable_Cost[[#Headers],[2025-03]],Table4[CostType],"Variable")</f>
        <v>146.57</v>
      </c>
      <c r="Q45">
        <f>SUMIFS(Table4[ActualCost_Clean],Table4[ProductID_Clean],Product_Month_Actual_Variable_Cost[[#This Row],[ProductID]],Table4[Period_Clean],Product_Month_Actual_Variable_Cost[[#Headers],[2025-04]],Table4[CostType],"Variable")</f>
        <v>143.72999999999999</v>
      </c>
      <c r="R45">
        <f>SUMIFS(Table4[ActualCost_Clean],Table4[ProductID_Clean],Product_Month_Actual_Variable_Cost[[#This Row],[ProductID]],Table4[Period_Clean],Product_Month_Actual_Variable_Cost[[#Headers],[2025-05]],Table4[CostType],"Variable")</f>
        <v>146.06</v>
      </c>
      <c r="S45">
        <f>SUMIFS(Table4[ActualCost_Clean],Table4[ProductID_Clean],Product_Month_Actual_Variable_Cost[[#This Row],[ProductID]],Table4[Period_Clean],Product_Month_Actual_Variable_Cost[[#Headers],[2025-06]],Table4[CostType],"Variable")</f>
        <v>142.15</v>
      </c>
      <c r="V45" t="s">
        <v>62</v>
      </c>
      <c r="W45" t="s">
        <v>32</v>
      </c>
      <c r="X45">
        <f>Table33[[#This Row],[1/1/2025]]*Product_Month_Actual_Variable_Cost[[#This Row],[2025-01]]</f>
        <v>143.6</v>
      </c>
      <c r="Y45">
        <f>Table33[[#This Row],[2/1/2025]]*Product_Month_Actual_Variable_Cost[[#This Row],[2025-02]]</f>
        <v>0</v>
      </c>
      <c r="Z45">
        <f>Table33[[#This Row],[3/1/2025]]*Product_Month_Actual_Variable_Cost[[#This Row],[2025-03]]</f>
        <v>879.42</v>
      </c>
      <c r="AA45">
        <f>Table33[[#This Row],[4/1/2025]]*Product_Month_Actual_Variable_Cost[[#This Row],[2025-04]]</f>
        <v>0</v>
      </c>
      <c r="AB45">
        <f>Table33[[#This Row],[5/1/2025]]*Product_Month_Actual_Variable_Cost[[#This Row],[2025-05]]</f>
        <v>0</v>
      </c>
      <c r="AC45">
        <f>Table33[[#This Row],[6/1/2025]]*Product_Month_Actual_Variable_Cost[[#This Row],[2025-06]]</f>
        <v>0</v>
      </c>
      <c r="AD45">
        <f>SUM(Product_Region_Monthly_Variable_Cost[[#This Row],[25-Jan]:[25-Jun]])</f>
        <v>1023.02</v>
      </c>
      <c r="AG45" t="s">
        <v>62</v>
      </c>
      <c r="AH45" t="s">
        <v>32</v>
      </c>
      <c r="AI45">
        <f>SUMIFS(Table4[ActualCost_Clean],Table4[ProductID_Clean],Product_Month_Actual_Fixed_Cost[[#This Row],[ProductID]],Table4[Period_Clean],Product_Month_Actual_Variable_Cost[[#Headers],[2025-01]],Table4[CostType],"Fixed")</f>
        <v>253.97</v>
      </c>
      <c r="AJ45">
        <f>SUMIFS(Table4[ActualCost_Clean],Table4[ProductID_Clean],Product_Month_Actual_Fixed_Cost[[#This Row],[ProductID]],Table4[Period_Clean],Product_Month_Actual_Variable_Cost[[#Headers],[2025-02]],Table4[CostType],"Fixed")</f>
        <v>266.43</v>
      </c>
      <c r="AK45">
        <f>SUMIFS(Table4[ActualCost_Clean],Table4[ProductID_Clean],Product_Month_Actual_Fixed_Cost[[#This Row],[ProductID]],Table4[Period_Clean],Product_Month_Actual_Variable_Cost[[#Headers],[2025-03]],Table4[CostType],"Fixed")</f>
        <v>246.37</v>
      </c>
      <c r="AL45">
        <f>SUMIFS(Table4[ActualCost_Clean],Table4[ProductID_Clean],Product_Month_Actual_Fixed_Cost[[#This Row],[ProductID]],Table4[Period_Clean],Product_Month_Actual_Variable_Cost[[#Headers],[2025-04]],Table4[CostType],"Fixed")</f>
        <v>257.27</v>
      </c>
      <c r="AM45">
        <f>SUMIFS(Table4[ActualCost_Clean],Table4[ProductID_Clean],Product_Month_Actual_Fixed_Cost[[#This Row],[ProductID]],Table4[Period_Clean],Product_Month_Actual_Variable_Cost[[#Headers],[2025-05]],Table4[CostType],"Fixed")</f>
        <v>253.05</v>
      </c>
      <c r="AN45">
        <f>SUMIFS(Table4[ActualCost_Clean],Table4[ProductID_Clean],Product_Month_Actual_Fixed_Cost[[#This Row],[ProductID]],Table4[Period_Clean],Product_Month_Actual_Variable_Cost[[#Headers],[2025-06]],Table4[CostType],"Fixed")</f>
        <v>256.83999999999997</v>
      </c>
      <c r="AQ45" t="s">
        <v>62</v>
      </c>
      <c r="AR45" t="s">
        <v>32</v>
      </c>
      <c r="AS45">
        <f>Product_Month_Actual_Fixed_Cost[[#This Row],[2025-01]]*Table33[[#This Row],[1/1/2025]]</f>
        <v>253.97</v>
      </c>
      <c r="AT45">
        <f>Product_Month_Actual_Fixed_Cost[[#This Row],[2025-02]]*Table33[[#This Row],[2/1/2025]]</f>
        <v>0</v>
      </c>
      <c r="AU45">
        <f>Product_Month_Actual_Fixed_Cost[[#This Row],[2025-03]]*Table33[[#This Row],[3/1/2025]]</f>
        <v>1478.22</v>
      </c>
      <c r="AV45">
        <f>Product_Month_Actual_Fixed_Cost[[#This Row],[2025-04]]*Table33[[#This Row],[4/1/2025]]</f>
        <v>0</v>
      </c>
      <c r="AW45">
        <f>Product_Month_Actual_Fixed_Cost[[#This Row],[2025-05]]*Table33[[#This Row],[5/1/2025]]</f>
        <v>0</v>
      </c>
      <c r="AX45">
        <f>Product_Month_Actual_Fixed_Cost[[#This Row],[2025-06]]*Table33[[#This Row],[6/1/2025]]</f>
        <v>0</v>
      </c>
      <c r="AY45">
        <f>SUM(Product_Region_Monthly_Fixed_Cost[[#This Row],[25-Jan]:[25-Jun]])</f>
        <v>1732.19</v>
      </c>
      <c r="BB45" t="s">
        <v>62</v>
      </c>
      <c r="BC45" t="s">
        <v>32</v>
      </c>
      <c r="BD45">
        <f>Product_Region_Monthly_Fixed_Cost[[#This Row],[25-Jan]]+Product_Region_Monthly_Variable_Cost[[#This Row],[25-Jan]]</f>
        <v>397.57</v>
      </c>
      <c r="BE45">
        <f>Product_Region_Monthly_Fixed_Cost[[#This Row],[25-Feb]]+Product_Region_Monthly_Variable_Cost[[#This Row],[25-Feb]]</f>
        <v>0</v>
      </c>
      <c r="BF45">
        <f>Product_Region_Monthly_Fixed_Cost[[#This Row],[25-Mar]]+Product_Region_Monthly_Variable_Cost[[#This Row],[25-Mar]]</f>
        <v>2357.64</v>
      </c>
      <c r="BG45">
        <f>Product_Region_Monthly_Fixed_Cost[[#This Row],[25-Apr]]+Product_Region_Monthly_Variable_Cost[[#This Row],[25-Apr]]</f>
        <v>0</v>
      </c>
      <c r="BH45">
        <f>Product_Region_Monthly_Fixed_Cost[[#This Row],[25-May]]+Product_Region_Monthly_Variable_Cost[[#This Row],[25-May]]</f>
        <v>0</v>
      </c>
      <c r="BI45">
        <f>Product_Region_Monthly_Fixed_Cost[[#This Row],[25-Jun]]+Product_Region_Monthly_Variable_Cost[[#This Row],[25-Jun]]</f>
        <v>0</v>
      </c>
      <c r="BJ45">
        <f>Product_Region_Monthly_Fixed_Cost[[#This Row],[H1 Fixed Cost]]+Product_Region_Monthly_Variable_Cost[[#This Row],[H1 Variable Cost]]</f>
        <v>2755.21</v>
      </c>
    </row>
    <row r="46" spans="1:62">
      <c r="A46" t="s">
        <v>72</v>
      </c>
      <c r="B46" t="s">
        <v>23</v>
      </c>
      <c r="C46">
        <f>SUMIFS(Table1[Quantity],Table1[ProductID],Table33[[#This Row],[ProductID]],Table1[RegionClean_],Table33[[#This Row],[Region]],Table1[TransactionDate_Clean],"&gt;"&amp;EOMONTH($C$1,-1),Table1[TransactionDate_Clean],"&lt;="&amp;EOMONTH($C$1,0))</f>
        <v>43</v>
      </c>
      <c r="D46">
        <f>SUMIFS(Table1[Quantity],Table1[ProductID],Table33[[#This Row],[ProductID]],Table1[RegionClean_],Table33[[#This Row],[Region]],Table1[TransactionDate_Clean],"&gt;"&amp;EOMONTH($D$1,-1),Table1[TransactionDate_Clean],"&lt;="&amp;EOMONTH($D$1,0))</f>
        <v>45</v>
      </c>
      <c r="E46">
        <f>SUMIFS(Table1[Quantity],Table1[ProductID],Table33[[#This Row],[ProductID]],Table1[RegionClean_],Table33[[#This Row],[Region]],Table1[TransactionDate_Clean],"&gt;"&amp;EOMONTH($E$1,-1),Table1[TransactionDate_Clean],"&lt;="&amp;EOMONTH($E$1,0))</f>
        <v>67</v>
      </c>
      <c r="F46">
        <f>SUMIFS(Table1[Quantity],Table1[ProductID],Table33[[#This Row],[ProductID]],Table1[RegionClean_],Table33[[#This Row],[Region]],Table1[TransactionDate_Clean],"&gt;"&amp;EOMONTH($F$1,-1),Table1[TransactionDate_Clean],"&lt;="&amp;EOMONTH($F$1,0))</f>
        <v>63</v>
      </c>
      <c r="G46">
        <f>SUMIFS(Table1[Quantity],Table1[ProductID],Table33[[#This Row],[ProductID]],Table1[RegionClean_],Table33[[#This Row],[Region]],Table1[TransactionDate_Clean],"&gt;"&amp;EOMONTH($G$1,-1),Table1[TransactionDate_Clean],"&lt;="&amp;EOMONTH($G$1,0))</f>
        <v>43</v>
      </c>
      <c r="H46">
        <f>SUMIFS(Table1[Quantity],Table1[ProductID],Table33[[#This Row],[ProductID]],Table1[RegionClean_],Table33[[#This Row],[Region]],Table1[TransactionDate_Clean],"&gt;"&amp;EOMONTH($H$1,-1),Table1[TransactionDate_Clean],"&lt;="&amp;EOMONTH($H$1,0))</f>
        <v>27</v>
      </c>
      <c r="I46">
        <f>SUM(Table33[[#This Row],[1/1/2025]:[6/1/2025]])</f>
        <v>288</v>
      </c>
      <c r="L46" t="s">
        <v>72</v>
      </c>
      <c r="M46" t="s">
        <v>23</v>
      </c>
      <c r="N46">
        <f>SUMIFS(Table4[ActualCost_Clean],Table4[ProductID_Clean],Product_Month_Actual_Variable_Cost[[#This Row],[ProductID]],Table4[Period_Clean],Product_Month_Actual_Variable_Cost[[#Headers],[2025-01]],Table4[CostType],"Variable")</f>
        <v>185.89</v>
      </c>
      <c r="O46">
        <v>190.57499999999999</v>
      </c>
      <c r="P46">
        <f>SUMIFS(Table4[ActualCost_Clean],Table4[ProductID_Clean],Product_Month_Actual_Variable_Cost[[#This Row],[ProductID]],Table4[Period_Clean],Product_Month_Actual_Variable_Cost[[#Headers],[2025-03]],Table4[CostType],"Variable")</f>
        <v>195.26</v>
      </c>
      <c r="Q46">
        <f>SUMIFS(Table4[ActualCost_Clean],Table4[ProductID_Clean],Product_Month_Actual_Variable_Cost[[#This Row],[ProductID]],Table4[Period_Clean],Product_Month_Actual_Variable_Cost[[#Headers],[2025-04]],Table4[CostType],"Variable")</f>
        <v>185.52</v>
      </c>
      <c r="R46">
        <f>SUMIFS(Table4[ActualCost_Clean],Table4[ProductID_Clean],Product_Month_Actual_Variable_Cost[[#This Row],[ProductID]],Table4[Period_Clean],Product_Month_Actual_Variable_Cost[[#Headers],[2025-05]],Table4[CostType],"Variable")</f>
        <v>188.04</v>
      </c>
      <c r="S46">
        <f>SUMIFS(Table4[ActualCost_Clean],Table4[ProductID_Clean],Product_Month_Actual_Variable_Cost[[#This Row],[ProductID]],Table4[Period_Clean],Product_Month_Actual_Variable_Cost[[#Headers],[2025-06]],Table4[CostType],"Variable")</f>
        <v>181.78</v>
      </c>
      <c r="V46" t="s">
        <v>72</v>
      </c>
      <c r="W46" t="s">
        <v>23</v>
      </c>
      <c r="X46">
        <f>Table33[[#This Row],[1/1/2025]]*Product_Month_Actual_Variable_Cost[[#This Row],[2025-01]]</f>
        <v>7993.2699999999995</v>
      </c>
      <c r="Y46">
        <f>Table33[[#This Row],[2/1/2025]]*Product_Month_Actual_Variable_Cost[[#This Row],[2025-02]]</f>
        <v>8575.875</v>
      </c>
      <c r="Z46">
        <f>Table33[[#This Row],[3/1/2025]]*Product_Month_Actual_Variable_Cost[[#This Row],[2025-03]]</f>
        <v>13082.42</v>
      </c>
      <c r="AA46">
        <f>Table33[[#This Row],[4/1/2025]]*Product_Month_Actual_Variable_Cost[[#This Row],[2025-04]]</f>
        <v>11687.76</v>
      </c>
      <c r="AB46">
        <f>Table33[[#This Row],[5/1/2025]]*Product_Month_Actual_Variable_Cost[[#This Row],[2025-05]]</f>
        <v>8085.7199999999993</v>
      </c>
      <c r="AC46">
        <f>Table33[[#This Row],[6/1/2025]]*Product_Month_Actual_Variable_Cost[[#This Row],[2025-06]]</f>
        <v>4908.0600000000004</v>
      </c>
      <c r="AD46">
        <f>SUM(Product_Region_Monthly_Variable_Cost[[#This Row],[25-Jan]:[25-Jun]])</f>
        <v>54333.105000000003</v>
      </c>
      <c r="AG46" t="s">
        <v>72</v>
      </c>
      <c r="AH46" t="s">
        <v>23</v>
      </c>
      <c r="AI46">
        <f>SUMIFS(Table4[ActualCost_Clean],Table4[ProductID_Clean],Product_Month_Actual_Fixed_Cost[[#This Row],[ProductID]],Table4[Period_Clean],Product_Month_Actual_Variable_Cost[[#Headers],[2025-01]],Table4[CostType],"Fixed")</f>
        <v>42.81</v>
      </c>
      <c r="AJ46">
        <f>SUMIFS(Table4[ActualCost_Clean],Table4[ProductID_Clean],Product_Month_Actual_Fixed_Cost[[#This Row],[ProductID]],Table4[Period_Clean],Product_Month_Actual_Variable_Cost[[#Headers],[2025-02]],Table4[CostType],"Fixed")</f>
        <v>42.48</v>
      </c>
      <c r="AK46">
        <f>SUMIFS(Table4[ActualCost_Clean],Table4[ProductID_Clean],Product_Month_Actual_Fixed_Cost[[#This Row],[ProductID]],Table4[Period_Clean],Product_Month_Actual_Variable_Cost[[#Headers],[2025-03]],Table4[CostType],"Fixed")</f>
        <v>40.03</v>
      </c>
      <c r="AL46">
        <f>SUMIFS(Table4[ActualCost_Clean],Table4[ProductID_Clean],Product_Month_Actual_Fixed_Cost[[#This Row],[ProductID]],Table4[Period_Clean],Product_Month_Actual_Variable_Cost[[#Headers],[2025-04]],Table4[CostType],"Fixed")</f>
        <v>41.53</v>
      </c>
      <c r="AM46">
        <f>SUMIFS(Table4[ActualCost_Clean],Table4[ProductID_Clean],Product_Month_Actual_Fixed_Cost[[#This Row],[ProductID]],Table4[Period_Clean],Product_Month_Actual_Variable_Cost[[#Headers],[2025-05]],Table4[CostType],"Fixed")</f>
        <v>44.88</v>
      </c>
      <c r="AN46">
        <f>SUMIFS(Table4[ActualCost_Clean],Table4[ProductID_Clean],Product_Month_Actual_Fixed_Cost[[#This Row],[ProductID]],Table4[Period_Clean],Product_Month_Actual_Variable_Cost[[#Headers],[2025-06]],Table4[CostType],"Fixed")</f>
        <v>43.91</v>
      </c>
      <c r="AQ46" t="s">
        <v>72</v>
      </c>
      <c r="AR46" t="s">
        <v>23</v>
      </c>
      <c r="AS46">
        <f>Product_Month_Actual_Fixed_Cost[[#This Row],[2025-01]]*Table33[[#This Row],[1/1/2025]]</f>
        <v>1840.8300000000002</v>
      </c>
      <c r="AT46">
        <f>Product_Month_Actual_Fixed_Cost[[#This Row],[2025-02]]*Table33[[#This Row],[2/1/2025]]</f>
        <v>1911.6</v>
      </c>
      <c r="AU46">
        <f>Product_Month_Actual_Fixed_Cost[[#This Row],[2025-03]]*Table33[[#This Row],[3/1/2025]]</f>
        <v>2682.01</v>
      </c>
      <c r="AV46">
        <f>Product_Month_Actual_Fixed_Cost[[#This Row],[2025-04]]*Table33[[#This Row],[4/1/2025]]</f>
        <v>2616.39</v>
      </c>
      <c r="AW46">
        <f>Product_Month_Actual_Fixed_Cost[[#This Row],[2025-05]]*Table33[[#This Row],[5/1/2025]]</f>
        <v>1929.8400000000001</v>
      </c>
      <c r="AX46">
        <f>Product_Month_Actual_Fixed_Cost[[#This Row],[2025-06]]*Table33[[#This Row],[6/1/2025]]</f>
        <v>1185.57</v>
      </c>
      <c r="AY46">
        <f>SUM(Product_Region_Monthly_Fixed_Cost[[#This Row],[25-Jan]:[25-Jun]])</f>
        <v>12166.24</v>
      </c>
      <c r="BB46" t="s">
        <v>72</v>
      </c>
      <c r="BC46" t="s">
        <v>23</v>
      </c>
      <c r="BD46">
        <f>Product_Region_Monthly_Fixed_Cost[[#This Row],[25-Jan]]+Product_Region_Monthly_Variable_Cost[[#This Row],[25-Jan]]</f>
        <v>9834.1</v>
      </c>
      <c r="BE46">
        <f>Product_Region_Monthly_Fixed_Cost[[#This Row],[25-Feb]]+Product_Region_Monthly_Variable_Cost[[#This Row],[25-Feb]]</f>
        <v>10487.475</v>
      </c>
      <c r="BF46">
        <f>Product_Region_Monthly_Fixed_Cost[[#This Row],[25-Mar]]+Product_Region_Monthly_Variable_Cost[[#This Row],[25-Mar]]</f>
        <v>15764.43</v>
      </c>
      <c r="BG46">
        <f>Product_Region_Monthly_Fixed_Cost[[#This Row],[25-Apr]]+Product_Region_Monthly_Variable_Cost[[#This Row],[25-Apr]]</f>
        <v>14304.15</v>
      </c>
      <c r="BH46">
        <f>Product_Region_Monthly_Fixed_Cost[[#This Row],[25-May]]+Product_Region_Monthly_Variable_Cost[[#This Row],[25-May]]</f>
        <v>10015.56</v>
      </c>
      <c r="BI46">
        <f>Product_Region_Monthly_Fixed_Cost[[#This Row],[25-Jun]]+Product_Region_Monthly_Variable_Cost[[#This Row],[25-Jun]]</f>
        <v>6093.63</v>
      </c>
      <c r="BJ46">
        <f>Product_Region_Monthly_Fixed_Cost[[#This Row],[H1 Fixed Cost]]+Product_Region_Monthly_Variable_Cost[[#This Row],[H1 Variable Cost]]</f>
        <v>66499.345000000001</v>
      </c>
    </row>
    <row r="47" spans="1:62">
      <c r="A47" t="s">
        <v>72</v>
      </c>
      <c r="B47" t="s">
        <v>47</v>
      </c>
      <c r="C47">
        <f>SUMIFS(Table1[Quantity],Table1[ProductID],Table33[[#This Row],[ProductID]],Table1[RegionClean_],Table33[[#This Row],[Region]],Table1[TransactionDate_Clean],"&gt;"&amp;EOMONTH($C$1,-1),Table1[TransactionDate_Clean],"&lt;="&amp;EOMONTH($C$1,0))</f>
        <v>36</v>
      </c>
      <c r="D47">
        <f>SUMIFS(Table1[Quantity],Table1[ProductID],Table33[[#This Row],[ProductID]],Table1[RegionClean_],Table33[[#This Row],[Region]],Table1[TransactionDate_Clean],"&gt;"&amp;EOMONTH($D$1,-1),Table1[TransactionDate_Clean],"&lt;="&amp;EOMONTH($D$1,0))</f>
        <v>23</v>
      </c>
      <c r="E47">
        <f>SUMIFS(Table1[Quantity],Table1[ProductID],Table33[[#This Row],[ProductID]],Table1[RegionClean_],Table33[[#This Row],[Region]],Table1[TransactionDate_Clean],"&gt;"&amp;EOMONTH($E$1,-1),Table1[TransactionDate_Clean],"&lt;="&amp;EOMONTH($E$1,0))</f>
        <v>27</v>
      </c>
      <c r="F47">
        <f>SUMIFS(Table1[Quantity],Table1[ProductID],Table33[[#This Row],[ProductID]],Table1[RegionClean_],Table33[[#This Row],[Region]],Table1[TransactionDate_Clean],"&gt;"&amp;EOMONTH($F$1,-1),Table1[TransactionDate_Clean],"&lt;="&amp;EOMONTH($F$1,0))</f>
        <v>25</v>
      </c>
      <c r="G47">
        <f>SUMIFS(Table1[Quantity],Table1[ProductID],Table33[[#This Row],[ProductID]],Table1[RegionClean_],Table33[[#This Row],[Region]],Table1[TransactionDate_Clean],"&gt;"&amp;EOMONTH($G$1,-1),Table1[TransactionDate_Clean],"&lt;="&amp;EOMONTH($G$1,0))</f>
        <v>16</v>
      </c>
      <c r="H47">
        <f>SUMIFS(Table1[Quantity],Table1[ProductID],Table33[[#This Row],[ProductID]],Table1[RegionClean_],Table33[[#This Row],[Region]],Table1[TransactionDate_Clean],"&gt;"&amp;EOMONTH($H$1,-1),Table1[TransactionDate_Clean],"&lt;="&amp;EOMONTH($H$1,0))</f>
        <v>41</v>
      </c>
      <c r="I47">
        <f>SUM(Table33[[#This Row],[1/1/2025]:[6/1/2025]])</f>
        <v>168</v>
      </c>
      <c r="L47" t="s">
        <v>72</v>
      </c>
      <c r="M47" t="s">
        <v>47</v>
      </c>
      <c r="N47">
        <f>SUMIFS(Table4[ActualCost_Clean],Table4[ProductID_Clean],Product_Month_Actual_Variable_Cost[[#This Row],[ProductID]],Table4[Period_Clean],Product_Month_Actual_Variable_Cost[[#Headers],[2025-01]],Table4[CostType],"Variable")</f>
        <v>185.89</v>
      </c>
      <c r="O47">
        <v>190.57499999999999</v>
      </c>
      <c r="P47">
        <f>SUMIFS(Table4[ActualCost_Clean],Table4[ProductID_Clean],Product_Month_Actual_Variable_Cost[[#This Row],[ProductID]],Table4[Period_Clean],Product_Month_Actual_Variable_Cost[[#Headers],[2025-03]],Table4[CostType],"Variable")</f>
        <v>195.26</v>
      </c>
      <c r="Q47">
        <f>SUMIFS(Table4[ActualCost_Clean],Table4[ProductID_Clean],Product_Month_Actual_Variable_Cost[[#This Row],[ProductID]],Table4[Period_Clean],Product_Month_Actual_Variable_Cost[[#Headers],[2025-04]],Table4[CostType],"Variable")</f>
        <v>185.52</v>
      </c>
      <c r="R47">
        <f>SUMIFS(Table4[ActualCost_Clean],Table4[ProductID_Clean],Product_Month_Actual_Variable_Cost[[#This Row],[ProductID]],Table4[Period_Clean],Product_Month_Actual_Variable_Cost[[#Headers],[2025-05]],Table4[CostType],"Variable")</f>
        <v>188.04</v>
      </c>
      <c r="S47">
        <f>SUMIFS(Table4[ActualCost_Clean],Table4[ProductID_Clean],Product_Month_Actual_Variable_Cost[[#This Row],[ProductID]],Table4[Period_Clean],Product_Month_Actual_Variable_Cost[[#Headers],[2025-06]],Table4[CostType],"Variable")</f>
        <v>181.78</v>
      </c>
      <c r="V47" t="s">
        <v>72</v>
      </c>
      <c r="W47" t="s">
        <v>47</v>
      </c>
      <c r="X47">
        <f>Table33[[#This Row],[1/1/2025]]*Product_Month_Actual_Variable_Cost[[#This Row],[2025-01]]</f>
        <v>6692.0399999999991</v>
      </c>
      <c r="Y47">
        <f>Table33[[#This Row],[2/1/2025]]*Product_Month_Actual_Variable_Cost[[#This Row],[2025-02]]</f>
        <v>4383.2249999999995</v>
      </c>
      <c r="Z47">
        <f>Table33[[#This Row],[3/1/2025]]*Product_Month_Actual_Variable_Cost[[#This Row],[2025-03]]</f>
        <v>5272.0199999999995</v>
      </c>
      <c r="AA47">
        <f>Table33[[#This Row],[4/1/2025]]*Product_Month_Actual_Variable_Cost[[#This Row],[2025-04]]</f>
        <v>4638</v>
      </c>
      <c r="AB47">
        <f>Table33[[#This Row],[5/1/2025]]*Product_Month_Actual_Variable_Cost[[#This Row],[2025-05]]</f>
        <v>3008.64</v>
      </c>
      <c r="AC47">
        <f>Table33[[#This Row],[6/1/2025]]*Product_Month_Actual_Variable_Cost[[#This Row],[2025-06]]</f>
        <v>7452.9800000000005</v>
      </c>
      <c r="AD47">
        <f>SUM(Product_Region_Monthly_Variable_Cost[[#This Row],[25-Jan]:[25-Jun]])</f>
        <v>31446.904999999999</v>
      </c>
      <c r="AG47" t="s">
        <v>72</v>
      </c>
      <c r="AH47" t="s">
        <v>47</v>
      </c>
      <c r="AI47">
        <f>SUMIFS(Table4[ActualCost_Clean],Table4[ProductID_Clean],Product_Month_Actual_Fixed_Cost[[#This Row],[ProductID]],Table4[Period_Clean],Product_Month_Actual_Variable_Cost[[#Headers],[2025-01]],Table4[CostType],"Fixed")</f>
        <v>42.81</v>
      </c>
      <c r="AJ47">
        <f>SUMIFS(Table4[ActualCost_Clean],Table4[ProductID_Clean],Product_Month_Actual_Fixed_Cost[[#This Row],[ProductID]],Table4[Period_Clean],Product_Month_Actual_Variable_Cost[[#Headers],[2025-02]],Table4[CostType],"Fixed")</f>
        <v>42.48</v>
      </c>
      <c r="AK47">
        <f>SUMIFS(Table4[ActualCost_Clean],Table4[ProductID_Clean],Product_Month_Actual_Fixed_Cost[[#This Row],[ProductID]],Table4[Period_Clean],Product_Month_Actual_Variable_Cost[[#Headers],[2025-03]],Table4[CostType],"Fixed")</f>
        <v>40.03</v>
      </c>
      <c r="AL47">
        <f>SUMIFS(Table4[ActualCost_Clean],Table4[ProductID_Clean],Product_Month_Actual_Fixed_Cost[[#This Row],[ProductID]],Table4[Period_Clean],Product_Month_Actual_Variable_Cost[[#Headers],[2025-04]],Table4[CostType],"Fixed")</f>
        <v>41.53</v>
      </c>
      <c r="AM47">
        <f>SUMIFS(Table4[ActualCost_Clean],Table4[ProductID_Clean],Product_Month_Actual_Fixed_Cost[[#This Row],[ProductID]],Table4[Period_Clean],Product_Month_Actual_Variable_Cost[[#Headers],[2025-05]],Table4[CostType],"Fixed")</f>
        <v>44.88</v>
      </c>
      <c r="AN47">
        <f>SUMIFS(Table4[ActualCost_Clean],Table4[ProductID_Clean],Product_Month_Actual_Fixed_Cost[[#This Row],[ProductID]],Table4[Period_Clean],Product_Month_Actual_Variable_Cost[[#Headers],[2025-06]],Table4[CostType],"Fixed")</f>
        <v>43.91</v>
      </c>
      <c r="AQ47" t="s">
        <v>72</v>
      </c>
      <c r="AR47" t="s">
        <v>47</v>
      </c>
      <c r="AS47">
        <f>Product_Month_Actual_Fixed_Cost[[#This Row],[2025-01]]*Table33[[#This Row],[1/1/2025]]</f>
        <v>1541.16</v>
      </c>
      <c r="AT47">
        <f>Product_Month_Actual_Fixed_Cost[[#This Row],[2025-02]]*Table33[[#This Row],[2/1/2025]]</f>
        <v>977.04</v>
      </c>
      <c r="AU47">
        <f>Product_Month_Actual_Fixed_Cost[[#This Row],[2025-03]]*Table33[[#This Row],[3/1/2025]]</f>
        <v>1080.81</v>
      </c>
      <c r="AV47">
        <f>Product_Month_Actual_Fixed_Cost[[#This Row],[2025-04]]*Table33[[#This Row],[4/1/2025]]</f>
        <v>1038.25</v>
      </c>
      <c r="AW47">
        <f>Product_Month_Actual_Fixed_Cost[[#This Row],[2025-05]]*Table33[[#This Row],[5/1/2025]]</f>
        <v>718.08</v>
      </c>
      <c r="AX47">
        <f>Product_Month_Actual_Fixed_Cost[[#This Row],[2025-06]]*Table33[[#This Row],[6/1/2025]]</f>
        <v>1800.31</v>
      </c>
      <c r="AY47">
        <f>SUM(Product_Region_Monthly_Fixed_Cost[[#This Row],[25-Jan]:[25-Jun]])</f>
        <v>7155.65</v>
      </c>
      <c r="BB47" t="s">
        <v>72</v>
      </c>
      <c r="BC47" t="s">
        <v>47</v>
      </c>
      <c r="BD47">
        <f>Product_Region_Monthly_Fixed_Cost[[#This Row],[25-Jan]]+Product_Region_Monthly_Variable_Cost[[#This Row],[25-Jan]]</f>
        <v>8233.1999999999989</v>
      </c>
      <c r="BE47">
        <f>Product_Region_Monthly_Fixed_Cost[[#This Row],[25-Feb]]+Product_Region_Monthly_Variable_Cost[[#This Row],[25-Feb]]</f>
        <v>5360.2649999999994</v>
      </c>
      <c r="BF47">
        <f>Product_Region_Monthly_Fixed_Cost[[#This Row],[25-Mar]]+Product_Region_Monthly_Variable_Cost[[#This Row],[25-Mar]]</f>
        <v>6352.83</v>
      </c>
      <c r="BG47">
        <f>Product_Region_Monthly_Fixed_Cost[[#This Row],[25-Apr]]+Product_Region_Monthly_Variable_Cost[[#This Row],[25-Apr]]</f>
        <v>5676.25</v>
      </c>
      <c r="BH47">
        <f>Product_Region_Monthly_Fixed_Cost[[#This Row],[25-May]]+Product_Region_Monthly_Variable_Cost[[#This Row],[25-May]]</f>
        <v>3726.72</v>
      </c>
      <c r="BI47">
        <f>Product_Region_Monthly_Fixed_Cost[[#This Row],[25-Jun]]+Product_Region_Monthly_Variable_Cost[[#This Row],[25-Jun]]</f>
        <v>9253.2900000000009</v>
      </c>
      <c r="BJ47">
        <f>Product_Region_Monthly_Fixed_Cost[[#This Row],[H1 Fixed Cost]]+Product_Region_Monthly_Variable_Cost[[#This Row],[H1 Variable Cost]]</f>
        <v>38602.555</v>
      </c>
    </row>
    <row r="48" spans="1:62">
      <c r="A48" t="s">
        <v>72</v>
      </c>
      <c r="B48" t="s">
        <v>58</v>
      </c>
      <c r="C48">
        <f>SUMIFS(Table1[Quantity],Table1[ProductID],Table33[[#This Row],[ProductID]],Table1[RegionClean_],Table33[[#This Row],[Region]],Table1[TransactionDate_Clean],"&gt;"&amp;EOMONTH($C$1,-1),Table1[TransactionDate_Clean],"&lt;="&amp;EOMONTH($C$1,0))</f>
        <v>8</v>
      </c>
      <c r="D48">
        <f>SUMIFS(Table1[Quantity],Table1[ProductID],Table33[[#This Row],[ProductID]],Table1[RegionClean_],Table33[[#This Row],[Region]],Table1[TransactionDate_Clean],"&gt;"&amp;EOMONTH($D$1,-1),Table1[TransactionDate_Clean],"&lt;="&amp;EOMONTH($D$1,0))</f>
        <v>12</v>
      </c>
      <c r="E48">
        <f>SUMIFS(Table1[Quantity],Table1[ProductID],Table33[[#This Row],[ProductID]],Table1[RegionClean_],Table33[[#This Row],[Region]],Table1[TransactionDate_Clean],"&gt;"&amp;EOMONTH($E$1,-1),Table1[TransactionDate_Clean],"&lt;="&amp;EOMONTH($E$1,0))</f>
        <v>17</v>
      </c>
      <c r="F48">
        <f>SUMIFS(Table1[Quantity],Table1[ProductID],Table33[[#This Row],[ProductID]],Table1[RegionClean_],Table33[[#This Row],[Region]],Table1[TransactionDate_Clean],"&gt;"&amp;EOMONTH($F$1,-1),Table1[TransactionDate_Clean],"&lt;="&amp;EOMONTH($F$1,0))</f>
        <v>29</v>
      </c>
      <c r="G48">
        <f>SUMIFS(Table1[Quantity],Table1[ProductID],Table33[[#This Row],[ProductID]],Table1[RegionClean_],Table33[[#This Row],[Region]],Table1[TransactionDate_Clean],"&gt;"&amp;EOMONTH($G$1,-1),Table1[TransactionDate_Clean],"&lt;="&amp;EOMONTH($G$1,0))</f>
        <v>23</v>
      </c>
      <c r="H48">
        <f>SUMIFS(Table1[Quantity],Table1[ProductID],Table33[[#This Row],[ProductID]],Table1[RegionClean_],Table33[[#This Row],[Region]],Table1[TransactionDate_Clean],"&gt;"&amp;EOMONTH($H$1,-1),Table1[TransactionDate_Clean],"&lt;="&amp;EOMONTH($H$1,0))</f>
        <v>12</v>
      </c>
      <c r="I48">
        <f>SUM(Table33[[#This Row],[1/1/2025]:[6/1/2025]])</f>
        <v>101</v>
      </c>
      <c r="L48" t="s">
        <v>72</v>
      </c>
      <c r="M48" t="s">
        <v>58</v>
      </c>
      <c r="N48">
        <f>SUMIFS(Table4[ActualCost_Clean],Table4[ProductID_Clean],Product_Month_Actual_Variable_Cost[[#This Row],[ProductID]],Table4[Period_Clean],Product_Month_Actual_Variable_Cost[[#Headers],[2025-01]],Table4[CostType],"Variable")</f>
        <v>185.89</v>
      </c>
      <c r="O48">
        <v>190.57499999999999</v>
      </c>
      <c r="P48">
        <f>SUMIFS(Table4[ActualCost_Clean],Table4[ProductID_Clean],Product_Month_Actual_Variable_Cost[[#This Row],[ProductID]],Table4[Period_Clean],Product_Month_Actual_Variable_Cost[[#Headers],[2025-03]],Table4[CostType],"Variable")</f>
        <v>195.26</v>
      </c>
      <c r="Q48">
        <f>SUMIFS(Table4[ActualCost_Clean],Table4[ProductID_Clean],Product_Month_Actual_Variable_Cost[[#This Row],[ProductID]],Table4[Period_Clean],Product_Month_Actual_Variable_Cost[[#Headers],[2025-04]],Table4[CostType],"Variable")</f>
        <v>185.52</v>
      </c>
      <c r="R48">
        <f>SUMIFS(Table4[ActualCost_Clean],Table4[ProductID_Clean],Product_Month_Actual_Variable_Cost[[#This Row],[ProductID]],Table4[Period_Clean],Product_Month_Actual_Variable_Cost[[#Headers],[2025-05]],Table4[CostType],"Variable")</f>
        <v>188.04</v>
      </c>
      <c r="S48">
        <f>SUMIFS(Table4[ActualCost_Clean],Table4[ProductID_Clean],Product_Month_Actual_Variable_Cost[[#This Row],[ProductID]],Table4[Period_Clean],Product_Month_Actual_Variable_Cost[[#Headers],[2025-06]],Table4[CostType],"Variable")</f>
        <v>181.78</v>
      </c>
      <c r="V48" t="s">
        <v>72</v>
      </c>
      <c r="W48" t="s">
        <v>58</v>
      </c>
      <c r="X48">
        <f>Table33[[#This Row],[1/1/2025]]*Product_Month_Actual_Variable_Cost[[#This Row],[2025-01]]</f>
        <v>1487.12</v>
      </c>
      <c r="Y48">
        <f>Table33[[#This Row],[2/1/2025]]*Product_Month_Actual_Variable_Cost[[#This Row],[2025-02]]</f>
        <v>2286.8999999999996</v>
      </c>
      <c r="Z48">
        <f>Table33[[#This Row],[3/1/2025]]*Product_Month_Actual_Variable_Cost[[#This Row],[2025-03]]</f>
        <v>3319.42</v>
      </c>
      <c r="AA48">
        <f>Table33[[#This Row],[4/1/2025]]*Product_Month_Actual_Variable_Cost[[#This Row],[2025-04]]</f>
        <v>5380.08</v>
      </c>
      <c r="AB48">
        <f>Table33[[#This Row],[5/1/2025]]*Product_Month_Actual_Variable_Cost[[#This Row],[2025-05]]</f>
        <v>4324.92</v>
      </c>
      <c r="AC48">
        <f>Table33[[#This Row],[6/1/2025]]*Product_Month_Actual_Variable_Cost[[#This Row],[2025-06]]</f>
        <v>2181.36</v>
      </c>
      <c r="AD48">
        <f>SUM(Product_Region_Monthly_Variable_Cost[[#This Row],[25-Jan]:[25-Jun]])</f>
        <v>18979.800000000003</v>
      </c>
      <c r="AG48" t="s">
        <v>72</v>
      </c>
      <c r="AH48" t="s">
        <v>58</v>
      </c>
      <c r="AI48">
        <f>SUMIFS(Table4[ActualCost_Clean],Table4[ProductID_Clean],Product_Month_Actual_Fixed_Cost[[#This Row],[ProductID]],Table4[Period_Clean],Product_Month_Actual_Variable_Cost[[#Headers],[2025-01]],Table4[CostType],"Fixed")</f>
        <v>42.81</v>
      </c>
      <c r="AJ48">
        <f>SUMIFS(Table4[ActualCost_Clean],Table4[ProductID_Clean],Product_Month_Actual_Fixed_Cost[[#This Row],[ProductID]],Table4[Period_Clean],Product_Month_Actual_Variable_Cost[[#Headers],[2025-02]],Table4[CostType],"Fixed")</f>
        <v>42.48</v>
      </c>
      <c r="AK48">
        <f>SUMIFS(Table4[ActualCost_Clean],Table4[ProductID_Clean],Product_Month_Actual_Fixed_Cost[[#This Row],[ProductID]],Table4[Period_Clean],Product_Month_Actual_Variable_Cost[[#Headers],[2025-03]],Table4[CostType],"Fixed")</f>
        <v>40.03</v>
      </c>
      <c r="AL48">
        <f>SUMIFS(Table4[ActualCost_Clean],Table4[ProductID_Clean],Product_Month_Actual_Fixed_Cost[[#This Row],[ProductID]],Table4[Period_Clean],Product_Month_Actual_Variable_Cost[[#Headers],[2025-04]],Table4[CostType],"Fixed")</f>
        <v>41.53</v>
      </c>
      <c r="AM48">
        <f>SUMIFS(Table4[ActualCost_Clean],Table4[ProductID_Clean],Product_Month_Actual_Fixed_Cost[[#This Row],[ProductID]],Table4[Period_Clean],Product_Month_Actual_Variable_Cost[[#Headers],[2025-05]],Table4[CostType],"Fixed")</f>
        <v>44.88</v>
      </c>
      <c r="AN48">
        <f>SUMIFS(Table4[ActualCost_Clean],Table4[ProductID_Clean],Product_Month_Actual_Fixed_Cost[[#This Row],[ProductID]],Table4[Period_Clean],Product_Month_Actual_Variable_Cost[[#Headers],[2025-06]],Table4[CostType],"Fixed")</f>
        <v>43.91</v>
      </c>
      <c r="AQ48" t="s">
        <v>72</v>
      </c>
      <c r="AR48" t="s">
        <v>58</v>
      </c>
      <c r="AS48">
        <f>Product_Month_Actual_Fixed_Cost[[#This Row],[2025-01]]*Table33[[#This Row],[1/1/2025]]</f>
        <v>342.48</v>
      </c>
      <c r="AT48">
        <f>Product_Month_Actual_Fixed_Cost[[#This Row],[2025-02]]*Table33[[#This Row],[2/1/2025]]</f>
        <v>509.76</v>
      </c>
      <c r="AU48">
        <f>Product_Month_Actual_Fixed_Cost[[#This Row],[2025-03]]*Table33[[#This Row],[3/1/2025]]</f>
        <v>680.51</v>
      </c>
      <c r="AV48">
        <f>Product_Month_Actual_Fixed_Cost[[#This Row],[2025-04]]*Table33[[#This Row],[4/1/2025]]</f>
        <v>1204.3700000000001</v>
      </c>
      <c r="AW48">
        <f>Product_Month_Actual_Fixed_Cost[[#This Row],[2025-05]]*Table33[[#This Row],[5/1/2025]]</f>
        <v>1032.24</v>
      </c>
      <c r="AX48">
        <f>Product_Month_Actual_Fixed_Cost[[#This Row],[2025-06]]*Table33[[#This Row],[6/1/2025]]</f>
        <v>526.91999999999996</v>
      </c>
      <c r="AY48">
        <f>SUM(Product_Region_Monthly_Fixed_Cost[[#This Row],[25-Jan]:[25-Jun]])</f>
        <v>4296.28</v>
      </c>
      <c r="BB48" t="s">
        <v>72</v>
      </c>
      <c r="BC48" t="s">
        <v>58</v>
      </c>
      <c r="BD48">
        <f>Product_Region_Monthly_Fixed_Cost[[#This Row],[25-Jan]]+Product_Region_Monthly_Variable_Cost[[#This Row],[25-Jan]]</f>
        <v>1829.6</v>
      </c>
      <c r="BE48">
        <f>Product_Region_Monthly_Fixed_Cost[[#This Row],[25-Feb]]+Product_Region_Monthly_Variable_Cost[[#This Row],[25-Feb]]</f>
        <v>2796.66</v>
      </c>
      <c r="BF48">
        <f>Product_Region_Monthly_Fixed_Cost[[#This Row],[25-Mar]]+Product_Region_Monthly_Variable_Cost[[#This Row],[25-Mar]]</f>
        <v>3999.9300000000003</v>
      </c>
      <c r="BG48">
        <f>Product_Region_Monthly_Fixed_Cost[[#This Row],[25-Apr]]+Product_Region_Monthly_Variable_Cost[[#This Row],[25-Apr]]</f>
        <v>6584.45</v>
      </c>
      <c r="BH48">
        <f>Product_Region_Monthly_Fixed_Cost[[#This Row],[25-May]]+Product_Region_Monthly_Variable_Cost[[#This Row],[25-May]]</f>
        <v>5357.16</v>
      </c>
      <c r="BI48">
        <f>Product_Region_Monthly_Fixed_Cost[[#This Row],[25-Jun]]+Product_Region_Monthly_Variable_Cost[[#This Row],[25-Jun]]</f>
        <v>2708.28</v>
      </c>
      <c r="BJ48">
        <f>Product_Region_Monthly_Fixed_Cost[[#This Row],[H1 Fixed Cost]]+Product_Region_Monthly_Variable_Cost[[#This Row],[H1 Variable Cost]]</f>
        <v>23276.080000000002</v>
      </c>
    </row>
    <row r="49" spans="1:62">
      <c r="A49" t="s">
        <v>72</v>
      </c>
      <c r="B49" t="s">
        <v>32</v>
      </c>
      <c r="C49">
        <f>SUMIFS(Table1[Quantity],Table1[ProductID],Table33[[#This Row],[ProductID]],Table1[RegionClean_],Table33[[#This Row],[Region]],Table1[TransactionDate_Clean],"&gt;"&amp;EOMONTH($C$1,-1),Table1[TransactionDate_Clean],"&lt;="&amp;EOMONTH($C$1,0))</f>
        <v>6</v>
      </c>
      <c r="D49">
        <f>SUMIFS(Table1[Quantity],Table1[ProductID],Table33[[#This Row],[ProductID]],Table1[RegionClean_],Table33[[#This Row],[Region]],Table1[TransactionDate_Clean],"&gt;"&amp;EOMONTH($D$1,-1),Table1[TransactionDate_Clean],"&lt;="&amp;EOMONTH($D$1,0))</f>
        <v>17</v>
      </c>
      <c r="E49">
        <f>SUMIFS(Table1[Quantity],Table1[ProductID],Table33[[#This Row],[ProductID]],Table1[RegionClean_],Table33[[#This Row],[Region]],Table1[TransactionDate_Clean],"&gt;"&amp;EOMONTH($E$1,-1),Table1[TransactionDate_Clean],"&lt;="&amp;EOMONTH($E$1,0))</f>
        <v>16</v>
      </c>
      <c r="F49">
        <f>SUMIFS(Table1[Quantity],Table1[ProductID],Table33[[#This Row],[ProductID]],Table1[RegionClean_],Table33[[#This Row],[Region]],Table1[TransactionDate_Clean],"&gt;"&amp;EOMONTH($F$1,-1),Table1[TransactionDate_Clean],"&lt;="&amp;EOMONTH($F$1,0))</f>
        <v>9</v>
      </c>
      <c r="G49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49">
        <f>SUMIFS(Table1[Quantity],Table1[ProductID],Table33[[#This Row],[ProductID]],Table1[RegionClean_],Table33[[#This Row],[Region]],Table1[TransactionDate_Clean],"&gt;"&amp;EOMONTH($H$1,-1),Table1[TransactionDate_Clean],"&lt;="&amp;EOMONTH($H$1,0))</f>
        <v>6</v>
      </c>
      <c r="I49">
        <f>SUM(Table33[[#This Row],[1/1/2025]:[6/1/2025]])</f>
        <v>55</v>
      </c>
      <c r="L49" t="s">
        <v>72</v>
      </c>
      <c r="M49" t="s">
        <v>32</v>
      </c>
      <c r="N49">
        <f>SUMIFS(Table4[ActualCost_Clean],Table4[ProductID_Clean],Product_Month_Actual_Variable_Cost[[#This Row],[ProductID]],Table4[Period_Clean],Product_Month_Actual_Variable_Cost[[#Headers],[2025-01]],Table4[CostType],"Variable")</f>
        <v>185.89</v>
      </c>
      <c r="O49">
        <v>190.57499999999999</v>
      </c>
      <c r="P49">
        <f>SUMIFS(Table4[ActualCost_Clean],Table4[ProductID_Clean],Product_Month_Actual_Variable_Cost[[#This Row],[ProductID]],Table4[Period_Clean],Product_Month_Actual_Variable_Cost[[#Headers],[2025-03]],Table4[CostType],"Variable")</f>
        <v>195.26</v>
      </c>
      <c r="Q49">
        <f>SUMIFS(Table4[ActualCost_Clean],Table4[ProductID_Clean],Product_Month_Actual_Variable_Cost[[#This Row],[ProductID]],Table4[Period_Clean],Product_Month_Actual_Variable_Cost[[#Headers],[2025-04]],Table4[CostType],"Variable")</f>
        <v>185.52</v>
      </c>
      <c r="R49">
        <f>SUMIFS(Table4[ActualCost_Clean],Table4[ProductID_Clean],Product_Month_Actual_Variable_Cost[[#This Row],[ProductID]],Table4[Period_Clean],Product_Month_Actual_Variable_Cost[[#Headers],[2025-05]],Table4[CostType],"Variable")</f>
        <v>188.04</v>
      </c>
      <c r="S49">
        <f>SUMIFS(Table4[ActualCost_Clean],Table4[ProductID_Clean],Product_Month_Actual_Variable_Cost[[#This Row],[ProductID]],Table4[Period_Clean],Product_Month_Actual_Variable_Cost[[#Headers],[2025-06]],Table4[CostType],"Variable")</f>
        <v>181.78</v>
      </c>
      <c r="V49" t="s">
        <v>72</v>
      </c>
      <c r="W49" t="s">
        <v>32</v>
      </c>
      <c r="X49">
        <f>Table33[[#This Row],[1/1/2025]]*Product_Month_Actual_Variable_Cost[[#This Row],[2025-01]]</f>
        <v>1115.3399999999999</v>
      </c>
      <c r="Y49">
        <f>Table33[[#This Row],[2/1/2025]]*Product_Month_Actual_Variable_Cost[[#This Row],[2025-02]]</f>
        <v>3239.7749999999996</v>
      </c>
      <c r="Z49">
        <f>Table33[[#This Row],[3/1/2025]]*Product_Month_Actual_Variable_Cost[[#This Row],[2025-03]]</f>
        <v>3124.16</v>
      </c>
      <c r="AA49">
        <f>Table33[[#This Row],[4/1/2025]]*Product_Month_Actual_Variable_Cost[[#This Row],[2025-04]]</f>
        <v>1669.68</v>
      </c>
      <c r="AB49">
        <f>Table33[[#This Row],[5/1/2025]]*Product_Month_Actual_Variable_Cost[[#This Row],[2025-05]]</f>
        <v>188.04</v>
      </c>
      <c r="AC49">
        <f>Table33[[#This Row],[6/1/2025]]*Product_Month_Actual_Variable_Cost[[#This Row],[2025-06]]</f>
        <v>1090.68</v>
      </c>
      <c r="AD49">
        <f>SUM(Product_Region_Monthly_Variable_Cost[[#This Row],[25-Jan]:[25-Jun]])</f>
        <v>10427.675000000001</v>
      </c>
      <c r="AG49" t="s">
        <v>72</v>
      </c>
      <c r="AH49" t="s">
        <v>32</v>
      </c>
      <c r="AI49">
        <f>SUMIFS(Table4[ActualCost_Clean],Table4[ProductID_Clean],Product_Month_Actual_Fixed_Cost[[#This Row],[ProductID]],Table4[Period_Clean],Product_Month_Actual_Variable_Cost[[#Headers],[2025-01]],Table4[CostType],"Fixed")</f>
        <v>42.81</v>
      </c>
      <c r="AJ49">
        <f>SUMIFS(Table4[ActualCost_Clean],Table4[ProductID_Clean],Product_Month_Actual_Fixed_Cost[[#This Row],[ProductID]],Table4[Period_Clean],Product_Month_Actual_Variable_Cost[[#Headers],[2025-02]],Table4[CostType],"Fixed")</f>
        <v>42.48</v>
      </c>
      <c r="AK49">
        <f>SUMIFS(Table4[ActualCost_Clean],Table4[ProductID_Clean],Product_Month_Actual_Fixed_Cost[[#This Row],[ProductID]],Table4[Period_Clean],Product_Month_Actual_Variable_Cost[[#Headers],[2025-03]],Table4[CostType],"Fixed")</f>
        <v>40.03</v>
      </c>
      <c r="AL49">
        <f>SUMIFS(Table4[ActualCost_Clean],Table4[ProductID_Clean],Product_Month_Actual_Fixed_Cost[[#This Row],[ProductID]],Table4[Period_Clean],Product_Month_Actual_Variable_Cost[[#Headers],[2025-04]],Table4[CostType],"Fixed")</f>
        <v>41.53</v>
      </c>
      <c r="AM49">
        <f>SUMIFS(Table4[ActualCost_Clean],Table4[ProductID_Clean],Product_Month_Actual_Fixed_Cost[[#This Row],[ProductID]],Table4[Period_Clean],Product_Month_Actual_Variable_Cost[[#Headers],[2025-05]],Table4[CostType],"Fixed")</f>
        <v>44.88</v>
      </c>
      <c r="AN49">
        <f>SUMIFS(Table4[ActualCost_Clean],Table4[ProductID_Clean],Product_Month_Actual_Fixed_Cost[[#This Row],[ProductID]],Table4[Period_Clean],Product_Month_Actual_Variable_Cost[[#Headers],[2025-06]],Table4[CostType],"Fixed")</f>
        <v>43.91</v>
      </c>
      <c r="AQ49" t="s">
        <v>72</v>
      </c>
      <c r="AR49" t="s">
        <v>32</v>
      </c>
      <c r="AS49">
        <f>Product_Month_Actual_Fixed_Cost[[#This Row],[2025-01]]*Table33[[#This Row],[1/1/2025]]</f>
        <v>256.86</v>
      </c>
      <c r="AT49">
        <f>Product_Month_Actual_Fixed_Cost[[#This Row],[2025-02]]*Table33[[#This Row],[2/1/2025]]</f>
        <v>722.16</v>
      </c>
      <c r="AU49">
        <f>Product_Month_Actual_Fixed_Cost[[#This Row],[2025-03]]*Table33[[#This Row],[3/1/2025]]</f>
        <v>640.48</v>
      </c>
      <c r="AV49">
        <f>Product_Month_Actual_Fixed_Cost[[#This Row],[2025-04]]*Table33[[#This Row],[4/1/2025]]</f>
        <v>373.77</v>
      </c>
      <c r="AW49">
        <f>Product_Month_Actual_Fixed_Cost[[#This Row],[2025-05]]*Table33[[#This Row],[5/1/2025]]</f>
        <v>44.88</v>
      </c>
      <c r="AX49">
        <f>Product_Month_Actual_Fixed_Cost[[#This Row],[2025-06]]*Table33[[#This Row],[6/1/2025]]</f>
        <v>263.45999999999998</v>
      </c>
      <c r="AY49">
        <f>SUM(Product_Region_Monthly_Fixed_Cost[[#This Row],[25-Jan]:[25-Jun]])</f>
        <v>2301.61</v>
      </c>
      <c r="BB49" t="s">
        <v>72</v>
      </c>
      <c r="BC49" t="s">
        <v>32</v>
      </c>
      <c r="BD49">
        <f>Product_Region_Monthly_Fixed_Cost[[#This Row],[25-Jan]]+Product_Region_Monthly_Variable_Cost[[#This Row],[25-Jan]]</f>
        <v>1372.1999999999998</v>
      </c>
      <c r="BE49">
        <f>Product_Region_Monthly_Fixed_Cost[[#This Row],[25-Feb]]+Product_Region_Monthly_Variable_Cost[[#This Row],[25-Feb]]</f>
        <v>3961.9349999999995</v>
      </c>
      <c r="BF49">
        <f>Product_Region_Monthly_Fixed_Cost[[#This Row],[25-Mar]]+Product_Region_Monthly_Variable_Cost[[#This Row],[25-Mar]]</f>
        <v>3764.64</v>
      </c>
      <c r="BG49">
        <f>Product_Region_Monthly_Fixed_Cost[[#This Row],[25-Apr]]+Product_Region_Monthly_Variable_Cost[[#This Row],[25-Apr]]</f>
        <v>2043.45</v>
      </c>
      <c r="BH49">
        <f>Product_Region_Monthly_Fixed_Cost[[#This Row],[25-May]]+Product_Region_Monthly_Variable_Cost[[#This Row],[25-May]]</f>
        <v>232.92</v>
      </c>
      <c r="BI49">
        <f>Product_Region_Monthly_Fixed_Cost[[#This Row],[25-Jun]]+Product_Region_Monthly_Variable_Cost[[#This Row],[25-Jun]]</f>
        <v>1354.14</v>
      </c>
      <c r="BJ49">
        <f>Product_Region_Monthly_Fixed_Cost[[#This Row],[H1 Fixed Cost]]+Product_Region_Monthly_Variable_Cost[[#This Row],[H1 Variable Cost]]</f>
        <v>12729.285000000002</v>
      </c>
    </row>
    <row r="50" spans="1:62">
      <c r="A50" t="s">
        <v>31</v>
      </c>
      <c r="B50" t="s">
        <v>23</v>
      </c>
      <c r="C50">
        <f>SUMIFS(Table1[Quantity],Table1[ProductID],Table33[[#This Row],[ProductID]],Table1[RegionClean_],Table33[[#This Row],[Region]],Table1[TransactionDate_Clean],"&gt;"&amp;EOMONTH($C$1,-1),Table1[TransactionDate_Clean],"&lt;="&amp;EOMONTH($C$1,0))</f>
        <v>16</v>
      </c>
      <c r="D50">
        <f>SUMIFS(Table1[Quantity],Table1[ProductID],Table33[[#This Row],[ProductID]],Table1[RegionClean_],Table33[[#This Row],[Region]],Table1[TransactionDate_Clean],"&gt;"&amp;EOMONTH($D$1,-1),Table1[TransactionDate_Clean],"&lt;="&amp;EOMONTH($D$1,0))</f>
        <v>10</v>
      </c>
      <c r="E50">
        <f>SUMIFS(Table1[Quantity],Table1[ProductID],Table33[[#This Row],[ProductID]],Table1[RegionClean_],Table33[[#This Row],[Region]],Table1[TransactionDate_Clean],"&gt;"&amp;EOMONTH($E$1,-1),Table1[TransactionDate_Clean],"&lt;="&amp;EOMONTH($E$1,0))</f>
        <v>30</v>
      </c>
      <c r="F50">
        <f>SUMIFS(Table1[Quantity],Table1[ProductID],Table33[[#This Row],[ProductID]],Table1[RegionClean_],Table33[[#This Row],[Region]],Table1[TransactionDate_Clean],"&gt;"&amp;EOMONTH($F$1,-1),Table1[TransactionDate_Clean],"&lt;="&amp;EOMONTH($F$1,0))</f>
        <v>32</v>
      </c>
      <c r="G50">
        <f>SUMIFS(Table1[Quantity],Table1[ProductID],Table33[[#This Row],[ProductID]],Table1[RegionClean_],Table33[[#This Row],[Region]],Table1[TransactionDate_Clean],"&gt;"&amp;EOMONTH($G$1,-1),Table1[TransactionDate_Clean],"&lt;="&amp;EOMONTH($G$1,0))</f>
        <v>32</v>
      </c>
      <c r="H50">
        <f>SUMIFS(Table1[Quantity],Table1[ProductID],Table33[[#This Row],[ProductID]],Table1[RegionClean_],Table33[[#This Row],[Region]],Table1[TransactionDate_Clean],"&gt;"&amp;EOMONTH($H$1,-1),Table1[TransactionDate_Clean],"&lt;="&amp;EOMONTH($H$1,0))</f>
        <v>65</v>
      </c>
      <c r="I50">
        <f>SUM(Table33[[#This Row],[1/1/2025]:[6/1/2025]])</f>
        <v>185</v>
      </c>
      <c r="L50" t="s">
        <v>31</v>
      </c>
      <c r="M50" t="s">
        <v>23</v>
      </c>
      <c r="N50">
        <f>SUMIFS(Table4[ActualCost_Clean],Table4[ProductID_Clean],Product_Month_Actual_Variable_Cost[[#This Row],[ProductID]],Table4[Period_Clean],Product_Month_Actual_Variable_Cost[[#Headers],[2025-01]],Table4[CostType],"Variable")</f>
        <v>304.11</v>
      </c>
      <c r="O50">
        <f>SUMIFS(Table4[ActualCost_Clean],Table4[ProductID_Clean],Product_Month_Actual_Variable_Cost[[#This Row],[ProductID]],Table4[Period_Clean],Product_Month_Actual_Variable_Cost[[#Headers],[2025-02]],Table4[CostType],"Variable")</f>
        <v>285.66000000000003</v>
      </c>
      <c r="P50">
        <f>SUMIFS(Table4[ActualCost_Clean],Table4[ProductID_Clean],Product_Month_Actual_Variable_Cost[[#This Row],[ProductID]],Table4[Period_Clean],Product_Month_Actual_Variable_Cost[[#Headers],[2025-03]],Table4[CostType],"Variable")</f>
        <v>288.19</v>
      </c>
      <c r="Q50">
        <f>SUMIFS(Table4[ActualCost_Clean],Table4[ProductID_Clean],Product_Month_Actual_Variable_Cost[[#This Row],[ProductID]],Table4[Period_Clean],Product_Month_Actual_Variable_Cost[[#Headers],[2025-04]],Table4[CostType],"Variable")</f>
        <v>308.39</v>
      </c>
      <c r="R50">
        <f>SUMIFS(Table4[ActualCost_Clean],Table4[ProductID_Clean],Product_Month_Actual_Variable_Cost[[#This Row],[ProductID]],Table4[Period_Clean],Product_Month_Actual_Variable_Cost[[#Headers],[2025-05]],Table4[CostType],"Variable")</f>
        <v>312.18</v>
      </c>
      <c r="S50">
        <f>SUMIFS(Table4[ActualCost_Clean],Table4[ProductID_Clean],Product_Month_Actual_Variable_Cost[[#This Row],[ProductID]],Table4[Period_Clean],Product_Month_Actual_Variable_Cost[[#Headers],[2025-06]],Table4[CostType],"Variable")</f>
        <v>316.85000000000002</v>
      </c>
      <c r="V50" t="s">
        <v>31</v>
      </c>
      <c r="W50" t="s">
        <v>23</v>
      </c>
      <c r="X50">
        <f>Table33[[#This Row],[1/1/2025]]*Product_Month_Actual_Variable_Cost[[#This Row],[2025-01]]</f>
        <v>4865.76</v>
      </c>
      <c r="Y50">
        <f>Table33[[#This Row],[2/1/2025]]*Product_Month_Actual_Variable_Cost[[#This Row],[2025-02]]</f>
        <v>2856.6000000000004</v>
      </c>
      <c r="Z50">
        <f>Table33[[#This Row],[3/1/2025]]*Product_Month_Actual_Variable_Cost[[#This Row],[2025-03]]</f>
        <v>8645.7000000000007</v>
      </c>
      <c r="AA50">
        <f>Table33[[#This Row],[4/1/2025]]*Product_Month_Actual_Variable_Cost[[#This Row],[2025-04]]</f>
        <v>9868.48</v>
      </c>
      <c r="AB50">
        <f>Table33[[#This Row],[5/1/2025]]*Product_Month_Actual_Variable_Cost[[#This Row],[2025-05]]</f>
        <v>9989.76</v>
      </c>
      <c r="AC50">
        <f>Table33[[#This Row],[6/1/2025]]*Product_Month_Actual_Variable_Cost[[#This Row],[2025-06]]</f>
        <v>20595.25</v>
      </c>
      <c r="AD50">
        <f>SUM(Product_Region_Monthly_Variable_Cost[[#This Row],[25-Jan]:[25-Jun]])</f>
        <v>56821.55</v>
      </c>
      <c r="AG50" t="s">
        <v>31</v>
      </c>
      <c r="AH50" t="s">
        <v>23</v>
      </c>
      <c r="AI50">
        <f>SUMIFS(Table4[ActualCost_Clean],Table4[ProductID_Clean],Product_Month_Actual_Fixed_Cost[[#This Row],[ProductID]],Table4[Period_Clean],Product_Month_Actual_Variable_Cost[[#Headers],[2025-01]],Table4[CostType],"Fixed")</f>
        <v>58.88</v>
      </c>
      <c r="AJ50">
        <f>SUMIFS(Table4[ActualCost_Clean],Table4[ProductID_Clean],Product_Month_Actual_Fixed_Cost[[#This Row],[ProductID]],Table4[Period_Clean],Product_Month_Actual_Variable_Cost[[#Headers],[2025-02]],Table4[CostType],"Fixed")</f>
        <v>53.16</v>
      </c>
      <c r="AK50">
        <f>SUMIFS(Table4[ActualCost_Clean],Table4[ProductID_Clean],Product_Month_Actual_Fixed_Cost[[#This Row],[ProductID]],Table4[Period_Clean],Product_Month_Actual_Variable_Cost[[#Headers],[2025-03]],Table4[CostType],"Fixed")</f>
        <v>55</v>
      </c>
      <c r="AL50">
        <f>SUMIFS(Table4[ActualCost_Clean],Table4[ProductID_Clean],Product_Month_Actual_Fixed_Cost[[#This Row],[ProductID]],Table4[Period_Clean],Product_Month_Actual_Variable_Cost[[#Headers],[2025-04]],Table4[CostType],"Fixed")</f>
        <v>54.69</v>
      </c>
      <c r="AM50">
        <f>SUMIFS(Table4[ActualCost_Clean],Table4[ProductID_Clean],Product_Month_Actual_Fixed_Cost[[#This Row],[ProductID]],Table4[Period_Clean],Product_Month_Actual_Variable_Cost[[#Headers],[2025-05]],Table4[CostType],"Fixed")</f>
        <v>54.68</v>
      </c>
      <c r="AN50">
        <f>SUMIFS(Table4[ActualCost_Clean],Table4[ProductID_Clean],Product_Month_Actual_Fixed_Cost[[#This Row],[ProductID]],Table4[Period_Clean],Product_Month_Actual_Variable_Cost[[#Headers],[2025-06]],Table4[CostType],"Fixed")</f>
        <v>52.52</v>
      </c>
      <c r="AQ50" t="s">
        <v>31</v>
      </c>
      <c r="AR50" t="s">
        <v>23</v>
      </c>
      <c r="AS50">
        <f>Product_Month_Actual_Fixed_Cost[[#This Row],[2025-01]]*Table33[[#This Row],[1/1/2025]]</f>
        <v>942.08</v>
      </c>
      <c r="AT50">
        <f>Product_Month_Actual_Fixed_Cost[[#This Row],[2025-02]]*Table33[[#This Row],[2/1/2025]]</f>
        <v>531.59999999999991</v>
      </c>
      <c r="AU50">
        <f>Product_Month_Actual_Fixed_Cost[[#This Row],[2025-03]]*Table33[[#This Row],[3/1/2025]]</f>
        <v>1650</v>
      </c>
      <c r="AV50">
        <f>Product_Month_Actual_Fixed_Cost[[#This Row],[2025-04]]*Table33[[#This Row],[4/1/2025]]</f>
        <v>1750.08</v>
      </c>
      <c r="AW50">
        <f>Product_Month_Actual_Fixed_Cost[[#This Row],[2025-05]]*Table33[[#This Row],[5/1/2025]]</f>
        <v>1749.76</v>
      </c>
      <c r="AX50">
        <f>Product_Month_Actual_Fixed_Cost[[#This Row],[2025-06]]*Table33[[#This Row],[6/1/2025]]</f>
        <v>3413.8</v>
      </c>
      <c r="AY50">
        <f>SUM(Product_Region_Monthly_Fixed_Cost[[#This Row],[25-Jan]:[25-Jun]])</f>
        <v>10037.32</v>
      </c>
      <c r="BB50" t="s">
        <v>31</v>
      </c>
      <c r="BC50" t="s">
        <v>23</v>
      </c>
      <c r="BD50">
        <f>Product_Region_Monthly_Fixed_Cost[[#This Row],[25-Jan]]+Product_Region_Monthly_Variable_Cost[[#This Row],[25-Jan]]</f>
        <v>5807.84</v>
      </c>
      <c r="BE50">
        <f>Product_Region_Monthly_Fixed_Cost[[#This Row],[25-Feb]]+Product_Region_Monthly_Variable_Cost[[#This Row],[25-Feb]]</f>
        <v>3388.2000000000003</v>
      </c>
      <c r="BF50">
        <f>Product_Region_Monthly_Fixed_Cost[[#This Row],[25-Mar]]+Product_Region_Monthly_Variable_Cost[[#This Row],[25-Mar]]</f>
        <v>10295.700000000001</v>
      </c>
      <c r="BG50">
        <f>Product_Region_Monthly_Fixed_Cost[[#This Row],[25-Apr]]+Product_Region_Monthly_Variable_Cost[[#This Row],[25-Apr]]</f>
        <v>11618.56</v>
      </c>
      <c r="BH50">
        <f>Product_Region_Monthly_Fixed_Cost[[#This Row],[25-May]]+Product_Region_Monthly_Variable_Cost[[#This Row],[25-May]]</f>
        <v>11739.52</v>
      </c>
      <c r="BI50">
        <f>Product_Region_Monthly_Fixed_Cost[[#This Row],[25-Jun]]+Product_Region_Monthly_Variable_Cost[[#This Row],[25-Jun]]</f>
        <v>24009.05</v>
      </c>
      <c r="BJ50">
        <f>Product_Region_Monthly_Fixed_Cost[[#This Row],[H1 Fixed Cost]]+Product_Region_Monthly_Variable_Cost[[#This Row],[H1 Variable Cost]]</f>
        <v>66858.87</v>
      </c>
    </row>
    <row r="51" spans="1:62">
      <c r="A51" t="s">
        <v>31</v>
      </c>
      <c r="B51" t="s">
        <v>47</v>
      </c>
      <c r="C51">
        <f>SUMIFS(Table1[Quantity],Table1[ProductID],Table33[[#This Row],[ProductID]],Table1[RegionClean_],Table33[[#This Row],[Region]],Table1[TransactionDate_Clean],"&gt;"&amp;EOMONTH($C$1,-1),Table1[TransactionDate_Clean],"&lt;="&amp;EOMONTH($C$1,0))</f>
        <v>33</v>
      </c>
      <c r="D51">
        <f>SUMIFS(Table1[Quantity],Table1[ProductID],Table33[[#This Row],[ProductID]],Table1[RegionClean_],Table33[[#This Row],[Region]],Table1[TransactionDate_Clean],"&gt;"&amp;EOMONTH($D$1,-1),Table1[TransactionDate_Clean],"&lt;="&amp;EOMONTH($D$1,0))</f>
        <v>10</v>
      </c>
      <c r="E51">
        <f>SUMIFS(Table1[Quantity],Table1[ProductID],Table33[[#This Row],[ProductID]],Table1[RegionClean_],Table33[[#This Row],[Region]],Table1[TransactionDate_Clean],"&gt;"&amp;EOMONTH($E$1,-1),Table1[TransactionDate_Clean],"&lt;="&amp;EOMONTH($E$1,0))</f>
        <v>9</v>
      </c>
      <c r="F51">
        <f>SUMIFS(Table1[Quantity],Table1[ProductID],Table33[[#This Row],[ProductID]],Table1[RegionClean_],Table33[[#This Row],[Region]],Table1[TransactionDate_Clean],"&gt;"&amp;EOMONTH($F$1,-1),Table1[TransactionDate_Clean],"&lt;="&amp;EOMONTH($F$1,0))</f>
        <v>32</v>
      </c>
      <c r="G51">
        <f>SUMIFS(Table1[Quantity],Table1[ProductID],Table33[[#This Row],[ProductID]],Table1[RegionClean_],Table33[[#This Row],[Region]],Table1[TransactionDate_Clean],"&gt;"&amp;EOMONTH($G$1,-1),Table1[TransactionDate_Clean],"&lt;="&amp;EOMONTH($G$1,0))</f>
        <v>4</v>
      </c>
      <c r="H51">
        <f>SUMIFS(Table1[Quantity],Table1[ProductID],Table33[[#This Row],[ProductID]],Table1[RegionClean_],Table33[[#This Row],[Region]],Table1[TransactionDate_Clean],"&gt;"&amp;EOMONTH($H$1,-1),Table1[TransactionDate_Clean],"&lt;="&amp;EOMONTH($H$1,0))</f>
        <v>18</v>
      </c>
      <c r="I51">
        <f>SUM(Table33[[#This Row],[1/1/2025]:[6/1/2025]])</f>
        <v>106</v>
      </c>
      <c r="L51" t="s">
        <v>31</v>
      </c>
      <c r="M51" t="s">
        <v>47</v>
      </c>
      <c r="N51">
        <f>SUMIFS(Table4[ActualCost_Clean],Table4[ProductID_Clean],Product_Month_Actual_Variable_Cost[[#This Row],[ProductID]],Table4[Period_Clean],Product_Month_Actual_Variable_Cost[[#Headers],[2025-01]],Table4[CostType],"Variable")</f>
        <v>304.11</v>
      </c>
      <c r="O51">
        <f>SUMIFS(Table4[ActualCost_Clean],Table4[ProductID_Clean],Product_Month_Actual_Variable_Cost[[#This Row],[ProductID]],Table4[Period_Clean],Product_Month_Actual_Variable_Cost[[#Headers],[2025-02]],Table4[CostType],"Variable")</f>
        <v>285.66000000000003</v>
      </c>
      <c r="P51">
        <f>SUMIFS(Table4[ActualCost_Clean],Table4[ProductID_Clean],Product_Month_Actual_Variable_Cost[[#This Row],[ProductID]],Table4[Period_Clean],Product_Month_Actual_Variable_Cost[[#Headers],[2025-03]],Table4[CostType],"Variable")</f>
        <v>288.19</v>
      </c>
      <c r="Q51">
        <f>SUMIFS(Table4[ActualCost_Clean],Table4[ProductID_Clean],Product_Month_Actual_Variable_Cost[[#This Row],[ProductID]],Table4[Period_Clean],Product_Month_Actual_Variable_Cost[[#Headers],[2025-04]],Table4[CostType],"Variable")</f>
        <v>308.39</v>
      </c>
      <c r="R51">
        <f>SUMIFS(Table4[ActualCost_Clean],Table4[ProductID_Clean],Product_Month_Actual_Variable_Cost[[#This Row],[ProductID]],Table4[Period_Clean],Product_Month_Actual_Variable_Cost[[#Headers],[2025-05]],Table4[CostType],"Variable")</f>
        <v>312.18</v>
      </c>
      <c r="S51">
        <f>SUMIFS(Table4[ActualCost_Clean],Table4[ProductID_Clean],Product_Month_Actual_Variable_Cost[[#This Row],[ProductID]],Table4[Period_Clean],Product_Month_Actual_Variable_Cost[[#Headers],[2025-06]],Table4[CostType],"Variable")</f>
        <v>316.85000000000002</v>
      </c>
      <c r="V51" t="s">
        <v>31</v>
      </c>
      <c r="W51" t="s">
        <v>47</v>
      </c>
      <c r="X51">
        <f>Table33[[#This Row],[1/1/2025]]*Product_Month_Actual_Variable_Cost[[#This Row],[2025-01]]</f>
        <v>10035.630000000001</v>
      </c>
      <c r="Y51">
        <f>Table33[[#This Row],[2/1/2025]]*Product_Month_Actual_Variable_Cost[[#This Row],[2025-02]]</f>
        <v>2856.6000000000004</v>
      </c>
      <c r="Z51">
        <f>Table33[[#This Row],[3/1/2025]]*Product_Month_Actual_Variable_Cost[[#This Row],[2025-03]]</f>
        <v>2593.71</v>
      </c>
      <c r="AA51">
        <f>Table33[[#This Row],[4/1/2025]]*Product_Month_Actual_Variable_Cost[[#This Row],[2025-04]]</f>
        <v>9868.48</v>
      </c>
      <c r="AB51">
        <f>Table33[[#This Row],[5/1/2025]]*Product_Month_Actual_Variable_Cost[[#This Row],[2025-05]]</f>
        <v>1248.72</v>
      </c>
      <c r="AC51">
        <f>Table33[[#This Row],[6/1/2025]]*Product_Month_Actual_Variable_Cost[[#This Row],[2025-06]]</f>
        <v>5703.3</v>
      </c>
      <c r="AD51">
        <f>SUM(Product_Region_Monthly_Variable_Cost[[#This Row],[25-Jan]:[25-Jun]])</f>
        <v>32306.440000000002</v>
      </c>
      <c r="AG51" t="s">
        <v>31</v>
      </c>
      <c r="AH51" t="s">
        <v>47</v>
      </c>
      <c r="AI51">
        <f>SUMIFS(Table4[ActualCost_Clean],Table4[ProductID_Clean],Product_Month_Actual_Fixed_Cost[[#This Row],[ProductID]],Table4[Period_Clean],Product_Month_Actual_Variable_Cost[[#Headers],[2025-01]],Table4[CostType],"Fixed")</f>
        <v>58.88</v>
      </c>
      <c r="AJ51">
        <f>SUMIFS(Table4[ActualCost_Clean],Table4[ProductID_Clean],Product_Month_Actual_Fixed_Cost[[#This Row],[ProductID]],Table4[Period_Clean],Product_Month_Actual_Variable_Cost[[#Headers],[2025-02]],Table4[CostType],"Fixed")</f>
        <v>53.16</v>
      </c>
      <c r="AK51">
        <f>SUMIFS(Table4[ActualCost_Clean],Table4[ProductID_Clean],Product_Month_Actual_Fixed_Cost[[#This Row],[ProductID]],Table4[Period_Clean],Product_Month_Actual_Variable_Cost[[#Headers],[2025-03]],Table4[CostType],"Fixed")</f>
        <v>55</v>
      </c>
      <c r="AL51">
        <f>SUMIFS(Table4[ActualCost_Clean],Table4[ProductID_Clean],Product_Month_Actual_Fixed_Cost[[#This Row],[ProductID]],Table4[Period_Clean],Product_Month_Actual_Variable_Cost[[#Headers],[2025-04]],Table4[CostType],"Fixed")</f>
        <v>54.69</v>
      </c>
      <c r="AM51">
        <f>SUMIFS(Table4[ActualCost_Clean],Table4[ProductID_Clean],Product_Month_Actual_Fixed_Cost[[#This Row],[ProductID]],Table4[Period_Clean],Product_Month_Actual_Variable_Cost[[#Headers],[2025-05]],Table4[CostType],"Fixed")</f>
        <v>54.68</v>
      </c>
      <c r="AN51">
        <f>SUMIFS(Table4[ActualCost_Clean],Table4[ProductID_Clean],Product_Month_Actual_Fixed_Cost[[#This Row],[ProductID]],Table4[Period_Clean],Product_Month_Actual_Variable_Cost[[#Headers],[2025-06]],Table4[CostType],"Fixed")</f>
        <v>52.52</v>
      </c>
      <c r="AQ51" t="s">
        <v>31</v>
      </c>
      <c r="AR51" t="s">
        <v>47</v>
      </c>
      <c r="AS51">
        <f>Product_Month_Actual_Fixed_Cost[[#This Row],[2025-01]]*Table33[[#This Row],[1/1/2025]]</f>
        <v>1943.0400000000002</v>
      </c>
      <c r="AT51">
        <f>Product_Month_Actual_Fixed_Cost[[#This Row],[2025-02]]*Table33[[#This Row],[2/1/2025]]</f>
        <v>531.59999999999991</v>
      </c>
      <c r="AU51">
        <f>Product_Month_Actual_Fixed_Cost[[#This Row],[2025-03]]*Table33[[#This Row],[3/1/2025]]</f>
        <v>495</v>
      </c>
      <c r="AV51">
        <f>Product_Month_Actual_Fixed_Cost[[#This Row],[2025-04]]*Table33[[#This Row],[4/1/2025]]</f>
        <v>1750.08</v>
      </c>
      <c r="AW51">
        <f>Product_Month_Actual_Fixed_Cost[[#This Row],[2025-05]]*Table33[[#This Row],[5/1/2025]]</f>
        <v>218.72</v>
      </c>
      <c r="AX51">
        <f>Product_Month_Actual_Fixed_Cost[[#This Row],[2025-06]]*Table33[[#This Row],[6/1/2025]]</f>
        <v>945.36</v>
      </c>
      <c r="AY51">
        <f>SUM(Product_Region_Monthly_Fixed_Cost[[#This Row],[25-Jan]:[25-Jun]])</f>
        <v>5883.8</v>
      </c>
      <c r="BB51" t="s">
        <v>31</v>
      </c>
      <c r="BC51" t="s">
        <v>47</v>
      </c>
      <c r="BD51">
        <f>Product_Region_Monthly_Fixed_Cost[[#This Row],[25-Jan]]+Product_Region_Monthly_Variable_Cost[[#This Row],[25-Jan]]</f>
        <v>11978.670000000002</v>
      </c>
      <c r="BE51">
        <f>Product_Region_Monthly_Fixed_Cost[[#This Row],[25-Feb]]+Product_Region_Monthly_Variable_Cost[[#This Row],[25-Feb]]</f>
        <v>3388.2000000000003</v>
      </c>
      <c r="BF51">
        <f>Product_Region_Monthly_Fixed_Cost[[#This Row],[25-Mar]]+Product_Region_Monthly_Variable_Cost[[#This Row],[25-Mar]]</f>
        <v>3088.71</v>
      </c>
      <c r="BG51">
        <f>Product_Region_Monthly_Fixed_Cost[[#This Row],[25-Apr]]+Product_Region_Monthly_Variable_Cost[[#This Row],[25-Apr]]</f>
        <v>11618.56</v>
      </c>
      <c r="BH51">
        <f>Product_Region_Monthly_Fixed_Cost[[#This Row],[25-May]]+Product_Region_Monthly_Variable_Cost[[#This Row],[25-May]]</f>
        <v>1467.44</v>
      </c>
      <c r="BI51">
        <f>Product_Region_Monthly_Fixed_Cost[[#This Row],[25-Jun]]+Product_Region_Monthly_Variable_Cost[[#This Row],[25-Jun]]</f>
        <v>6648.66</v>
      </c>
      <c r="BJ51">
        <f>Product_Region_Monthly_Fixed_Cost[[#This Row],[H1 Fixed Cost]]+Product_Region_Monthly_Variable_Cost[[#This Row],[H1 Variable Cost]]</f>
        <v>38190.240000000005</v>
      </c>
    </row>
    <row r="52" spans="1:62">
      <c r="A52" t="s">
        <v>31</v>
      </c>
      <c r="B52" t="s">
        <v>58</v>
      </c>
      <c r="C52">
        <f>SUMIFS(Table1[Quantity],Table1[ProductID],Table33[[#This Row],[ProductID]],Table1[RegionClean_],Table33[[#This Row],[Region]],Table1[TransactionDate_Clean],"&gt;"&amp;EOMONTH($C$1,-1),Table1[TransactionDate_Clean],"&lt;="&amp;EOMONTH($C$1,0))</f>
        <v>4</v>
      </c>
      <c r="D52">
        <f>SUMIFS(Table1[Quantity],Table1[ProductID],Table33[[#This Row],[ProductID]],Table1[RegionClean_],Table33[[#This Row],[Region]],Table1[TransactionDate_Clean],"&gt;"&amp;EOMONTH($D$1,-1),Table1[TransactionDate_Clean],"&lt;="&amp;EOMONTH($D$1,0))</f>
        <v>7</v>
      </c>
      <c r="E52">
        <f>SUMIFS(Table1[Quantity],Table1[ProductID],Table33[[#This Row],[ProductID]],Table1[RegionClean_],Table33[[#This Row],[Region]],Table1[TransactionDate_Clean],"&gt;"&amp;EOMONTH($E$1,-1),Table1[TransactionDate_Clean],"&lt;="&amp;EOMONTH($E$1,0))</f>
        <v>8</v>
      </c>
      <c r="F52">
        <f>SUMIFS(Table1[Quantity],Table1[ProductID],Table33[[#This Row],[ProductID]],Table1[RegionClean_],Table33[[#This Row],[Region]],Table1[TransactionDate_Clean],"&gt;"&amp;EOMONTH($F$1,-1),Table1[TransactionDate_Clean],"&lt;="&amp;EOMONTH($F$1,0))</f>
        <v>18</v>
      </c>
      <c r="G52">
        <f>SUMIFS(Table1[Quantity],Table1[ProductID],Table33[[#This Row],[ProductID]],Table1[RegionClean_],Table33[[#This Row],[Region]],Table1[TransactionDate_Clean],"&gt;"&amp;EOMONTH($G$1,-1),Table1[TransactionDate_Clean],"&lt;="&amp;EOMONTH($G$1,0))</f>
        <v>12</v>
      </c>
      <c r="H52">
        <f>SUMIFS(Table1[Quantity],Table1[ProductID],Table33[[#This Row],[ProductID]],Table1[RegionClean_],Table33[[#This Row],[Region]],Table1[TransactionDate_Clean],"&gt;"&amp;EOMONTH($H$1,-1),Table1[TransactionDate_Clean],"&lt;="&amp;EOMONTH($H$1,0))</f>
        <v>5</v>
      </c>
      <c r="I52">
        <f>SUM(Table33[[#This Row],[1/1/2025]:[6/1/2025]])</f>
        <v>54</v>
      </c>
      <c r="L52" t="s">
        <v>31</v>
      </c>
      <c r="M52" t="s">
        <v>58</v>
      </c>
      <c r="N52">
        <f>SUMIFS(Table4[ActualCost_Clean],Table4[ProductID_Clean],Product_Month_Actual_Variable_Cost[[#This Row],[ProductID]],Table4[Period_Clean],Product_Month_Actual_Variable_Cost[[#Headers],[2025-01]],Table4[CostType],"Variable")</f>
        <v>304.11</v>
      </c>
      <c r="O52">
        <f>SUMIFS(Table4[ActualCost_Clean],Table4[ProductID_Clean],Product_Month_Actual_Variable_Cost[[#This Row],[ProductID]],Table4[Period_Clean],Product_Month_Actual_Variable_Cost[[#Headers],[2025-02]],Table4[CostType],"Variable")</f>
        <v>285.66000000000003</v>
      </c>
      <c r="P52">
        <f>SUMIFS(Table4[ActualCost_Clean],Table4[ProductID_Clean],Product_Month_Actual_Variable_Cost[[#This Row],[ProductID]],Table4[Period_Clean],Product_Month_Actual_Variable_Cost[[#Headers],[2025-03]],Table4[CostType],"Variable")</f>
        <v>288.19</v>
      </c>
      <c r="Q52">
        <f>SUMIFS(Table4[ActualCost_Clean],Table4[ProductID_Clean],Product_Month_Actual_Variable_Cost[[#This Row],[ProductID]],Table4[Period_Clean],Product_Month_Actual_Variable_Cost[[#Headers],[2025-04]],Table4[CostType],"Variable")</f>
        <v>308.39</v>
      </c>
      <c r="R52">
        <f>SUMIFS(Table4[ActualCost_Clean],Table4[ProductID_Clean],Product_Month_Actual_Variable_Cost[[#This Row],[ProductID]],Table4[Period_Clean],Product_Month_Actual_Variable_Cost[[#Headers],[2025-05]],Table4[CostType],"Variable")</f>
        <v>312.18</v>
      </c>
      <c r="S52">
        <f>SUMIFS(Table4[ActualCost_Clean],Table4[ProductID_Clean],Product_Month_Actual_Variable_Cost[[#This Row],[ProductID]],Table4[Period_Clean],Product_Month_Actual_Variable_Cost[[#Headers],[2025-06]],Table4[CostType],"Variable")</f>
        <v>316.85000000000002</v>
      </c>
      <c r="V52" t="s">
        <v>31</v>
      </c>
      <c r="W52" t="s">
        <v>58</v>
      </c>
      <c r="X52">
        <f>Table33[[#This Row],[1/1/2025]]*Product_Month_Actual_Variable_Cost[[#This Row],[2025-01]]</f>
        <v>1216.44</v>
      </c>
      <c r="Y52">
        <f>Table33[[#This Row],[2/1/2025]]*Product_Month_Actual_Variable_Cost[[#This Row],[2025-02]]</f>
        <v>1999.6200000000001</v>
      </c>
      <c r="Z52">
        <f>Table33[[#This Row],[3/1/2025]]*Product_Month_Actual_Variable_Cost[[#This Row],[2025-03]]</f>
        <v>2305.52</v>
      </c>
      <c r="AA52">
        <f>Table33[[#This Row],[4/1/2025]]*Product_Month_Actual_Variable_Cost[[#This Row],[2025-04]]</f>
        <v>5551.0199999999995</v>
      </c>
      <c r="AB52">
        <f>Table33[[#This Row],[5/1/2025]]*Product_Month_Actual_Variable_Cost[[#This Row],[2025-05]]</f>
        <v>3746.16</v>
      </c>
      <c r="AC52">
        <f>Table33[[#This Row],[6/1/2025]]*Product_Month_Actual_Variable_Cost[[#This Row],[2025-06]]</f>
        <v>1584.25</v>
      </c>
      <c r="AD52">
        <f>SUM(Product_Region_Monthly_Variable_Cost[[#This Row],[25-Jan]:[25-Jun]])</f>
        <v>16403.009999999998</v>
      </c>
      <c r="AG52" t="s">
        <v>31</v>
      </c>
      <c r="AH52" t="s">
        <v>58</v>
      </c>
      <c r="AI52">
        <f>SUMIFS(Table4[ActualCost_Clean],Table4[ProductID_Clean],Product_Month_Actual_Fixed_Cost[[#This Row],[ProductID]],Table4[Period_Clean],Product_Month_Actual_Variable_Cost[[#Headers],[2025-01]],Table4[CostType],"Fixed")</f>
        <v>58.88</v>
      </c>
      <c r="AJ52">
        <f>SUMIFS(Table4[ActualCost_Clean],Table4[ProductID_Clean],Product_Month_Actual_Fixed_Cost[[#This Row],[ProductID]],Table4[Period_Clean],Product_Month_Actual_Variable_Cost[[#Headers],[2025-02]],Table4[CostType],"Fixed")</f>
        <v>53.16</v>
      </c>
      <c r="AK52">
        <f>SUMIFS(Table4[ActualCost_Clean],Table4[ProductID_Clean],Product_Month_Actual_Fixed_Cost[[#This Row],[ProductID]],Table4[Period_Clean],Product_Month_Actual_Variable_Cost[[#Headers],[2025-03]],Table4[CostType],"Fixed")</f>
        <v>55</v>
      </c>
      <c r="AL52">
        <f>SUMIFS(Table4[ActualCost_Clean],Table4[ProductID_Clean],Product_Month_Actual_Fixed_Cost[[#This Row],[ProductID]],Table4[Period_Clean],Product_Month_Actual_Variable_Cost[[#Headers],[2025-04]],Table4[CostType],"Fixed")</f>
        <v>54.69</v>
      </c>
      <c r="AM52">
        <f>SUMIFS(Table4[ActualCost_Clean],Table4[ProductID_Clean],Product_Month_Actual_Fixed_Cost[[#This Row],[ProductID]],Table4[Period_Clean],Product_Month_Actual_Variable_Cost[[#Headers],[2025-05]],Table4[CostType],"Fixed")</f>
        <v>54.68</v>
      </c>
      <c r="AN52">
        <f>SUMIFS(Table4[ActualCost_Clean],Table4[ProductID_Clean],Product_Month_Actual_Fixed_Cost[[#This Row],[ProductID]],Table4[Period_Clean],Product_Month_Actual_Variable_Cost[[#Headers],[2025-06]],Table4[CostType],"Fixed")</f>
        <v>52.52</v>
      </c>
      <c r="AQ52" t="s">
        <v>31</v>
      </c>
      <c r="AR52" t="s">
        <v>58</v>
      </c>
      <c r="AS52">
        <f>Product_Month_Actual_Fixed_Cost[[#This Row],[2025-01]]*Table33[[#This Row],[1/1/2025]]</f>
        <v>235.52</v>
      </c>
      <c r="AT52">
        <f>Product_Month_Actual_Fixed_Cost[[#This Row],[2025-02]]*Table33[[#This Row],[2/1/2025]]</f>
        <v>372.12</v>
      </c>
      <c r="AU52">
        <f>Product_Month_Actual_Fixed_Cost[[#This Row],[2025-03]]*Table33[[#This Row],[3/1/2025]]</f>
        <v>440</v>
      </c>
      <c r="AV52">
        <f>Product_Month_Actual_Fixed_Cost[[#This Row],[2025-04]]*Table33[[#This Row],[4/1/2025]]</f>
        <v>984.42</v>
      </c>
      <c r="AW52">
        <f>Product_Month_Actual_Fixed_Cost[[#This Row],[2025-05]]*Table33[[#This Row],[5/1/2025]]</f>
        <v>656.16</v>
      </c>
      <c r="AX52">
        <f>Product_Month_Actual_Fixed_Cost[[#This Row],[2025-06]]*Table33[[#This Row],[6/1/2025]]</f>
        <v>262.60000000000002</v>
      </c>
      <c r="AY52">
        <f>SUM(Product_Region_Monthly_Fixed_Cost[[#This Row],[25-Jan]:[25-Jun]])</f>
        <v>2950.8199999999997</v>
      </c>
      <c r="BB52" t="s">
        <v>31</v>
      </c>
      <c r="BC52" t="s">
        <v>58</v>
      </c>
      <c r="BD52">
        <f>Product_Region_Monthly_Fixed_Cost[[#This Row],[25-Jan]]+Product_Region_Monthly_Variable_Cost[[#This Row],[25-Jan]]</f>
        <v>1451.96</v>
      </c>
      <c r="BE52">
        <f>Product_Region_Monthly_Fixed_Cost[[#This Row],[25-Feb]]+Product_Region_Monthly_Variable_Cost[[#This Row],[25-Feb]]</f>
        <v>2371.7400000000002</v>
      </c>
      <c r="BF52">
        <f>Product_Region_Monthly_Fixed_Cost[[#This Row],[25-Mar]]+Product_Region_Monthly_Variable_Cost[[#This Row],[25-Mar]]</f>
        <v>2745.52</v>
      </c>
      <c r="BG52">
        <f>Product_Region_Monthly_Fixed_Cost[[#This Row],[25-Apr]]+Product_Region_Monthly_Variable_Cost[[#This Row],[25-Apr]]</f>
        <v>6535.44</v>
      </c>
      <c r="BH52">
        <f>Product_Region_Monthly_Fixed_Cost[[#This Row],[25-May]]+Product_Region_Monthly_Variable_Cost[[#This Row],[25-May]]</f>
        <v>4402.32</v>
      </c>
      <c r="BI52">
        <f>Product_Region_Monthly_Fixed_Cost[[#This Row],[25-Jun]]+Product_Region_Monthly_Variable_Cost[[#This Row],[25-Jun]]</f>
        <v>1846.85</v>
      </c>
      <c r="BJ52">
        <f>Product_Region_Monthly_Fixed_Cost[[#This Row],[H1 Fixed Cost]]+Product_Region_Monthly_Variable_Cost[[#This Row],[H1 Variable Cost]]</f>
        <v>19353.829999999998</v>
      </c>
    </row>
    <row r="53" spans="1:62">
      <c r="A53" t="s">
        <v>31</v>
      </c>
      <c r="B53" t="s">
        <v>32</v>
      </c>
      <c r="C53">
        <f>SUMIFS(Table1[Quantity],Table1[ProductID],Table33[[#This Row],[ProductID]],Table1[RegionClean_],Table33[[#This Row],[Region]],Table1[TransactionDate_Clean],"&gt;"&amp;EOMONTH($C$1,-1),Table1[TransactionDate_Clean],"&lt;="&amp;EOMONTH($C$1,0))</f>
        <v>21</v>
      </c>
      <c r="D53">
        <f>SUMIFS(Table1[Quantity],Table1[ProductID],Table33[[#This Row],[ProductID]],Table1[RegionClean_],Table33[[#This Row],[Region]],Table1[TransactionDate_Clean],"&gt;"&amp;EOMONTH($D$1,-1),Table1[TransactionDate_Clean],"&lt;="&amp;EOMONTH($D$1,0))</f>
        <v>3</v>
      </c>
      <c r="E53">
        <f>SUMIFS(Table1[Quantity],Table1[ProductID],Table33[[#This Row],[ProductID]],Table1[RegionClean_],Table33[[#This Row],[Region]],Table1[TransactionDate_Clean],"&gt;"&amp;EOMONTH($E$1,-1),Table1[TransactionDate_Clean],"&lt;="&amp;EOMONTH($E$1,0))</f>
        <v>7</v>
      </c>
      <c r="F53">
        <f>SUMIFS(Table1[Quantity],Table1[ProductID],Table33[[#This Row],[ProductID]],Table1[RegionClean_],Table33[[#This Row],[Region]],Table1[TransactionDate_Clean],"&gt;"&amp;EOMONTH($F$1,-1),Table1[TransactionDate_Clean],"&lt;="&amp;EOMONTH($F$1,0))</f>
        <v>7</v>
      </c>
      <c r="G53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53">
        <f>SUMIFS(Table1[Quantity],Table1[ProductID],Table33[[#This Row],[ProductID]],Table1[RegionClean_],Table33[[#This Row],[Region]],Table1[TransactionDate_Clean],"&gt;"&amp;EOMONTH($H$1,-1),Table1[TransactionDate_Clean],"&lt;="&amp;EOMONTH($H$1,0))</f>
        <v>12</v>
      </c>
      <c r="I53">
        <f>SUM(Table33[[#This Row],[1/1/2025]:[6/1/2025]])</f>
        <v>51</v>
      </c>
      <c r="L53" t="s">
        <v>31</v>
      </c>
      <c r="M53" t="s">
        <v>32</v>
      </c>
      <c r="N53">
        <f>SUMIFS(Table4[ActualCost_Clean],Table4[ProductID_Clean],Product_Month_Actual_Variable_Cost[[#This Row],[ProductID]],Table4[Period_Clean],Product_Month_Actual_Variable_Cost[[#Headers],[2025-01]],Table4[CostType],"Variable")</f>
        <v>304.11</v>
      </c>
      <c r="O53">
        <f>SUMIFS(Table4[ActualCost_Clean],Table4[ProductID_Clean],Product_Month_Actual_Variable_Cost[[#This Row],[ProductID]],Table4[Period_Clean],Product_Month_Actual_Variable_Cost[[#Headers],[2025-02]],Table4[CostType],"Variable")</f>
        <v>285.66000000000003</v>
      </c>
      <c r="P53">
        <f>SUMIFS(Table4[ActualCost_Clean],Table4[ProductID_Clean],Product_Month_Actual_Variable_Cost[[#This Row],[ProductID]],Table4[Period_Clean],Product_Month_Actual_Variable_Cost[[#Headers],[2025-03]],Table4[CostType],"Variable")</f>
        <v>288.19</v>
      </c>
      <c r="Q53">
        <f>SUMIFS(Table4[ActualCost_Clean],Table4[ProductID_Clean],Product_Month_Actual_Variable_Cost[[#This Row],[ProductID]],Table4[Period_Clean],Product_Month_Actual_Variable_Cost[[#Headers],[2025-04]],Table4[CostType],"Variable")</f>
        <v>308.39</v>
      </c>
      <c r="R53">
        <f>SUMIFS(Table4[ActualCost_Clean],Table4[ProductID_Clean],Product_Month_Actual_Variable_Cost[[#This Row],[ProductID]],Table4[Period_Clean],Product_Month_Actual_Variable_Cost[[#Headers],[2025-05]],Table4[CostType],"Variable")</f>
        <v>312.18</v>
      </c>
      <c r="S53">
        <f>SUMIFS(Table4[ActualCost_Clean],Table4[ProductID_Clean],Product_Month_Actual_Variable_Cost[[#This Row],[ProductID]],Table4[Period_Clean],Product_Month_Actual_Variable_Cost[[#Headers],[2025-06]],Table4[CostType],"Variable")</f>
        <v>316.85000000000002</v>
      </c>
      <c r="V53" t="s">
        <v>31</v>
      </c>
      <c r="W53" t="s">
        <v>32</v>
      </c>
      <c r="X53">
        <f>Table33[[#This Row],[1/1/2025]]*Product_Month_Actual_Variable_Cost[[#This Row],[2025-01]]</f>
        <v>6386.31</v>
      </c>
      <c r="Y53">
        <f>Table33[[#This Row],[2/1/2025]]*Product_Month_Actual_Variable_Cost[[#This Row],[2025-02]]</f>
        <v>856.98</v>
      </c>
      <c r="Z53">
        <f>Table33[[#This Row],[3/1/2025]]*Product_Month_Actual_Variable_Cost[[#This Row],[2025-03]]</f>
        <v>2017.33</v>
      </c>
      <c r="AA53">
        <f>Table33[[#This Row],[4/1/2025]]*Product_Month_Actual_Variable_Cost[[#This Row],[2025-04]]</f>
        <v>2158.73</v>
      </c>
      <c r="AB53">
        <f>Table33[[#This Row],[5/1/2025]]*Product_Month_Actual_Variable_Cost[[#This Row],[2025-05]]</f>
        <v>312.18</v>
      </c>
      <c r="AC53">
        <f>Table33[[#This Row],[6/1/2025]]*Product_Month_Actual_Variable_Cost[[#This Row],[2025-06]]</f>
        <v>3802.2000000000003</v>
      </c>
      <c r="AD53">
        <f>SUM(Product_Region_Monthly_Variable_Cost[[#This Row],[25-Jan]:[25-Jun]])</f>
        <v>15533.730000000001</v>
      </c>
      <c r="AG53" t="s">
        <v>31</v>
      </c>
      <c r="AH53" t="s">
        <v>32</v>
      </c>
      <c r="AI53">
        <f>SUMIFS(Table4[ActualCost_Clean],Table4[ProductID_Clean],Product_Month_Actual_Fixed_Cost[[#This Row],[ProductID]],Table4[Period_Clean],Product_Month_Actual_Variable_Cost[[#Headers],[2025-01]],Table4[CostType],"Fixed")</f>
        <v>58.88</v>
      </c>
      <c r="AJ53">
        <f>SUMIFS(Table4[ActualCost_Clean],Table4[ProductID_Clean],Product_Month_Actual_Fixed_Cost[[#This Row],[ProductID]],Table4[Period_Clean],Product_Month_Actual_Variable_Cost[[#Headers],[2025-02]],Table4[CostType],"Fixed")</f>
        <v>53.16</v>
      </c>
      <c r="AK53">
        <f>SUMIFS(Table4[ActualCost_Clean],Table4[ProductID_Clean],Product_Month_Actual_Fixed_Cost[[#This Row],[ProductID]],Table4[Period_Clean],Product_Month_Actual_Variable_Cost[[#Headers],[2025-03]],Table4[CostType],"Fixed")</f>
        <v>55</v>
      </c>
      <c r="AL53">
        <f>SUMIFS(Table4[ActualCost_Clean],Table4[ProductID_Clean],Product_Month_Actual_Fixed_Cost[[#This Row],[ProductID]],Table4[Period_Clean],Product_Month_Actual_Variable_Cost[[#Headers],[2025-04]],Table4[CostType],"Fixed")</f>
        <v>54.69</v>
      </c>
      <c r="AM53">
        <f>SUMIFS(Table4[ActualCost_Clean],Table4[ProductID_Clean],Product_Month_Actual_Fixed_Cost[[#This Row],[ProductID]],Table4[Period_Clean],Product_Month_Actual_Variable_Cost[[#Headers],[2025-05]],Table4[CostType],"Fixed")</f>
        <v>54.68</v>
      </c>
      <c r="AN53">
        <f>SUMIFS(Table4[ActualCost_Clean],Table4[ProductID_Clean],Product_Month_Actual_Fixed_Cost[[#This Row],[ProductID]],Table4[Period_Clean],Product_Month_Actual_Variable_Cost[[#Headers],[2025-06]],Table4[CostType],"Fixed")</f>
        <v>52.52</v>
      </c>
      <c r="AQ53" t="s">
        <v>31</v>
      </c>
      <c r="AR53" t="s">
        <v>32</v>
      </c>
      <c r="AS53">
        <f>Product_Month_Actual_Fixed_Cost[[#This Row],[2025-01]]*Table33[[#This Row],[1/1/2025]]</f>
        <v>1236.48</v>
      </c>
      <c r="AT53">
        <f>Product_Month_Actual_Fixed_Cost[[#This Row],[2025-02]]*Table33[[#This Row],[2/1/2025]]</f>
        <v>159.47999999999999</v>
      </c>
      <c r="AU53">
        <f>Product_Month_Actual_Fixed_Cost[[#This Row],[2025-03]]*Table33[[#This Row],[3/1/2025]]</f>
        <v>385</v>
      </c>
      <c r="AV53">
        <f>Product_Month_Actual_Fixed_Cost[[#This Row],[2025-04]]*Table33[[#This Row],[4/1/2025]]</f>
        <v>382.83</v>
      </c>
      <c r="AW53">
        <f>Product_Month_Actual_Fixed_Cost[[#This Row],[2025-05]]*Table33[[#This Row],[5/1/2025]]</f>
        <v>54.68</v>
      </c>
      <c r="AX53">
        <f>Product_Month_Actual_Fixed_Cost[[#This Row],[2025-06]]*Table33[[#This Row],[6/1/2025]]</f>
        <v>630.24</v>
      </c>
      <c r="AY53">
        <f>SUM(Product_Region_Monthly_Fixed_Cost[[#This Row],[25-Jan]:[25-Jun]])</f>
        <v>2848.71</v>
      </c>
      <c r="BB53" t="s">
        <v>31</v>
      </c>
      <c r="BC53" t="s">
        <v>32</v>
      </c>
      <c r="BD53">
        <f>Product_Region_Monthly_Fixed_Cost[[#This Row],[25-Jan]]+Product_Region_Monthly_Variable_Cost[[#This Row],[25-Jan]]</f>
        <v>7622.7900000000009</v>
      </c>
      <c r="BE53">
        <f>Product_Region_Monthly_Fixed_Cost[[#This Row],[25-Feb]]+Product_Region_Monthly_Variable_Cost[[#This Row],[25-Feb]]</f>
        <v>1016.46</v>
      </c>
      <c r="BF53">
        <f>Product_Region_Monthly_Fixed_Cost[[#This Row],[25-Mar]]+Product_Region_Monthly_Variable_Cost[[#This Row],[25-Mar]]</f>
        <v>2402.33</v>
      </c>
      <c r="BG53">
        <f>Product_Region_Monthly_Fixed_Cost[[#This Row],[25-Apr]]+Product_Region_Monthly_Variable_Cost[[#This Row],[25-Apr]]</f>
        <v>2541.56</v>
      </c>
      <c r="BH53">
        <f>Product_Region_Monthly_Fixed_Cost[[#This Row],[25-May]]+Product_Region_Monthly_Variable_Cost[[#This Row],[25-May]]</f>
        <v>366.86</v>
      </c>
      <c r="BI53">
        <f>Product_Region_Monthly_Fixed_Cost[[#This Row],[25-Jun]]+Product_Region_Monthly_Variable_Cost[[#This Row],[25-Jun]]</f>
        <v>4432.4400000000005</v>
      </c>
      <c r="BJ53">
        <f>Product_Region_Monthly_Fixed_Cost[[#This Row],[H1 Fixed Cost]]+Product_Region_Monthly_Variable_Cost[[#This Row],[H1 Variable Cost]]</f>
        <v>18382.440000000002</v>
      </c>
    </row>
    <row r="54" spans="1:62">
      <c r="A54" t="s">
        <v>39</v>
      </c>
      <c r="B54" t="s">
        <v>23</v>
      </c>
      <c r="C54">
        <f>SUMIFS(Table1[Quantity],Table1[ProductID],Table33[[#This Row],[ProductID]],Table1[RegionClean_],Table33[[#This Row],[Region]],Table1[TransactionDate_Clean],"&gt;"&amp;EOMONTH($C$1,-1),Table1[TransactionDate_Clean],"&lt;="&amp;EOMONTH($C$1,0))</f>
        <v>15</v>
      </c>
      <c r="D54">
        <f>SUMIFS(Table1[Quantity],Table1[ProductID],Table33[[#This Row],[ProductID]],Table1[RegionClean_],Table33[[#This Row],[Region]],Table1[TransactionDate_Clean],"&gt;"&amp;EOMONTH($D$1,-1),Table1[TransactionDate_Clean],"&lt;="&amp;EOMONTH($D$1,0))</f>
        <v>13</v>
      </c>
      <c r="E54">
        <f>SUMIFS(Table1[Quantity],Table1[ProductID],Table33[[#This Row],[ProductID]],Table1[RegionClean_],Table33[[#This Row],[Region]],Table1[TransactionDate_Clean],"&gt;"&amp;EOMONTH($E$1,-1),Table1[TransactionDate_Clean],"&lt;="&amp;EOMONTH($E$1,0))</f>
        <v>14</v>
      </c>
      <c r="F54">
        <f>SUMIFS(Table1[Quantity],Table1[ProductID],Table33[[#This Row],[ProductID]],Table1[RegionClean_],Table33[[#This Row],[Region]],Table1[TransactionDate_Clean],"&gt;"&amp;EOMONTH($F$1,-1),Table1[TransactionDate_Clean],"&lt;="&amp;EOMONTH($F$1,0))</f>
        <v>31</v>
      </c>
      <c r="G54">
        <f>SUMIFS(Table1[Quantity],Table1[ProductID],Table33[[#This Row],[ProductID]],Table1[RegionClean_],Table33[[#This Row],[Region]],Table1[TransactionDate_Clean],"&gt;"&amp;EOMONTH($G$1,-1),Table1[TransactionDate_Clean],"&lt;="&amp;EOMONTH($G$1,0))</f>
        <v>11</v>
      </c>
      <c r="H54">
        <f>SUMIFS(Table1[Quantity],Table1[ProductID],Table33[[#This Row],[ProductID]],Table1[RegionClean_],Table33[[#This Row],[Region]],Table1[TransactionDate_Clean],"&gt;"&amp;EOMONTH($H$1,-1),Table1[TransactionDate_Clean],"&lt;="&amp;EOMONTH($H$1,0))</f>
        <v>18</v>
      </c>
      <c r="I54">
        <f>SUM(Table33[[#This Row],[1/1/2025]:[6/1/2025]])</f>
        <v>102</v>
      </c>
      <c r="L54" t="s">
        <v>39</v>
      </c>
      <c r="M54" t="s">
        <v>23</v>
      </c>
      <c r="N54">
        <f>SUMIFS(Table4[ActualCost_Clean],Table4[ProductID_Clean],Product_Month_Actual_Variable_Cost[[#This Row],[ProductID]],Table4[Period_Clean],Product_Month_Actual_Variable_Cost[[#Headers],[2025-01]],Table4[CostType],"Variable")</f>
        <v>794.9</v>
      </c>
      <c r="O54">
        <f>SUMIFS(Table4[ActualCost_Clean],Table4[ProductID_Clean],Product_Month_Actual_Variable_Cost[[#This Row],[ProductID]],Table4[Period_Clean],Product_Month_Actual_Variable_Cost[[#Headers],[2025-02]],Table4[CostType],"Variable")</f>
        <v>811.01</v>
      </c>
      <c r="P54">
        <f>SUMIFS(Table4[ActualCost_Clean],Table4[ProductID_Clean],Product_Month_Actual_Variable_Cost[[#This Row],[ProductID]],Table4[Period_Clean],Product_Month_Actual_Variable_Cost[[#Headers],[2025-03]],Table4[CostType],"Variable")</f>
        <v>782.95</v>
      </c>
      <c r="Q54">
        <f>SUMIFS(Table4[ActualCost_Clean],Table4[ProductID_Clean],Product_Month_Actual_Variable_Cost[[#This Row],[ProductID]],Table4[Period_Clean],Product_Month_Actual_Variable_Cost[[#Headers],[2025-04]],Table4[CostType],"Variable")</f>
        <v>784.39</v>
      </c>
      <c r="R54">
        <f>SUMIFS(Table4[ActualCost_Clean],Table4[ProductID_Clean],Product_Month_Actual_Variable_Cost[[#This Row],[ProductID]],Table4[Period_Clean],Product_Month_Actual_Variable_Cost[[#Headers],[2025-05]],Table4[CostType],"Variable")</f>
        <v>799.24</v>
      </c>
      <c r="S54">
        <f>SUMIFS(Table4[ActualCost_Clean],Table4[ProductID_Clean],Product_Month_Actual_Variable_Cost[[#This Row],[ProductID]],Table4[Period_Clean],Product_Month_Actual_Variable_Cost[[#Headers],[2025-06]],Table4[CostType],"Variable")</f>
        <v>820.79</v>
      </c>
      <c r="V54" t="s">
        <v>39</v>
      </c>
      <c r="W54" t="s">
        <v>23</v>
      </c>
      <c r="X54">
        <f>Table33[[#This Row],[1/1/2025]]*Product_Month_Actual_Variable_Cost[[#This Row],[2025-01]]</f>
        <v>11923.5</v>
      </c>
      <c r="Y54">
        <f>Table33[[#This Row],[2/1/2025]]*Product_Month_Actual_Variable_Cost[[#This Row],[2025-02]]</f>
        <v>10543.13</v>
      </c>
      <c r="Z54">
        <f>Table33[[#This Row],[3/1/2025]]*Product_Month_Actual_Variable_Cost[[#This Row],[2025-03]]</f>
        <v>10961.300000000001</v>
      </c>
      <c r="AA54">
        <f>Table33[[#This Row],[4/1/2025]]*Product_Month_Actual_Variable_Cost[[#This Row],[2025-04]]</f>
        <v>24316.09</v>
      </c>
      <c r="AB54">
        <f>Table33[[#This Row],[5/1/2025]]*Product_Month_Actual_Variable_Cost[[#This Row],[2025-05]]</f>
        <v>8791.64</v>
      </c>
      <c r="AC54">
        <f>Table33[[#This Row],[6/1/2025]]*Product_Month_Actual_Variable_Cost[[#This Row],[2025-06]]</f>
        <v>14774.22</v>
      </c>
      <c r="AD54">
        <f>SUM(Product_Region_Monthly_Variable_Cost[[#This Row],[25-Jan]:[25-Jun]])</f>
        <v>81309.88</v>
      </c>
      <c r="AG54" t="s">
        <v>39</v>
      </c>
      <c r="AH54" t="s">
        <v>23</v>
      </c>
      <c r="AI54">
        <f>SUMIFS(Table4[ActualCost_Clean],Table4[ProductID_Clean],Product_Month_Actual_Fixed_Cost[[#This Row],[ProductID]],Table4[Period_Clean],Product_Month_Actual_Variable_Cost[[#Headers],[2025-01]],Table4[CostType],"Fixed")</f>
        <v>123.14</v>
      </c>
      <c r="AJ54">
        <f>SUMIFS(Table4[ActualCost_Clean],Table4[ProductID_Clean],Product_Month_Actual_Fixed_Cost[[#This Row],[ProductID]],Table4[Period_Clean],Product_Month_Actual_Variable_Cost[[#Headers],[2025-02]],Table4[CostType],"Fixed")</f>
        <v>127.83</v>
      </c>
      <c r="AK54">
        <f>SUMIFS(Table4[ActualCost_Clean],Table4[ProductID_Clean],Product_Month_Actual_Fixed_Cost[[#This Row],[ProductID]],Table4[Period_Clean],Product_Month_Actual_Variable_Cost[[#Headers],[2025-03]],Table4[CostType],"Fixed")</f>
        <v>133.09</v>
      </c>
      <c r="AL54">
        <f>SUMIFS(Table4[ActualCost_Clean],Table4[ProductID_Clean],Product_Month_Actual_Fixed_Cost[[#This Row],[ProductID]],Table4[Period_Clean],Product_Month_Actual_Variable_Cost[[#Headers],[2025-04]],Table4[CostType],"Fixed")</f>
        <v>131.94</v>
      </c>
      <c r="AM54">
        <f>SUMIFS(Table4[ActualCost_Clean],Table4[ProductID_Clean],Product_Month_Actual_Fixed_Cost[[#This Row],[ProductID]],Table4[Period_Clean],Product_Month_Actual_Variable_Cost[[#Headers],[2025-05]],Table4[CostType],"Fixed")</f>
        <v>118.81</v>
      </c>
      <c r="AN54">
        <f>SUMIFS(Table4[ActualCost_Clean],Table4[ProductID_Clean],Product_Month_Actual_Fixed_Cost[[#This Row],[ProductID]],Table4[Period_Clean],Product_Month_Actual_Variable_Cost[[#Headers],[2025-06]],Table4[CostType],"Fixed")</f>
        <v>121.28</v>
      </c>
      <c r="AQ54" t="s">
        <v>39</v>
      </c>
      <c r="AR54" t="s">
        <v>23</v>
      </c>
      <c r="AS54">
        <f>Product_Month_Actual_Fixed_Cost[[#This Row],[2025-01]]*Table33[[#This Row],[1/1/2025]]</f>
        <v>1847.1</v>
      </c>
      <c r="AT54">
        <f>Product_Month_Actual_Fixed_Cost[[#This Row],[2025-02]]*Table33[[#This Row],[2/1/2025]]</f>
        <v>1661.79</v>
      </c>
      <c r="AU54">
        <f>Product_Month_Actual_Fixed_Cost[[#This Row],[2025-03]]*Table33[[#This Row],[3/1/2025]]</f>
        <v>1863.26</v>
      </c>
      <c r="AV54">
        <f>Product_Month_Actual_Fixed_Cost[[#This Row],[2025-04]]*Table33[[#This Row],[4/1/2025]]</f>
        <v>4090.14</v>
      </c>
      <c r="AW54">
        <f>Product_Month_Actual_Fixed_Cost[[#This Row],[2025-05]]*Table33[[#This Row],[5/1/2025]]</f>
        <v>1306.9100000000001</v>
      </c>
      <c r="AX54">
        <f>Product_Month_Actual_Fixed_Cost[[#This Row],[2025-06]]*Table33[[#This Row],[6/1/2025]]</f>
        <v>2183.04</v>
      </c>
      <c r="AY54">
        <f>SUM(Product_Region_Monthly_Fixed_Cost[[#This Row],[25-Jan]:[25-Jun]])</f>
        <v>12952.239999999998</v>
      </c>
      <c r="BB54" t="s">
        <v>39</v>
      </c>
      <c r="BC54" t="s">
        <v>23</v>
      </c>
      <c r="BD54">
        <f>Product_Region_Monthly_Fixed_Cost[[#This Row],[25-Jan]]+Product_Region_Monthly_Variable_Cost[[#This Row],[25-Jan]]</f>
        <v>13770.6</v>
      </c>
      <c r="BE54">
        <f>Product_Region_Monthly_Fixed_Cost[[#This Row],[25-Feb]]+Product_Region_Monthly_Variable_Cost[[#This Row],[25-Feb]]</f>
        <v>12204.919999999998</v>
      </c>
      <c r="BF54">
        <f>Product_Region_Monthly_Fixed_Cost[[#This Row],[25-Mar]]+Product_Region_Monthly_Variable_Cost[[#This Row],[25-Mar]]</f>
        <v>12824.560000000001</v>
      </c>
      <c r="BG54">
        <f>Product_Region_Monthly_Fixed_Cost[[#This Row],[25-Apr]]+Product_Region_Monthly_Variable_Cost[[#This Row],[25-Apr]]</f>
        <v>28406.23</v>
      </c>
      <c r="BH54">
        <f>Product_Region_Monthly_Fixed_Cost[[#This Row],[25-May]]+Product_Region_Monthly_Variable_Cost[[#This Row],[25-May]]</f>
        <v>10098.549999999999</v>
      </c>
      <c r="BI54">
        <f>Product_Region_Monthly_Fixed_Cost[[#This Row],[25-Jun]]+Product_Region_Monthly_Variable_Cost[[#This Row],[25-Jun]]</f>
        <v>16957.259999999998</v>
      </c>
      <c r="BJ54">
        <f>Product_Region_Monthly_Fixed_Cost[[#This Row],[H1 Fixed Cost]]+Product_Region_Monthly_Variable_Cost[[#This Row],[H1 Variable Cost]]</f>
        <v>94262.12</v>
      </c>
    </row>
    <row r="55" spans="1:62">
      <c r="A55" t="s">
        <v>39</v>
      </c>
      <c r="B55" t="s">
        <v>47</v>
      </c>
      <c r="C55">
        <f>SUMIFS(Table1[Quantity],Table1[ProductID],Table33[[#This Row],[ProductID]],Table1[RegionClean_],Table33[[#This Row],[Region]],Table1[TransactionDate_Clean],"&gt;"&amp;EOMONTH($C$1,-1),Table1[TransactionDate_Clean],"&lt;="&amp;EOMONTH($C$1,0))</f>
        <v>3</v>
      </c>
      <c r="D55">
        <f>SUMIFS(Table1[Quantity],Table1[ProductID],Table33[[#This Row],[ProductID]],Table1[RegionClean_],Table33[[#This Row],[Region]],Table1[TransactionDate_Clean],"&gt;"&amp;EOMONTH($D$1,-1),Table1[TransactionDate_Clean],"&lt;="&amp;EOMONTH($D$1,0))</f>
        <v>26</v>
      </c>
      <c r="E55">
        <f>SUMIFS(Table1[Quantity],Table1[ProductID],Table33[[#This Row],[ProductID]],Table1[RegionClean_],Table33[[#This Row],[Region]],Table1[TransactionDate_Clean],"&gt;"&amp;EOMONTH($E$1,-1),Table1[TransactionDate_Clean],"&lt;="&amp;EOMONTH($E$1,0))</f>
        <v>9</v>
      </c>
      <c r="F55">
        <f>SUMIFS(Table1[Quantity],Table1[ProductID],Table33[[#This Row],[ProductID]],Table1[RegionClean_],Table33[[#This Row],[Region]],Table1[TransactionDate_Clean],"&gt;"&amp;EOMONTH($F$1,-1),Table1[TransactionDate_Clean],"&lt;="&amp;EOMONTH($F$1,0))</f>
        <v>3</v>
      </c>
      <c r="G55">
        <f>SUMIFS(Table1[Quantity],Table1[ProductID],Table33[[#This Row],[ProductID]],Table1[RegionClean_],Table33[[#This Row],[Region]],Table1[TransactionDate_Clean],"&gt;"&amp;EOMONTH($G$1,-1),Table1[TransactionDate_Clean],"&lt;="&amp;EOMONTH($G$1,0))</f>
        <v>27</v>
      </c>
      <c r="H55">
        <f>SUMIFS(Table1[Quantity],Table1[ProductID],Table33[[#This Row],[ProductID]],Table1[RegionClean_],Table33[[#This Row],[Region]],Table1[TransactionDate_Clean],"&gt;"&amp;EOMONTH($H$1,-1),Table1[TransactionDate_Clean],"&lt;="&amp;EOMONTH($H$1,0))</f>
        <v>5</v>
      </c>
      <c r="I55">
        <f>SUM(Table33[[#This Row],[1/1/2025]:[6/1/2025]])</f>
        <v>73</v>
      </c>
      <c r="L55" t="s">
        <v>39</v>
      </c>
      <c r="M55" t="s">
        <v>47</v>
      </c>
      <c r="N55">
        <f>SUMIFS(Table4[ActualCost_Clean],Table4[ProductID_Clean],Product_Month_Actual_Variable_Cost[[#This Row],[ProductID]],Table4[Period_Clean],Product_Month_Actual_Variable_Cost[[#Headers],[2025-01]],Table4[CostType],"Variable")</f>
        <v>794.9</v>
      </c>
      <c r="O55">
        <f>SUMIFS(Table4[ActualCost_Clean],Table4[ProductID_Clean],Product_Month_Actual_Variable_Cost[[#This Row],[ProductID]],Table4[Period_Clean],Product_Month_Actual_Variable_Cost[[#Headers],[2025-02]],Table4[CostType],"Variable")</f>
        <v>811.01</v>
      </c>
      <c r="P55">
        <f>SUMIFS(Table4[ActualCost_Clean],Table4[ProductID_Clean],Product_Month_Actual_Variable_Cost[[#This Row],[ProductID]],Table4[Period_Clean],Product_Month_Actual_Variable_Cost[[#Headers],[2025-03]],Table4[CostType],"Variable")</f>
        <v>782.95</v>
      </c>
      <c r="Q55">
        <f>SUMIFS(Table4[ActualCost_Clean],Table4[ProductID_Clean],Product_Month_Actual_Variable_Cost[[#This Row],[ProductID]],Table4[Period_Clean],Product_Month_Actual_Variable_Cost[[#Headers],[2025-04]],Table4[CostType],"Variable")</f>
        <v>784.39</v>
      </c>
      <c r="R55">
        <f>SUMIFS(Table4[ActualCost_Clean],Table4[ProductID_Clean],Product_Month_Actual_Variable_Cost[[#This Row],[ProductID]],Table4[Period_Clean],Product_Month_Actual_Variable_Cost[[#Headers],[2025-05]],Table4[CostType],"Variable")</f>
        <v>799.24</v>
      </c>
      <c r="S55">
        <f>SUMIFS(Table4[ActualCost_Clean],Table4[ProductID_Clean],Product_Month_Actual_Variable_Cost[[#This Row],[ProductID]],Table4[Period_Clean],Product_Month_Actual_Variable_Cost[[#Headers],[2025-06]],Table4[CostType],"Variable")</f>
        <v>820.79</v>
      </c>
      <c r="V55" t="s">
        <v>39</v>
      </c>
      <c r="W55" t="s">
        <v>47</v>
      </c>
      <c r="X55">
        <f>Table33[[#This Row],[1/1/2025]]*Product_Month_Actual_Variable_Cost[[#This Row],[2025-01]]</f>
        <v>2384.6999999999998</v>
      </c>
      <c r="Y55">
        <f>Table33[[#This Row],[2/1/2025]]*Product_Month_Actual_Variable_Cost[[#This Row],[2025-02]]</f>
        <v>21086.26</v>
      </c>
      <c r="Z55">
        <f>Table33[[#This Row],[3/1/2025]]*Product_Month_Actual_Variable_Cost[[#This Row],[2025-03]]</f>
        <v>7046.55</v>
      </c>
      <c r="AA55">
        <f>Table33[[#This Row],[4/1/2025]]*Product_Month_Actual_Variable_Cost[[#This Row],[2025-04]]</f>
        <v>2353.17</v>
      </c>
      <c r="AB55">
        <f>Table33[[#This Row],[5/1/2025]]*Product_Month_Actual_Variable_Cost[[#This Row],[2025-05]]</f>
        <v>21579.48</v>
      </c>
      <c r="AC55">
        <f>Table33[[#This Row],[6/1/2025]]*Product_Month_Actual_Variable_Cost[[#This Row],[2025-06]]</f>
        <v>4103.95</v>
      </c>
      <c r="AD55">
        <f>SUM(Product_Region_Monthly_Variable_Cost[[#This Row],[25-Jan]:[25-Jun]])</f>
        <v>58554.11</v>
      </c>
      <c r="AG55" t="s">
        <v>39</v>
      </c>
      <c r="AH55" t="s">
        <v>47</v>
      </c>
      <c r="AI55">
        <f>SUMIFS(Table4[ActualCost_Clean],Table4[ProductID_Clean],Product_Month_Actual_Fixed_Cost[[#This Row],[ProductID]],Table4[Period_Clean],Product_Month_Actual_Variable_Cost[[#Headers],[2025-01]],Table4[CostType],"Fixed")</f>
        <v>123.14</v>
      </c>
      <c r="AJ55">
        <f>SUMIFS(Table4[ActualCost_Clean],Table4[ProductID_Clean],Product_Month_Actual_Fixed_Cost[[#This Row],[ProductID]],Table4[Period_Clean],Product_Month_Actual_Variable_Cost[[#Headers],[2025-02]],Table4[CostType],"Fixed")</f>
        <v>127.83</v>
      </c>
      <c r="AK55">
        <f>SUMIFS(Table4[ActualCost_Clean],Table4[ProductID_Clean],Product_Month_Actual_Fixed_Cost[[#This Row],[ProductID]],Table4[Period_Clean],Product_Month_Actual_Variable_Cost[[#Headers],[2025-03]],Table4[CostType],"Fixed")</f>
        <v>133.09</v>
      </c>
      <c r="AL55">
        <f>SUMIFS(Table4[ActualCost_Clean],Table4[ProductID_Clean],Product_Month_Actual_Fixed_Cost[[#This Row],[ProductID]],Table4[Period_Clean],Product_Month_Actual_Variable_Cost[[#Headers],[2025-04]],Table4[CostType],"Fixed")</f>
        <v>131.94</v>
      </c>
      <c r="AM55">
        <f>SUMIFS(Table4[ActualCost_Clean],Table4[ProductID_Clean],Product_Month_Actual_Fixed_Cost[[#This Row],[ProductID]],Table4[Period_Clean],Product_Month_Actual_Variable_Cost[[#Headers],[2025-05]],Table4[CostType],"Fixed")</f>
        <v>118.81</v>
      </c>
      <c r="AN55">
        <f>SUMIFS(Table4[ActualCost_Clean],Table4[ProductID_Clean],Product_Month_Actual_Fixed_Cost[[#This Row],[ProductID]],Table4[Period_Clean],Product_Month_Actual_Variable_Cost[[#Headers],[2025-06]],Table4[CostType],"Fixed")</f>
        <v>121.28</v>
      </c>
      <c r="AQ55" t="s">
        <v>39</v>
      </c>
      <c r="AR55" t="s">
        <v>47</v>
      </c>
      <c r="AS55">
        <f>Product_Month_Actual_Fixed_Cost[[#This Row],[2025-01]]*Table33[[#This Row],[1/1/2025]]</f>
        <v>369.42</v>
      </c>
      <c r="AT55">
        <f>Product_Month_Actual_Fixed_Cost[[#This Row],[2025-02]]*Table33[[#This Row],[2/1/2025]]</f>
        <v>3323.58</v>
      </c>
      <c r="AU55">
        <f>Product_Month_Actual_Fixed_Cost[[#This Row],[2025-03]]*Table33[[#This Row],[3/1/2025]]</f>
        <v>1197.81</v>
      </c>
      <c r="AV55">
        <f>Product_Month_Actual_Fixed_Cost[[#This Row],[2025-04]]*Table33[[#This Row],[4/1/2025]]</f>
        <v>395.82</v>
      </c>
      <c r="AW55">
        <f>Product_Month_Actual_Fixed_Cost[[#This Row],[2025-05]]*Table33[[#This Row],[5/1/2025]]</f>
        <v>3207.87</v>
      </c>
      <c r="AX55">
        <f>Product_Month_Actual_Fixed_Cost[[#This Row],[2025-06]]*Table33[[#This Row],[6/1/2025]]</f>
        <v>606.4</v>
      </c>
      <c r="AY55">
        <f>SUM(Product_Region_Monthly_Fixed_Cost[[#This Row],[25-Jan]:[25-Jun]])</f>
        <v>9100.9</v>
      </c>
      <c r="BB55" t="s">
        <v>39</v>
      </c>
      <c r="BC55" t="s">
        <v>47</v>
      </c>
      <c r="BD55">
        <f>Product_Region_Monthly_Fixed_Cost[[#This Row],[25-Jan]]+Product_Region_Monthly_Variable_Cost[[#This Row],[25-Jan]]</f>
        <v>2754.12</v>
      </c>
      <c r="BE55">
        <f>Product_Region_Monthly_Fixed_Cost[[#This Row],[25-Feb]]+Product_Region_Monthly_Variable_Cost[[#This Row],[25-Feb]]</f>
        <v>24409.839999999997</v>
      </c>
      <c r="BF55">
        <f>Product_Region_Monthly_Fixed_Cost[[#This Row],[25-Mar]]+Product_Region_Monthly_Variable_Cost[[#This Row],[25-Mar]]</f>
        <v>8244.36</v>
      </c>
      <c r="BG55">
        <f>Product_Region_Monthly_Fixed_Cost[[#This Row],[25-Apr]]+Product_Region_Monthly_Variable_Cost[[#This Row],[25-Apr]]</f>
        <v>2748.9900000000002</v>
      </c>
      <c r="BH55">
        <f>Product_Region_Monthly_Fixed_Cost[[#This Row],[25-May]]+Product_Region_Monthly_Variable_Cost[[#This Row],[25-May]]</f>
        <v>24787.35</v>
      </c>
      <c r="BI55">
        <f>Product_Region_Monthly_Fixed_Cost[[#This Row],[25-Jun]]+Product_Region_Monthly_Variable_Cost[[#This Row],[25-Jun]]</f>
        <v>4710.3499999999995</v>
      </c>
      <c r="BJ55">
        <f>Product_Region_Monthly_Fixed_Cost[[#This Row],[H1 Fixed Cost]]+Product_Region_Monthly_Variable_Cost[[#This Row],[H1 Variable Cost]]</f>
        <v>67655.009999999995</v>
      </c>
    </row>
    <row r="56" spans="1:62">
      <c r="A56" t="s">
        <v>39</v>
      </c>
      <c r="B56" t="s">
        <v>58</v>
      </c>
      <c r="C56">
        <f>SUMIFS(Table1[Quantity],Table1[ProductID],Table33[[#This Row],[ProductID]],Table1[RegionClean_],Table33[[#This Row],[Region]],Table1[TransactionDate_Clean],"&gt;"&amp;EOMONTH($C$1,-1),Table1[TransactionDate_Clean],"&lt;="&amp;EOMONTH($C$1,0))</f>
        <v>8</v>
      </c>
      <c r="D56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56">
        <f>SUMIFS(Table1[Quantity],Table1[ProductID],Table33[[#This Row],[ProductID]],Table1[RegionClean_],Table33[[#This Row],[Region]],Table1[TransactionDate_Clean],"&gt;"&amp;EOMONTH($E$1,-1),Table1[TransactionDate_Clean],"&lt;="&amp;EOMONTH($E$1,0))</f>
        <v>7</v>
      </c>
      <c r="F56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56">
        <f>SUMIFS(Table1[Quantity],Table1[ProductID],Table33[[#This Row],[ProductID]],Table1[RegionClean_],Table33[[#This Row],[Region]],Table1[TransactionDate_Clean],"&gt;"&amp;EOMONTH($G$1,-1),Table1[TransactionDate_Clean],"&lt;="&amp;EOMONTH($G$1,0))</f>
        <v>4</v>
      </c>
      <c r="H56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56">
        <f>SUM(Table33[[#This Row],[1/1/2025]:[6/1/2025]])</f>
        <v>19</v>
      </c>
      <c r="L56" t="s">
        <v>39</v>
      </c>
      <c r="M56" t="s">
        <v>58</v>
      </c>
      <c r="N56">
        <f>SUMIFS(Table4[ActualCost_Clean],Table4[ProductID_Clean],Product_Month_Actual_Variable_Cost[[#This Row],[ProductID]],Table4[Period_Clean],Product_Month_Actual_Variable_Cost[[#Headers],[2025-01]],Table4[CostType],"Variable")</f>
        <v>794.9</v>
      </c>
      <c r="O56">
        <f>SUMIFS(Table4[ActualCost_Clean],Table4[ProductID_Clean],Product_Month_Actual_Variable_Cost[[#This Row],[ProductID]],Table4[Period_Clean],Product_Month_Actual_Variable_Cost[[#Headers],[2025-02]],Table4[CostType],"Variable")</f>
        <v>811.01</v>
      </c>
      <c r="P56">
        <f>SUMIFS(Table4[ActualCost_Clean],Table4[ProductID_Clean],Product_Month_Actual_Variable_Cost[[#This Row],[ProductID]],Table4[Period_Clean],Product_Month_Actual_Variable_Cost[[#Headers],[2025-03]],Table4[CostType],"Variable")</f>
        <v>782.95</v>
      </c>
      <c r="Q56">
        <f>SUMIFS(Table4[ActualCost_Clean],Table4[ProductID_Clean],Product_Month_Actual_Variable_Cost[[#This Row],[ProductID]],Table4[Period_Clean],Product_Month_Actual_Variable_Cost[[#Headers],[2025-04]],Table4[CostType],"Variable")</f>
        <v>784.39</v>
      </c>
      <c r="R56">
        <f>SUMIFS(Table4[ActualCost_Clean],Table4[ProductID_Clean],Product_Month_Actual_Variable_Cost[[#This Row],[ProductID]],Table4[Period_Clean],Product_Month_Actual_Variable_Cost[[#Headers],[2025-05]],Table4[CostType],"Variable")</f>
        <v>799.24</v>
      </c>
      <c r="S56">
        <f>SUMIFS(Table4[ActualCost_Clean],Table4[ProductID_Clean],Product_Month_Actual_Variable_Cost[[#This Row],[ProductID]],Table4[Period_Clean],Product_Month_Actual_Variable_Cost[[#Headers],[2025-06]],Table4[CostType],"Variable")</f>
        <v>820.79</v>
      </c>
      <c r="V56" t="s">
        <v>39</v>
      </c>
      <c r="W56" t="s">
        <v>58</v>
      </c>
      <c r="X56">
        <f>Table33[[#This Row],[1/1/2025]]*Product_Month_Actual_Variable_Cost[[#This Row],[2025-01]]</f>
        <v>6359.2</v>
      </c>
      <c r="Y56">
        <f>Table33[[#This Row],[2/1/2025]]*Product_Month_Actual_Variable_Cost[[#This Row],[2025-02]]</f>
        <v>0</v>
      </c>
      <c r="Z56">
        <f>Table33[[#This Row],[3/1/2025]]*Product_Month_Actual_Variable_Cost[[#This Row],[2025-03]]</f>
        <v>5480.6500000000005</v>
      </c>
      <c r="AA56">
        <f>Table33[[#This Row],[4/1/2025]]*Product_Month_Actual_Variable_Cost[[#This Row],[2025-04]]</f>
        <v>0</v>
      </c>
      <c r="AB56">
        <f>Table33[[#This Row],[5/1/2025]]*Product_Month_Actual_Variable_Cost[[#This Row],[2025-05]]</f>
        <v>3196.96</v>
      </c>
      <c r="AC56">
        <f>Table33[[#This Row],[6/1/2025]]*Product_Month_Actual_Variable_Cost[[#This Row],[2025-06]]</f>
        <v>0</v>
      </c>
      <c r="AD56">
        <f>SUM(Product_Region_Monthly_Variable_Cost[[#This Row],[25-Jan]:[25-Jun]])</f>
        <v>15036.810000000001</v>
      </c>
      <c r="AG56" t="s">
        <v>39</v>
      </c>
      <c r="AH56" t="s">
        <v>58</v>
      </c>
      <c r="AI56">
        <f>SUMIFS(Table4[ActualCost_Clean],Table4[ProductID_Clean],Product_Month_Actual_Fixed_Cost[[#This Row],[ProductID]],Table4[Period_Clean],Product_Month_Actual_Variable_Cost[[#Headers],[2025-01]],Table4[CostType],"Fixed")</f>
        <v>123.14</v>
      </c>
      <c r="AJ56">
        <f>SUMIFS(Table4[ActualCost_Clean],Table4[ProductID_Clean],Product_Month_Actual_Fixed_Cost[[#This Row],[ProductID]],Table4[Period_Clean],Product_Month_Actual_Variable_Cost[[#Headers],[2025-02]],Table4[CostType],"Fixed")</f>
        <v>127.83</v>
      </c>
      <c r="AK56">
        <f>SUMIFS(Table4[ActualCost_Clean],Table4[ProductID_Clean],Product_Month_Actual_Fixed_Cost[[#This Row],[ProductID]],Table4[Period_Clean],Product_Month_Actual_Variable_Cost[[#Headers],[2025-03]],Table4[CostType],"Fixed")</f>
        <v>133.09</v>
      </c>
      <c r="AL56">
        <f>SUMIFS(Table4[ActualCost_Clean],Table4[ProductID_Clean],Product_Month_Actual_Fixed_Cost[[#This Row],[ProductID]],Table4[Period_Clean],Product_Month_Actual_Variable_Cost[[#Headers],[2025-04]],Table4[CostType],"Fixed")</f>
        <v>131.94</v>
      </c>
      <c r="AM56">
        <f>SUMIFS(Table4[ActualCost_Clean],Table4[ProductID_Clean],Product_Month_Actual_Fixed_Cost[[#This Row],[ProductID]],Table4[Period_Clean],Product_Month_Actual_Variable_Cost[[#Headers],[2025-05]],Table4[CostType],"Fixed")</f>
        <v>118.81</v>
      </c>
      <c r="AN56">
        <f>SUMIFS(Table4[ActualCost_Clean],Table4[ProductID_Clean],Product_Month_Actual_Fixed_Cost[[#This Row],[ProductID]],Table4[Period_Clean],Product_Month_Actual_Variable_Cost[[#Headers],[2025-06]],Table4[CostType],"Fixed")</f>
        <v>121.28</v>
      </c>
      <c r="AQ56" t="s">
        <v>39</v>
      </c>
      <c r="AR56" t="s">
        <v>58</v>
      </c>
      <c r="AS56">
        <f>Product_Month_Actual_Fixed_Cost[[#This Row],[2025-01]]*Table33[[#This Row],[1/1/2025]]</f>
        <v>985.12</v>
      </c>
      <c r="AT56">
        <f>Product_Month_Actual_Fixed_Cost[[#This Row],[2025-02]]*Table33[[#This Row],[2/1/2025]]</f>
        <v>0</v>
      </c>
      <c r="AU56">
        <f>Product_Month_Actual_Fixed_Cost[[#This Row],[2025-03]]*Table33[[#This Row],[3/1/2025]]</f>
        <v>931.63</v>
      </c>
      <c r="AV56">
        <f>Product_Month_Actual_Fixed_Cost[[#This Row],[2025-04]]*Table33[[#This Row],[4/1/2025]]</f>
        <v>0</v>
      </c>
      <c r="AW56">
        <f>Product_Month_Actual_Fixed_Cost[[#This Row],[2025-05]]*Table33[[#This Row],[5/1/2025]]</f>
        <v>475.24</v>
      </c>
      <c r="AX56">
        <f>Product_Month_Actual_Fixed_Cost[[#This Row],[2025-06]]*Table33[[#This Row],[6/1/2025]]</f>
        <v>0</v>
      </c>
      <c r="AY56">
        <f>SUM(Product_Region_Monthly_Fixed_Cost[[#This Row],[25-Jan]:[25-Jun]])</f>
        <v>2391.9899999999998</v>
      </c>
      <c r="BB56" t="s">
        <v>39</v>
      </c>
      <c r="BC56" t="s">
        <v>58</v>
      </c>
      <c r="BD56">
        <f>Product_Region_Monthly_Fixed_Cost[[#This Row],[25-Jan]]+Product_Region_Monthly_Variable_Cost[[#This Row],[25-Jan]]</f>
        <v>7344.32</v>
      </c>
      <c r="BE56">
        <f>Product_Region_Monthly_Fixed_Cost[[#This Row],[25-Feb]]+Product_Region_Monthly_Variable_Cost[[#This Row],[25-Feb]]</f>
        <v>0</v>
      </c>
      <c r="BF56">
        <f>Product_Region_Monthly_Fixed_Cost[[#This Row],[25-Mar]]+Product_Region_Monthly_Variable_Cost[[#This Row],[25-Mar]]</f>
        <v>6412.2800000000007</v>
      </c>
      <c r="BG56">
        <f>Product_Region_Monthly_Fixed_Cost[[#This Row],[25-Apr]]+Product_Region_Monthly_Variable_Cost[[#This Row],[25-Apr]]</f>
        <v>0</v>
      </c>
      <c r="BH56">
        <f>Product_Region_Monthly_Fixed_Cost[[#This Row],[25-May]]+Product_Region_Monthly_Variable_Cost[[#This Row],[25-May]]</f>
        <v>3672.2</v>
      </c>
      <c r="BI56">
        <f>Product_Region_Monthly_Fixed_Cost[[#This Row],[25-Jun]]+Product_Region_Monthly_Variable_Cost[[#This Row],[25-Jun]]</f>
        <v>0</v>
      </c>
      <c r="BJ56">
        <f>Product_Region_Monthly_Fixed_Cost[[#This Row],[H1 Fixed Cost]]+Product_Region_Monthly_Variable_Cost[[#This Row],[H1 Variable Cost]]</f>
        <v>17428.800000000003</v>
      </c>
    </row>
    <row r="57" spans="1:62">
      <c r="A57" t="s">
        <v>39</v>
      </c>
      <c r="B57" t="s">
        <v>32</v>
      </c>
      <c r="C57">
        <f>SUMIFS(Table1[Quantity],Table1[ProductID],Table33[[#This Row],[ProductID]],Table1[RegionClean_],Table33[[#This Row],[Region]],Table1[TransactionDate_Clean],"&gt;"&amp;EOMONTH($C$1,-1),Table1[TransactionDate_Clean],"&lt;="&amp;EOMONTH($C$1,0))</f>
        <v>17</v>
      </c>
      <c r="D57">
        <f>SUMIFS(Table1[Quantity],Table1[ProductID],Table33[[#This Row],[ProductID]],Table1[RegionClean_],Table33[[#This Row],[Region]],Table1[TransactionDate_Clean],"&gt;"&amp;EOMONTH($D$1,-1),Table1[TransactionDate_Clean],"&lt;="&amp;EOMONTH($D$1,0))</f>
        <v>15</v>
      </c>
      <c r="E57">
        <f>SUMIFS(Table1[Quantity],Table1[ProductID],Table33[[#This Row],[ProductID]],Table1[RegionClean_],Table33[[#This Row],[Region]],Table1[TransactionDate_Clean],"&gt;"&amp;EOMONTH($E$1,-1),Table1[TransactionDate_Clean],"&lt;="&amp;EOMONTH($E$1,0))</f>
        <v>6</v>
      </c>
      <c r="F57">
        <f>SUMIFS(Table1[Quantity],Table1[ProductID],Table33[[#This Row],[ProductID]],Table1[RegionClean_],Table33[[#This Row],[Region]],Table1[TransactionDate_Clean],"&gt;"&amp;EOMONTH($F$1,-1),Table1[TransactionDate_Clean],"&lt;="&amp;EOMONTH($F$1,0))</f>
        <v>13</v>
      </c>
      <c r="G57">
        <f>SUMIFS(Table1[Quantity],Table1[ProductID],Table33[[#This Row],[ProductID]],Table1[RegionClean_],Table33[[#This Row],[Region]],Table1[TransactionDate_Clean],"&gt;"&amp;EOMONTH($G$1,-1),Table1[TransactionDate_Clean],"&lt;="&amp;EOMONTH($G$1,0))</f>
        <v>18</v>
      </c>
      <c r="H57">
        <f>SUMIFS(Table1[Quantity],Table1[ProductID],Table33[[#This Row],[ProductID]],Table1[RegionClean_],Table33[[#This Row],[Region]],Table1[TransactionDate_Clean],"&gt;"&amp;EOMONTH($H$1,-1),Table1[TransactionDate_Clean],"&lt;="&amp;EOMONTH($H$1,0))</f>
        <v>0</v>
      </c>
      <c r="I57">
        <f>SUM(Table33[[#This Row],[1/1/2025]:[6/1/2025]])</f>
        <v>69</v>
      </c>
      <c r="L57" t="s">
        <v>39</v>
      </c>
      <c r="M57" t="s">
        <v>32</v>
      </c>
      <c r="N57">
        <f>SUMIFS(Table4[ActualCost_Clean],Table4[ProductID_Clean],Product_Month_Actual_Variable_Cost[[#This Row],[ProductID]],Table4[Period_Clean],Product_Month_Actual_Variable_Cost[[#Headers],[2025-01]],Table4[CostType],"Variable")</f>
        <v>794.9</v>
      </c>
      <c r="O57">
        <f>SUMIFS(Table4[ActualCost_Clean],Table4[ProductID_Clean],Product_Month_Actual_Variable_Cost[[#This Row],[ProductID]],Table4[Period_Clean],Product_Month_Actual_Variable_Cost[[#Headers],[2025-02]],Table4[CostType],"Variable")</f>
        <v>811.01</v>
      </c>
      <c r="P57">
        <f>SUMIFS(Table4[ActualCost_Clean],Table4[ProductID_Clean],Product_Month_Actual_Variable_Cost[[#This Row],[ProductID]],Table4[Period_Clean],Product_Month_Actual_Variable_Cost[[#Headers],[2025-03]],Table4[CostType],"Variable")</f>
        <v>782.95</v>
      </c>
      <c r="Q57">
        <f>SUMIFS(Table4[ActualCost_Clean],Table4[ProductID_Clean],Product_Month_Actual_Variable_Cost[[#This Row],[ProductID]],Table4[Period_Clean],Product_Month_Actual_Variable_Cost[[#Headers],[2025-04]],Table4[CostType],"Variable")</f>
        <v>784.39</v>
      </c>
      <c r="R57">
        <f>SUMIFS(Table4[ActualCost_Clean],Table4[ProductID_Clean],Product_Month_Actual_Variable_Cost[[#This Row],[ProductID]],Table4[Period_Clean],Product_Month_Actual_Variable_Cost[[#Headers],[2025-05]],Table4[CostType],"Variable")</f>
        <v>799.24</v>
      </c>
      <c r="S57">
        <f>SUMIFS(Table4[ActualCost_Clean],Table4[ProductID_Clean],Product_Month_Actual_Variable_Cost[[#This Row],[ProductID]],Table4[Period_Clean],Product_Month_Actual_Variable_Cost[[#Headers],[2025-06]],Table4[CostType],"Variable")</f>
        <v>820.79</v>
      </c>
      <c r="V57" t="s">
        <v>39</v>
      </c>
      <c r="W57" t="s">
        <v>32</v>
      </c>
      <c r="X57">
        <f>Table33[[#This Row],[1/1/2025]]*Product_Month_Actual_Variable_Cost[[#This Row],[2025-01]]</f>
        <v>13513.3</v>
      </c>
      <c r="Y57">
        <f>Table33[[#This Row],[2/1/2025]]*Product_Month_Actual_Variable_Cost[[#This Row],[2025-02]]</f>
        <v>12165.15</v>
      </c>
      <c r="Z57">
        <f>Table33[[#This Row],[3/1/2025]]*Product_Month_Actual_Variable_Cost[[#This Row],[2025-03]]</f>
        <v>4697.7000000000007</v>
      </c>
      <c r="AA57">
        <f>Table33[[#This Row],[4/1/2025]]*Product_Month_Actual_Variable_Cost[[#This Row],[2025-04]]</f>
        <v>10197.07</v>
      </c>
      <c r="AB57">
        <f>Table33[[#This Row],[5/1/2025]]*Product_Month_Actual_Variable_Cost[[#This Row],[2025-05]]</f>
        <v>14386.32</v>
      </c>
      <c r="AC57">
        <f>Table33[[#This Row],[6/1/2025]]*Product_Month_Actual_Variable_Cost[[#This Row],[2025-06]]</f>
        <v>0</v>
      </c>
      <c r="AD57">
        <f>SUM(Product_Region_Monthly_Variable_Cost[[#This Row],[25-Jan]:[25-Jun]])</f>
        <v>54959.54</v>
      </c>
      <c r="AG57" t="s">
        <v>39</v>
      </c>
      <c r="AH57" t="s">
        <v>32</v>
      </c>
      <c r="AI57">
        <f>SUMIFS(Table4[ActualCost_Clean],Table4[ProductID_Clean],Product_Month_Actual_Fixed_Cost[[#This Row],[ProductID]],Table4[Period_Clean],Product_Month_Actual_Variable_Cost[[#Headers],[2025-01]],Table4[CostType],"Fixed")</f>
        <v>123.14</v>
      </c>
      <c r="AJ57">
        <f>SUMIFS(Table4[ActualCost_Clean],Table4[ProductID_Clean],Product_Month_Actual_Fixed_Cost[[#This Row],[ProductID]],Table4[Period_Clean],Product_Month_Actual_Variable_Cost[[#Headers],[2025-02]],Table4[CostType],"Fixed")</f>
        <v>127.83</v>
      </c>
      <c r="AK57">
        <f>SUMIFS(Table4[ActualCost_Clean],Table4[ProductID_Clean],Product_Month_Actual_Fixed_Cost[[#This Row],[ProductID]],Table4[Period_Clean],Product_Month_Actual_Variable_Cost[[#Headers],[2025-03]],Table4[CostType],"Fixed")</f>
        <v>133.09</v>
      </c>
      <c r="AL57">
        <f>SUMIFS(Table4[ActualCost_Clean],Table4[ProductID_Clean],Product_Month_Actual_Fixed_Cost[[#This Row],[ProductID]],Table4[Period_Clean],Product_Month_Actual_Variable_Cost[[#Headers],[2025-04]],Table4[CostType],"Fixed")</f>
        <v>131.94</v>
      </c>
      <c r="AM57">
        <f>SUMIFS(Table4[ActualCost_Clean],Table4[ProductID_Clean],Product_Month_Actual_Fixed_Cost[[#This Row],[ProductID]],Table4[Period_Clean],Product_Month_Actual_Variable_Cost[[#Headers],[2025-05]],Table4[CostType],"Fixed")</f>
        <v>118.81</v>
      </c>
      <c r="AN57">
        <f>SUMIFS(Table4[ActualCost_Clean],Table4[ProductID_Clean],Product_Month_Actual_Fixed_Cost[[#This Row],[ProductID]],Table4[Period_Clean],Product_Month_Actual_Variable_Cost[[#Headers],[2025-06]],Table4[CostType],"Fixed")</f>
        <v>121.28</v>
      </c>
      <c r="AQ57" t="s">
        <v>39</v>
      </c>
      <c r="AR57" t="s">
        <v>32</v>
      </c>
      <c r="AS57">
        <f>Product_Month_Actual_Fixed_Cost[[#This Row],[2025-01]]*Table33[[#This Row],[1/1/2025]]</f>
        <v>2093.38</v>
      </c>
      <c r="AT57">
        <f>Product_Month_Actual_Fixed_Cost[[#This Row],[2025-02]]*Table33[[#This Row],[2/1/2025]]</f>
        <v>1917.45</v>
      </c>
      <c r="AU57">
        <f>Product_Month_Actual_Fixed_Cost[[#This Row],[2025-03]]*Table33[[#This Row],[3/1/2025]]</f>
        <v>798.54</v>
      </c>
      <c r="AV57">
        <f>Product_Month_Actual_Fixed_Cost[[#This Row],[2025-04]]*Table33[[#This Row],[4/1/2025]]</f>
        <v>1715.22</v>
      </c>
      <c r="AW57">
        <f>Product_Month_Actual_Fixed_Cost[[#This Row],[2025-05]]*Table33[[#This Row],[5/1/2025]]</f>
        <v>2138.58</v>
      </c>
      <c r="AX57">
        <f>Product_Month_Actual_Fixed_Cost[[#This Row],[2025-06]]*Table33[[#This Row],[6/1/2025]]</f>
        <v>0</v>
      </c>
      <c r="AY57">
        <f>SUM(Product_Region_Monthly_Fixed_Cost[[#This Row],[25-Jan]:[25-Jun]])</f>
        <v>8663.17</v>
      </c>
      <c r="BB57" t="s">
        <v>39</v>
      </c>
      <c r="BC57" t="s">
        <v>32</v>
      </c>
      <c r="BD57">
        <f>Product_Region_Monthly_Fixed_Cost[[#This Row],[25-Jan]]+Product_Region_Monthly_Variable_Cost[[#This Row],[25-Jan]]</f>
        <v>15606.68</v>
      </c>
      <c r="BE57">
        <f>Product_Region_Monthly_Fixed_Cost[[#This Row],[25-Feb]]+Product_Region_Monthly_Variable_Cost[[#This Row],[25-Feb]]</f>
        <v>14082.6</v>
      </c>
      <c r="BF57">
        <f>Product_Region_Monthly_Fixed_Cost[[#This Row],[25-Mar]]+Product_Region_Monthly_Variable_Cost[[#This Row],[25-Mar]]</f>
        <v>5496.2400000000007</v>
      </c>
      <c r="BG57">
        <f>Product_Region_Monthly_Fixed_Cost[[#This Row],[25-Apr]]+Product_Region_Monthly_Variable_Cost[[#This Row],[25-Apr]]</f>
        <v>11912.289999999999</v>
      </c>
      <c r="BH57">
        <f>Product_Region_Monthly_Fixed_Cost[[#This Row],[25-May]]+Product_Region_Monthly_Variable_Cost[[#This Row],[25-May]]</f>
        <v>16524.900000000001</v>
      </c>
      <c r="BI57">
        <f>Product_Region_Monthly_Fixed_Cost[[#This Row],[25-Jun]]+Product_Region_Monthly_Variable_Cost[[#This Row],[25-Jun]]</f>
        <v>0</v>
      </c>
      <c r="BJ57">
        <f>Product_Region_Monthly_Fixed_Cost[[#This Row],[H1 Fixed Cost]]+Product_Region_Monthly_Variable_Cost[[#This Row],[H1 Variable Cost]]</f>
        <v>63622.71</v>
      </c>
    </row>
    <row r="58" spans="1:62">
      <c r="A58" t="s">
        <v>22</v>
      </c>
      <c r="B58" t="s">
        <v>23</v>
      </c>
      <c r="C58">
        <f>SUMIFS(Table1[Quantity],Table1[ProductID],Table33[[#This Row],[ProductID]],Table1[RegionClean_],Table33[[#This Row],[Region]],Table1[TransactionDate_Clean],"&gt;"&amp;EOMONTH($C$1,-1),Table1[TransactionDate_Clean],"&lt;="&amp;EOMONTH($C$1,0))</f>
        <v>4</v>
      </c>
      <c r="D58">
        <f>SUMIFS(Table1[Quantity],Table1[ProductID],Table33[[#This Row],[ProductID]],Table1[RegionClean_],Table33[[#This Row],[Region]],Table1[TransactionDate_Clean],"&gt;"&amp;EOMONTH($D$1,-1),Table1[TransactionDate_Clean],"&lt;="&amp;EOMONTH($D$1,0))</f>
        <v>15</v>
      </c>
      <c r="E58">
        <f>SUMIFS(Table1[Quantity],Table1[ProductID],Table33[[#This Row],[ProductID]],Table1[RegionClean_],Table33[[#This Row],[Region]],Table1[TransactionDate_Clean],"&gt;"&amp;EOMONTH($E$1,-1),Table1[TransactionDate_Clean],"&lt;="&amp;EOMONTH($E$1,0))</f>
        <v>4</v>
      </c>
      <c r="F58">
        <f>SUMIFS(Table1[Quantity],Table1[ProductID],Table33[[#This Row],[ProductID]],Table1[RegionClean_],Table33[[#This Row],[Region]],Table1[TransactionDate_Clean],"&gt;"&amp;EOMONTH($F$1,-1),Table1[TransactionDate_Clean],"&lt;="&amp;EOMONTH($F$1,0))</f>
        <v>19</v>
      </c>
      <c r="G58">
        <f>SUMIFS(Table1[Quantity],Table1[ProductID],Table33[[#This Row],[ProductID]],Table1[RegionClean_],Table33[[#This Row],[Region]],Table1[TransactionDate_Clean],"&gt;"&amp;EOMONTH($G$1,-1),Table1[TransactionDate_Clean],"&lt;="&amp;EOMONTH($G$1,0))</f>
        <v>5</v>
      </c>
      <c r="H58">
        <f>SUMIFS(Table1[Quantity],Table1[ProductID],Table33[[#This Row],[ProductID]],Table1[RegionClean_],Table33[[#This Row],[Region]],Table1[TransactionDate_Clean],"&gt;"&amp;EOMONTH($H$1,-1),Table1[TransactionDate_Clean],"&lt;="&amp;EOMONTH($H$1,0))</f>
        <v>11</v>
      </c>
      <c r="I58">
        <f>SUM(Table33[[#This Row],[1/1/2025]:[6/1/2025]])</f>
        <v>58</v>
      </c>
      <c r="L58" t="s">
        <v>22</v>
      </c>
      <c r="M58" t="s">
        <v>23</v>
      </c>
      <c r="N58">
        <f>SUMIFS(Table4[ActualCost_Clean],Table4[ProductID_Clean],Product_Month_Actual_Variable_Cost[[#This Row],[ProductID]],Table4[Period_Clean],Product_Month_Actual_Variable_Cost[[#Headers],[2025-01]],Table4[CostType],"Variable")</f>
        <v>1136.02</v>
      </c>
      <c r="O58">
        <f>SUMIFS(Table4[ActualCost_Clean],Table4[ProductID_Clean],Product_Month_Actual_Variable_Cost[[#This Row],[ProductID]],Table4[Period_Clean],Product_Month_Actual_Variable_Cost[[#Headers],[2025-02]],Table4[CostType],"Variable")</f>
        <v>1134.42</v>
      </c>
      <c r="P58">
        <f>SUMIFS(Table4[ActualCost_Clean],Table4[ProductID_Clean],Product_Month_Actual_Variable_Cost[[#This Row],[ProductID]],Table4[Period_Clean],Product_Month_Actual_Variable_Cost[[#Headers],[2025-03]],Table4[CostType],"Variable")</f>
        <v>1148.77</v>
      </c>
      <c r="Q58">
        <v>1146.53</v>
      </c>
      <c r="R58">
        <f>SUMIFS(Table4[ActualCost_Clean],Table4[ProductID_Clean],Product_Month_Actual_Variable_Cost[[#This Row],[ProductID]],Table4[Period_Clean],Product_Month_Actual_Variable_Cost[[#Headers],[2025-05]],Table4[CostType],"Variable")</f>
        <v>1144.29</v>
      </c>
      <c r="S58">
        <f>SUMIFS(Table4[ActualCost_Clean],Table4[ProductID_Clean],Product_Month_Actual_Variable_Cost[[#This Row],[ProductID]],Table4[Period_Clean],Product_Month_Actual_Variable_Cost[[#Headers],[2025-06]],Table4[CostType],"Variable")</f>
        <v>1179.68</v>
      </c>
      <c r="V58" t="s">
        <v>22</v>
      </c>
      <c r="W58" t="s">
        <v>23</v>
      </c>
      <c r="X58">
        <f>Table33[[#This Row],[1/1/2025]]*Product_Month_Actual_Variable_Cost[[#This Row],[2025-01]]</f>
        <v>4544.08</v>
      </c>
      <c r="Y58">
        <f>Table33[[#This Row],[2/1/2025]]*Product_Month_Actual_Variable_Cost[[#This Row],[2025-02]]</f>
        <v>17016.300000000003</v>
      </c>
      <c r="Z58">
        <f>Table33[[#This Row],[3/1/2025]]*Product_Month_Actual_Variable_Cost[[#This Row],[2025-03]]</f>
        <v>4595.08</v>
      </c>
      <c r="AA58">
        <f>Table33[[#This Row],[4/1/2025]]*Product_Month_Actual_Variable_Cost[[#This Row],[2025-04]]</f>
        <v>21784.07</v>
      </c>
      <c r="AB58">
        <f>Table33[[#This Row],[5/1/2025]]*Product_Month_Actual_Variable_Cost[[#This Row],[2025-05]]</f>
        <v>5721.45</v>
      </c>
      <c r="AC58">
        <f>Table33[[#This Row],[6/1/2025]]*Product_Month_Actual_Variable_Cost[[#This Row],[2025-06]]</f>
        <v>12976.480000000001</v>
      </c>
      <c r="AD58">
        <f>SUM(Product_Region_Monthly_Variable_Cost[[#This Row],[25-Jan]:[25-Jun]])</f>
        <v>66637.460000000006</v>
      </c>
      <c r="AG58" t="s">
        <v>22</v>
      </c>
      <c r="AH58" t="s">
        <v>23</v>
      </c>
      <c r="AI58">
        <f>SUMIFS(Table4[ActualCost_Clean],Table4[ProductID_Clean],Product_Month_Actual_Fixed_Cost[[#This Row],[ProductID]],Table4[Period_Clean],Product_Month_Actual_Variable_Cost[[#Headers],[2025-01]],Table4[CostType],"Fixed")</f>
        <v>141.09</v>
      </c>
      <c r="AJ58">
        <f>SUMIFS(Table4[ActualCost_Clean],Table4[ProductID_Clean],Product_Month_Actual_Fixed_Cost[[#This Row],[ProductID]],Table4[Period_Clean],Product_Month_Actual_Variable_Cost[[#Headers],[2025-02]],Table4[CostType],"Fixed")</f>
        <v>142.75</v>
      </c>
      <c r="AK58">
        <f>SUMIFS(Table4[ActualCost_Clean],Table4[ProductID_Clean],Product_Month_Actual_Fixed_Cost[[#This Row],[ProductID]],Table4[Period_Clean],Product_Month_Actual_Variable_Cost[[#Headers],[2025-03]],Table4[CostType],"Fixed")</f>
        <v>142.59</v>
      </c>
      <c r="AL58">
        <f>SUMIFS(Table4[ActualCost_Clean],Table4[ProductID_Clean],Product_Month_Actual_Fixed_Cost[[#This Row],[ProductID]],Table4[Period_Clean],Product_Month_Actual_Variable_Cost[[#Headers],[2025-04]],Table4[CostType],"Fixed")</f>
        <v>148.06</v>
      </c>
      <c r="AM58">
        <f>SUMIFS(Table4[ActualCost_Clean],Table4[ProductID_Clean],Product_Month_Actual_Fixed_Cost[[#This Row],[ProductID]],Table4[Period_Clean],Product_Month_Actual_Variable_Cost[[#Headers],[2025-05]],Table4[CostType],"Fixed")</f>
        <v>147.81</v>
      </c>
      <c r="AN58">
        <f>SUMIFS(Table4[ActualCost_Clean],Table4[ProductID_Clean],Product_Month_Actual_Fixed_Cost[[#This Row],[ProductID]],Table4[Period_Clean],Product_Month_Actual_Variable_Cost[[#Headers],[2025-06]],Table4[CostType],"Fixed")</f>
        <v>145.16999999999999</v>
      </c>
      <c r="AQ58" t="s">
        <v>22</v>
      </c>
      <c r="AR58" t="s">
        <v>23</v>
      </c>
      <c r="AS58">
        <f>Product_Month_Actual_Fixed_Cost[[#This Row],[2025-01]]*Table33[[#This Row],[1/1/2025]]</f>
        <v>564.36</v>
      </c>
      <c r="AT58">
        <f>Product_Month_Actual_Fixed_Cost[[#This Row],[2025-02]]*Table33[[#This Row],[2/1/2025]]</f>
        <v>2141.25</v>
      </c>
      <c r="AU58">
        <f>Product_Month_Actual_Fixed_Cost[[#This Row],[2025-03]]*Table33[[#This Row],[3/1/2025]]</f>
        <v>570.36</v>
      </c>
      <c r="AV58">
        <f>Product_Month_Actual_Fixed_Cost[[#This Row],[2025-04]]*Table33[[#This Row],[4/1/2025]]</f>
        <v>2813.14</v>
      </c>
      <c r="AW58">
        <f>Product_Month_Actual_Fixed_Cost[[#This Row],[2025-05]]*Table33[[#This Row],[5/1/2025]]</f>
        <v>739.05</v>
      </c>
      <c r="AX58">
        <f>Product_Month_Actual_Fixed_Cost[[#This Row],[2025-06]]*Table33[[#This Row],[6/1/2025]]</f>
        <v>1596.87</v>
      </c>
      <c r="AY58">
        <f>SUM(Product_Region_Monthly_Fixed_Cost[[#This Row],[25-Jan]:[25-Jun]])</f>
        <v>8425.0300000000007</v>
      </c>
      <c r="BB58" t="s">
        <v>22</v>
      </c>
      <c r="BC58" t="s">
        <v>23</v>
      </c>
      <c r="BD58">
        <f>Product_Region_Monthly_Fixed_Cost[[#This Row],[25-Jan]]+Product_Region_Monthly_Variable_Cost[[#This Row],[25-Jan]]</f>
        <v>5108.4399999999996</v>
      </c>
      <c r="BE58">
        <f>Product_Region_Monthly_Fixed_Cost[[#This Row],[25-Feb]]+Product_Region_Monthly_Variable_Cost[[#This Row],[25-Feb]]</f>
        <v>19157.550000000003</v>
      </c>
      <c r="BF58">
        <f>Product_Region_Monthly_Fixed_Cost[[#This Row],[25-Mar]]+Product_Region_Monthly_Variable_Cost[[#This Row],[25-Mar]]</f>
        <v>5165.4399999999996</v>
      </c>
      <c r="BG58">
        <f>Product_Region_Monthly_Fixed_Cost[[#This Row],[25-Apr]]+Product_Region_Monthly_Variable_Cost[[#This Row],[25-Apr]]</f>
        <v>24597.21</v>
      </c>
      <c r="BH58">
        <f>Product_Region_Monthly_Fixed_Cost[[#This Row],[25-May]]+Product_Region_Monthly_Variable_Cost[[#This Row],[25-May]]</f>
        <v>6460.5</v>
      </c>
      <c r="BI58">
        <f>Product_Region_Monthly_Fixed_Cost[[#This Row],[25-Jun]]+Product_Region_Monthly_Variable_Cost[[#This Row],[25-Jun]]</f>
        <v>14573.350000000002</v>
      </c>
      <c r="BJ58">
        <f>Product_Region_Monthly_Fixed_Cost[[#This Row],[H1 Fixed Cost]]+Product_Region_Monthly_Variable_Cost[[#This Row],[H1 Variable Cost]]</f>
        <v>75062.490000000005</v>
      </c>
    </row>
    <row r="59" spans="1:62">
      <c r="A59" t="s">
        <v>22</v>
      </c>
      <c r="B59" t="s">
        <v>47</v>
      </c>
      <c r="C59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59">
        <f>SUMIFS(Table1[Quantity],Table1[ProductID],Table33[[#This Row],[ProductID]],Table1[RegionClean_],Table33[[#This Row],[Region]],Table1[TransactionDate_Clean],"&gt;"&amp;EOMONTH($D$1,-1),Table1[TransactionDate_Clean],"&lt;="&amp;EOMONTH($D$1,0))</f>
        <v>3</v>
      </c>
      <c r="E59">
        <f>SUMIFS(Table1[Quantity],Table1[ProductID],Table33[[#This Row],[ProductID]],Table1[RegionClean_],Table33[[#This Row],[Region]],Table1[TransactionDate_Clean],"&gt;"&amp;EOMONTH($E$1,-1),Table1[TransactionDate_Clean],"&lt;="&amp;EOMONTH($E$1,0))</f>
        <v>14</v>
      </c>
      <c r="F59">
        <f>SUMIFS(Table1[Quantity],Table1[ProductID],Table33[[#This Row],[ProductID]],Table1[RegionClean_],Table33[[#This Row],[Region]],Table1[TransactionDate_Clean],"&gt;"&amp;EOMONTH($F$1,-1),Table1[TransactionDate_Clean],"&lt;="&amp;EOMONTH($F$1,0))</f>
        <v>20</v>
      </c>
      <c r="G59">
        <f>SUMIFS(Table1[Quantity],Table1[ProductID],Table33[[#This Row],[ProductID]],Table1[RegionClean_],Table33[[#This Row],[Region]],Table1[TransactionDate_Clean],"&gt;"&amp;EOMONTH($G$1,-1),Table1[TransactionDate_Clean],"&lt;="&amp;EOMONTH($G$1,0))</f>
        <v>43</v>
      </c>
      <c r="H59">
        <f>SUMIFS(Table1[Quantity],Table1[ProductID],Table33[[#This Row],[ProductID]],Table1[RegionClean_],Table33[[#This Row],[Region]],Table1[TransactionDate_Clean],"&gt;"&amp;EOMONTH($H$1,-1),Table1[TransactionDate_Clean],"&lt;="&amp;EOMONTH($H$1,0))</f>
        <v>16</v>
      </c>
      <c r="I59">
        <f>SUM(Table33[[#This Row],[1/1/2025]:[6/1/2025]])</f>
        <v>98</v>
      </c>
      <c r="L59" t="s">
        <v>22</v>
      </c>
      <c r="M59" t="s">
        <v>47</v>
      </c>
      <c r="N59">
        <f>SUMIFS(Table4[ActualCost_Clean],Table4[ProductID_Clean],Product_Month_Actual_Variable_Cost[[#This Row],[ProductID]],Table4[Period_Clean],Product_Month_Actual_Variable_Cost[[#Headers],[2025-01]],Table4[CostType],"Variable")</f>
        <v>1136.02</v>
      </c>
      <c r="O59">
        <f>SUMIFS(Table4[ActualCost_Clean],Table4[ProductID_Clean],Product_Month_Actual_Variable_Cost[[#This Row],[ProductID]],Table4[Period_Clean],Product_Month_Actual_Variable_Cost[[#Headers],[2025-02]],Table4[CostType],"Variable")</f>
        <v>1134.42</v>
      </c>
      <c r="P59">
        <f>SUMIFS(Table4[ActualCost_Clean],Table4[ProductID_Clean],Product_Month_Actual_Variable_Cost[[#This Row],[ProductID]],Table4[Period_Clean],Product_Month_Actual_Variable_Cost[[#Headers],[2025-03]],Table4[CostType],"Variable")</f>
        <v>1148.77</v>
      </c>
      <c r="Q59">
        <v>1146.53</v>
      </c>
      <c r="R59">
        <f>SUMIFS(Table4[ActualCost_Clean],Table4[ProductID_Clean],Product_Month_Actual_Variable_Cost[[#This Row],[ProductID]],Table4[Period_Clean],Product_Month_Actual_Variable_Cost[[#Headers],[2025-05]],Table4[CostType],"Variable")</f>
        <v>1144.29</v>
      </c>
      <c r="S59">
        <f>SUMIFS(Table4[ActualCost_Clean],Table4[ProductID_Clean],Product_Month_Actual_Variable_Cost[[#This Row],[ProductID]],Table4[Period_Clean],Product_Month_Actual_Variable_Cost[[#Headers],[2025-06]],Table4[CostType],"Variable")</f>
        <v>1179.68</v>
      </c>
      <c r="V59" t="s">
        <v>22</v>
      </c>
      <c r="W59" t="s">
        <v>47</v>
      </c>
      <c r="X59">
        <f>Table33[[#This Row],[1/1/2025]]*Product_Month_Actual_Variable_Cost[[#This Row],[2025-01]]</f>
        <v>2272.04</v>
      </c>
      <c r="Y59">
        <f>Table33[[#This Row],[2/1/2025]]*Product_Month_Actual_Variable_Cost[[#This Row],[2025-02]]</f>
        <v>3403.26</v>
      </c>
      <c r="Z59">
        <f>Table33[[#This Row],[3/1/2025]]*Product_Month_Actual_Variable_Cost[[#This Row],[2025-03]]</f>
        <v>16082.779999999999</v>
      </c>
      <c r="AA59">
        <f>Table33[[#This Row],[4/1/2025]]*Product_Month_Actual_Variable_Cost[[#This Row],[2025-04]]</f>
        <v>22930.6</v>
      </c>
      <c r="AB59">
        <f>Table33[[#This Row],[5/1/2025]]*Product_Month_Actual_Variable_Cost[[#This Row],[2025-05]]</f>
        <v>49204.47</v>
      </c>
      <c r="AC59">
        <f>Table33[[#This Row],[6/1/2025]]*Product_Month_Actual_Variable_Cost[[#This Row],[2025-06]]</f>
        <v>18874.88</v>
      </c>
      <c r="AD59">
        <f>SUM(Product_Region_Monthly_Variable_Cost[[#This Row],[25-Jan]:[25-Jun]])</f>
        <v>112768.03</v>
      </c>
      <c r="AG59" t="s">
        <v>22</v>
      </c>
      <c r="AH59" t="s">
        <v>47</v>
      </c>
      <c r="AI59">
        <f>SUMIFS(Table4[ActualCost_Clean],Table4[ProductID_Clean],Product_Month_Actual_Fixed_Cost[[#This Row],[ProductID]],Table4[Period_Clean],Product_Month_Actual_Variable_Cost[[#Headers],[2025-01]],Table4[CostType],"Fixed")</f>
        <v>141.09</v>
      </c>
      <c r="AJ59">
        <f>SUMIFS(Table4[ActualCost_Clean],Table4[ProductID_Clean],Product_Month_Actual_Fixed_Cost[[#This Row],[ProductID]],Table4[Period_Clean],Product_Month_Actual_Variable_Cost[[#Headers],[2025-02]],Table4[CostType],"Fixed")</f>
        <v>142.75</v>
      </c>
      <c r="AK59">
        <f>SUMIFS(Table4[ActualCost_Clean],Table4[ProductID_Clean],Product_Month_Actual_Fixed_Cost[[#This Row],[ProductID]],Table4[Period_Clean],Product_Month_Actual_Variable_Cost[[#Headers],[2025-03]],Table4[CostType],"Fixed")</f>
        <v>142.59</v>
      </c>
      <c r="AL59">
        <f>SUMIFS(Table4[ActualCost_Clean],Table4[ProductID_Clean],Product_Month_Actual_Fixed_Cost[[#This Row],[ProductID]],Table4[Period_Clean],Product_Month_Actual_Variable_Cost[[#Headers],[2025-04]],Table4[CostType],"Fixed")</f>
        <v>148.06</v>
      </c>
      <c r="AM59">
        <f>SUMIFS(Table4[ActualCost_Clean],Table4[ProductID_Clean],Product_Month_Actual_Fixed_Cost[[#This Row],[ProductID]],Table4[Period_Clean],Product_Month_Actual_Variable_Cost[[#Headers],[2025-05]],Table4[CostType],"Fixed")</f>
        <v>147.81</v>
      </c>
      <c r="AN59">
        <f>SUMIFS(Table4[ActualCost_Clean],Table4[ProductID_Clean],Product_Month_Actual_Fixed_Cost[[#This Row],[ProductID]],Table4[Period_Clean],Product_Month_Actual_Variable_Cost[[#Headers],[2025-06]],Table4[CostType],"Fixed")</f>
        <v>145.16999999999999</v>
      </c>
      <c r="AQ59" t="s">
        <v>22</v>
      </c>
      <c r="AR59" t="s">
        <v>47</v>
      </c>
      <c r="AS59">
        <f>Product_Month_Actual_Fixed_Cost[[#This Row],[2025-01]]*Table33[[#This Row],[1/1/2025]]</f>
        <v>282.18</v>
      </c>
      <c r="AT59">
        <f>Product_Month_Actual_Fixed_Cost[[#This Row],[2025-02]]*Table33[[#This Row],[2/1/2025]]</f>
        <v>428.25</v>
      </c>
      <c r="AU59">
        <f>Product_Month_Actual_Fixed_Cost[[#This Row],[2025-03]]*Table33[[#This Row],[3/1/2025]]</f>
        <v>1996.26</v>
      </c>
      <c r="AV59">
        <f>Product_Month_Actual_Fixed_Cost[[#This Row],[2025-04]]*Table33[[#This Row],[4/1/2025]]</f>
        <v>2961.2</v>
      </c>
      <c r="AW59">
        <f>Product_Month_Actual_Fixed_Cost[[#This Row],[2025-05]]*Table33[[#This Row],[5/1/2025]]</f>
        <v>6355.83</v>
      </c>
      <c r="AX59">
        <f>Product_Month_Actual_Fixed_Cost[[#This Row],[2025-06]]*Table33[[#This Row],[6/1/2025]]</f>
        <v>2322.7199999999998</v>
      </c>
      <c r="AY59">
        <f>SUM(Product_Region_Monthly_Fixed_Cost[[#This Row],[25-Jan]:[25-Jun]])</f>
        <v>14346.439999999999</v>
      </c>
      <c r="BB59" t="s">
        <v>22</v>
      </c>
      <c r="BC59" t="s">
        <v>47</v>
      </c>
      <c r="BD59">
        <f>Product_Region_Monthly_Fixed_Cost[[#This Row],[25-Jan]]+Product_Region_Monthly_Variable_Cost[[#This Row],[25-Jan]]</f>
        <v>2554.2199999999998</v>
      </c>
      <c r="BE59">
        <f>Product_Region_Monthly_Fixed_Cost[[#This Row],[25-Feb]]+Product_Region_Monthly_Variable_Cost[[#This Row],[25-Feb]]</f>
        <v>3831.51</v>
      </c>
      <c r="BF59">
        <f>Product_Region_Monthly_Fixed_Cost[[#This Row],[25-Mar]]+Product_Region_Monthly_Variable_Cost[[#This Row],[25-Mar]]</f>
        <v>18079.039999999997</v>
      </c>
      <c r="BG59">
        <f>Product_Region_Monthly_Fixed_Cost[[#This Row],[25-Apr]]+Product_Region_Monthly_Variable_Cost[[#This Row],[25-Apr]]</f>
        <v>25891.8</v>
      </c>
      <c r="BH59">
        <f>Product_Region_Monthly_Fixed_Cost[[#This Row],[25-May]]+Product_Region_Monthly_Variable_Cost[[#This Row],[25-May]]</f>
        <v>55560.3</v>
      </c>
      <c r="BI59">
        <f>Product_Region_Monthly_Fixed_Cost[[#This Row],[25-Jun]]+Product_Region_Monthly_Variable_Cost[[#This Row],[25-Jun]]</f>
        <v>21197.600000000002</v>
      </c>
      <c r="BJ59">
        <f>Product_Region_Monthly_Fixed_Cost[[#This Row],[H1 Fixed Cost]]+Product_Region_Monthly_Variable_Cost[[#This Row],[H1 Variable Cost]]</f>
        <v>127114.47</v>
      </c>
    </row>
    <row r="60" spans="1:62">
      <c r="A60" t="s">
        <v>22</v>
      </c>
      <c r="B60" t="s">
        <v>58</v>
      </c>
      <c r="C60">
        <f>SUMIFS(Table1[Quantity],Table1[ProductID],Table33[[#This Row],[ProductID]],Table1[RegionClean_],Table33[[#This Row],[Region]],Table1[TransactionDate_Clean],"&gt;"&amp;EOMONTH($C$1,-1),Table1[TransactionDate_Clean],"&lt;="&amp;EOMONTH($C$1,0))</f>
        <v>8</v>
      </c>
      <c r="D60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60">
        <f>SUMIFS(Table1[Quantity],Table1[ProductID],Table33[[#This Row],[ProductID]],Table1[RegionClean_],Table33[[#This Row],[Region]],Table1[TransactionDate_Clean],"&gt;"&amp;EOMONTH($E$1,-1),Table1[TransactionDate_Clean],"&lt;="&amp;EOMONTH($E$1,0))</f>
        <v>1</v>
      </c>
      <c r="F60">
        <f>SUMIFS(Table1[Quantity],Table1[ProductID],Table33[[#This Row],[ProductID]],Table1[RegionClean_],Table33[[#This Row],[Region]],Table1[TransactionDate_Clean],"&gt;"&amp;EOMONTH($F$1,-1),Table1[TransactionDate_Clean],"&lt;="&amp;EOMONTH($F$1,0))</f>
        <v>7</v>
      </c>
      <c r="G60">
        <f>SUMIFS(Table1[Quantity],Table1[ProductID],Table33[[#This Row],[ProductID]],Table1[RegionClean_],Table33[[#This Row],[Region]],Table1[TransactionDate_Clean],"&gt;"&amp;EOMONTH($G$1,-1),Table1[TransactionDate_Clean],"&lt;="&amp;EOMONTH($G$1,0))</f>
        <v>27</v>
      </c>
      <c r="H60">
        <f>SUMIFS(Table1[Quantity],Table1[ProductID],Table33[[#This Row],[ProductID]],Table1[RegionClean_],Table33[[#This Row],[Region]],Table1[TransactionDate_Clean],"&gt;"&amp;EOMONTH($H$1,-1),Table1[TransactionDate_Clean],"&lt;="&amp;EOMONTH($H$1,0))</f>
        <v>2</v>
      </c>
      <c r="I60">
        <f>SUM(Table33[[#This Row],[1/1/2025]:[6/1/2025]])</f>
        <v>45</v>
      </c>
      <c r="L60" t="s">
        <v>22</v>
      </c>
      <c r="M60" t="s">
        <v>58</v>
      </c>
      <c r="N60">
        <f>SUMIFS(Table4[ActualCost_Clean],Table4[ProductID_Clean],Product_Month_Actual_Variable_Cost[[#This Row],[ProductID]],Table4[Period_Clean],Product_Month_Actual_Variable_Cost[[#Headers],[2025-01]],Table4[CostType],"Variable")</f>
        <v>1136.02</v>
      </c>
      <c r="O60">
        <f>SUMIFS(Table4[ActualCost_Clean],Table4[ProductID_Clean],Product_Month_Actual_Variable_Cost[[#This Row],[ProductID]],Table4[Period_Clean],Product_Month_Actual_Variable_Cost[[#Headers],[2025-02]],Table4[CostType],"Variable")</f>
        <v>1134.42</v>
      </c>
      <c r="P60">
        <f>SUMIFS(Table4[ActualCost_Clean],Table4[ProductID_Clean],Product_Month_Actual_Variable_Cost[[#This Row],[ProductID]],Table4[Period_Clean],Product_Month_Actual_Variable_Cost[[#Headers],[2025-03]],Table4[CostType],"Variable")</f>
        <v>1148.77</v>
      </c>
      <c r="Q60">
        <v>1146.53</v>
      </c>
      <c r="R60">
        <f>SUMIFS(Table4[ActualCost_Clean],Table4[ProductID_Clean],Product_Month_Actual_Variable_Cost[[#This Row],[ProductID]],Table4[Period_Clean],Product_Month_Actual_Variable_Cost[[#Headers],[2025-05]],Table4[CostType],"Variable")</f>
        <v>1144.29</v>
      </c>
      <c r="S60">
        <f>SUMIFS(Table4[ActualCost_Clean],Table4[ProductID_Clean],Product_Month_Actual_Variable_Cost[[#This Row],[ProductID]],Table4[Period_Clean],Product_Month_Actual_Variable_Cost[[#Headers],[2025-06]],Table4[CostType],"Variable")</f>
        <v>1179.68</v>
      </c>
      <c r="V60" t="s">
        <v>22</v>
      </c>
      <c r="W60" t="s">
        <v>58</v>
      </c>
      <c r="X60">
        <f>Table33[[#This Row],[1/1/2025]]*Product_Month_Actual_Variable_Cost[[#This Row],[2025-01]]</f>
        <v>9088.16</v>
      </c>
      <c r="Y60">
        <f>Table33[[#This Row],[2/1/2025]]*Product_Month_Actual_Variable_Cost[[#This Row],[2025-02]]</f>
        <v>0</v>
      </c>
      <c r="Z60">
        <f>Table33[[#This Row],[3/1/2025]]*Product_Month_Actual_Variable_Cost[[#This Row],[2025-03]]</f>
        <v>1148.77</v>
      </c>
      <c r="AA60">
        <f>Table33[[#This Row],[4/1/2025]]*Product_Month_Actual_Variable_Cost[[#This Row],[2025-04]]</f>
        <v>8025.71</v>
      </c>
      <c r="AB60">
        <f>Table33[[#This Row],[5/1/2025]]*Product_Month_Actual_Variable_Cost[[#This Row],[2025-05]]</f>
        <v>30895.829999999998</v>
      </c>
      <c r="AC60">
        <f>Table33[[#This Row],[6/1/2025]]*Product_Month_Actual_Variable_Cost[[#This Row],[2025-06]]</f>
        <v>2359.36</v>
      </c>
      <c r="AD60">
        <f>SUM(Product_Region_Monthly_Variable_Cost[[#This Row],[25-Jan]:[25-Jun]])</f>
        <v>51517.83</v>
      </c>
      <c r="AG60" t="s">
        <v>22</v>
      </c>
      <c r="AH60" t="s">
        <v>58</v>
      </c>
      <c r="AI60">
        <f>SUMIFS(Table4[ActualCost_Clean],Table4[ProductID_Clean],Product_Month_Actual_Fixed_Cost[[#This Row],[ProductID]],Table4[Period_Clean],Product_Month_Actual_Variable_Cost[[#Headers],[2025-01]],Table4[CostType],"Fixed")</f>
        <v>141.09</v>
      </c>
      <c r="AJ60">
        <f>SUMIFS(Table4[ActualCost_Clean],Table4[ProductID_Clean],Product_Month_Actual_Fixed_Cost[[#This Row],[ProductID]],Table4[Period_Clean],Product_Month_Actual_Variable_Cost[[#Headers],[2025-02]],Table4[CostType],"Fixed")</f>
        <v>142.75</v>
      </c>
      <c r="AK60">
        <f>SUMIFS(Table4[ActualCost_Clean],Table4[ProductID_Clean],Product_Month_Actual_Fixed_Cost[[#This Row],[ProductID]],Table4[Period_Clean],Product_Month_Actual_Variable_Cost[[#Headers],[2025-03]],Table4[CostType],"Fixed")</f>
        <v>142.59</v>
      </c>
      <c r="AL60">
        <f>SUMIFS(Table4[ActualCost_Clean],Table4[ProductID_Clean],Product_Month_Actual_Fixed_Cost[[#This Row],[ProductID]],Table4[Period_Clean],Product_Month_Actual_Variable_Cost[[#Headers],[2025-04]],Table4[CostType],"Fixed")</f>
        <v>148.06</v>
      </c>
      <c r="AM60">
        <f>SUMIFS(Table4[ActualCost_Clean],Table4[ProductID_Clean],Product_Month_Actual_Fixed_Cost[[#This Row],[ProductID]],Table4[Period_Clean],Product_Month_Actual_Variable_Cost[[#Headers],[2025-05]],Table4[CostType],"Fixed")</f>
        <v>147.81</v>
      </c>
      <c r="AN60">
        <f>SUMIFS(Table4[ActualCost_Clean],Table4[ProductID_Clean],Product_Month_Actual_Fixed_Cost[[#This Row],[ProductID]],Table4[Period_Clean],Product_Month_Actual_Variable_Cost[[#Headers],[2025-06]],Table4[CostType],"Fixed")</f>
        <v>145.16999999999999</v>
      </c>
      <c r="AQ60" t="s">
        <v>22</v>
      </c>
      <c r="AR60" t="s">
        <v>58</v>
      </c>
      <c r="AS60">
        <f>Product_Month_Actual_Fixed_Cost[[#This Row],[2025-01]]*Table33[[#This Row],[1/1/2025]]</f>
        <v>1128.72</v>
      </c>
      <c r="AT60">
        <f>Product_Month_Actual_Fixed_Cost[[#This Row],[2025-02]]*Table33[[#This Row],[2/1/2025]]</f>
        <v>0</v>
      </c>
      <c r="AU60">
        <f>Product_Month_Actual_Fixed_Cost[[#This Row],[2025-03]]*Table33[[#This Row],[3/1/2025]]</f>
        <v>142.59</v>
      </c>
      <c r="AV60">
        <f>Product_Month_Actual_Fixed_Cost[[#This Row],[2025-04]]*Table33[[#This Row],[4/1/2025]]</f>
        <v>1036.42</v>
      </c>
      <c r="AW60">
        <f>Product_Month_Actual_Fixed_Cost[[#This Row],[2025-05]]*Table33[[#This Row],[5/1/2025]]</f>
        <v>3990.87</v>
      </c>
      <c r="AX60">
        <f>Product_Month_Actual_Fixed_Cost[[#This Row],[2025-06]]*Table33[[#This Row],[6/1/2025]]</f>
        <v>290.33999999999997</v>
      </c>
      <c r="AY60">
        <f>SUM(Product_Region_Monthly_Fixed_Cost[[#This Row],[25-Jan]:[25-Jun]])</f>
        <v>6588.9400000000005</v>
      </c>
      <c r="BB60" t="s">
        <v>22</v>
      </c>
      <c r="BC60" t="s">
        <v>58</v>
      </c>
      <c r="BD60">
        <f>Product_Region_Monthly_Fixed_Cost[[#This Row],[25-Jan]]+Product_Region_Monthly_Variable_Cost[[#This Row],[25-Jan]]</f>
        <v>10216.879999999999</v>
      </c>
      <c r="BE60">
        <f>Product_Region_Monthly_Fixed_Cost[[#This Row],[25-Feb]]+Product_Region_Monthly_Variable_Cost[[#This Row],[25-Feb]]</f>
        <v>0</v>
      </c>
      <c r="BF60">
        <f>Product_Region_Monthly_Fixed_Cost[[#This Row],[25-Mar]]+Product_Region_Monthly_Variable_Cost[[#This Row],[25-Mar]]</f>
        <v>1291.3599999999999</v>
      </c>
      <c r="BG60">
        <f>Product_Region_Monthly_Fixed_Cost[[#This Row],[25-Apr]]+Product_Region_Monthly_Variable_Cost[[#This Row],[25-Apr]]</f>
        <v>9062.130000000001</v>
      </c>
      <c r="BH60">
        <f>Product_Region_Monthly_Fixed_Cost[[#This Row],[25-May]]+Product_Region_Monthly_Variable_Cost[[#This Row],[25-May]]</f>
        <v>34886.699999999997</v>
      </c>
      <c r="BI60">
        <f>Product_Region_Monthly_Fixed_Cost[[#This Row],[25-Jun]]+Product_Region_Monthly_Variable_Cost[[#This Row],[25-Jun]]</f>
        <v>2649.7000000000003</v>
      </c>
      <c r="BJ60">
        <f>Product_Region_Monthly_Fixed_Cost[[#This Row],[H1 Fixed Cost]]+Product_Region_Monthly_Variable_Cost[[#This Row],[H1 Variable Cost]]</f>
        <v>58106.770000000004</v>
      </c>
    </row>
    <row r="61" spans="1:62">
      <c r="A61" t="s">
        <v>22</v>
      </c>
      <c r="B61" t="s">
        <v>32</v>
      </c>
      <c r="C61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61">
        <f>SUMIFS(Table1[Quantity],Table1[ProductID],Table33[[#This Row],[ProductID]],Table1[RegionClean_],Table33[[#This Row],[Region]],Table1[TransactionDate_Clean],"&gt;"&amp;EOMONTH($D$1,-1),Table1[TransactionDate_Clean],"&lt;="&amp;EOMONTH($D$1,0))</f>
        <v>4</v>
      </c>
      <c r="E61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61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61">
        <f>SUMIFS(Table1[Quantity],Table1[ProductID],Table33[[#This Row],[ProductID]],Table1[RegionClean_],Table33[[#This Row],[Region]],Table1[TransactionDate_Clean],"&gt;"&amp;EOMONTH($G$1,-1),Table1[TransactionDate_Clean],"&lt;="&amp;EOMONTH($G$1,0))</f>
        <v>10</v>
      </c>
      <c r="H61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61">
        <f>SUM(Table33[[#This Row],[1/1/2025]:[6/1/2025]])</f>
        <v>15</v>
      </c>
      <c r="L61" t="s">
        <v>22</v>
      </c>
      <c r="M61" t="s">
        <v>32</v>
      </c>
      <c r="N61">
        <f>SUMIFS(Table4[ActualCost_Clean],Table4[ProductID_Clean],Product_Month_Actual_Variable_Cost[[#This Row],[ProductID]],Table4[Period_Clean],Product_Month_Actual_Variable_Cost[[#Headers],[2025-01]],Table4[CostType],"Variable")</f>
        <v>1136.02</v>
      </c>
      <c r="O61">
        <f>SUMIFS(Table4[ActualCost_Clean],Table4[ProductID_Clean],Product_Month_Actual_Variable_Cost[[#This Row],[ProductID]],Table4[Period_Clean],Product_Month_Actual_Variable_Cost[[#Headers],[2025-02]],Table4[CostType],"Variable")</f>
        <v>1134.42</v>
      </c>
      <c r="P61">
        <f>SUMIFS(Table4[ActualCost_Clean],Table4[ProductID_Clean],Product_Month_Actual_Variable_Cost[[#This Row],[ProductID]],Table4[Period_Clean],Product_Month_Actual_Variable_Cost[[#Headers],[2025-03]],Table4[CostType],"Variable")</f>
        <v>1148.77</v>
      </c>
      <c r="Q61">
        <v>1146.53</v>
      </c>
      <c r="R61">
        <f>SUMIFS(Table4[ActualCost_Clean],Table4[ProductID_Clean],Product_Month_Actual_Variable_Cost[[#This Row],[ProductID]],Table4[Period_Clean],Product_Month_Actual_Variable_Cost[[#Headers],[2025-05]],Table4[CostType],"Variable")</f>
        <v>1144.29</v>
      </c>
      <c r="S61">
        <f>SUMIFS(Table4[ActualCost_Clean],Table4[ProductID_Clean],Product_Month_Actual_Variable_Cost[[#This Row],[ProductID]],Table4[Period_Clean],Product_Month_Actual_Variable_Cost[[#Headers],[2025-06]],Table4[CostType],"Variable")</f>
        <v>1179.68</v>
      </c>
      <c r="V61" t="s">
        <v>22</v>
      </c>
      <c r="W61" t="s">
        <v>32</v>
      </c>
      <c r="X61">
        <f>Table33[[#This Row],[1/1/2025]]*Product_Month_Actual_Variable_Cost[[#This Row],[2025-01]]</f>
        <v>0</v>
      </c>
      <c r="Y61">
        <f>Table33[[#This Row],[2/1/2025]]*Product_Month_Actual_Variable_Cost[[#This Row],[2025-02]]</f>
        <v>4537.68</v>
      </c>
      <c r="Z61">
        <f>Table33[[#This Row],[3/1/2025]]*Product_Month_Actual_Variable_Cost[[#This Row],[2025-03]]</f>
        <v>0</v>
      </c>
      <c r="AA61">
        <f>Table33[[#This Row],[4/1/2025]]*Product_Month_Actual_Variable_Cost[[#This Row],[2025-04]]</f>
        <v>0</v>
      </c>
      <c r="AB61">
        <f>Table33[[#This Row],[5/1/2025]]*Product_Month_Actual_Variable_Cost[[#This Row],[2025-05]]</f>
        <v>11442.9</v>
      </c>
      <c r="AC61">
        <f>Table33[[#This Row],[6/1/2025]]*Product_Month_Actual_Variable_Cost[[#This Row],[2025-06]]</f>
        <v>1179.68</v>
      </c>
      <c r="AD61">
        <f>SUM(Product_Region_Monthly_Variable_Cost[[#This Row],[25-Jan]:[25-Jun]])</f>
        <v>17160.259999999998</v>
      </c>
      <c r="AG61" t="s">
        <v>22</v>
      </c>
      <c r="AH61" t="s">
        <v>32</v>
      </c>
      <c r="AI61">
        <f>SUMIFS(Table4[ActualCost_Clean],Table4[ProductID_Clean],Product_Month_Actual_Fixed_Cost[[#This Row],[ProductID]],Table4[Period_Clean],Product_Month_Actual_Variable_Cost[[#Headers],[2025-01]],Table4[CostType],"Fixed")</f>
        <v>141.09</v>
      </c>
      <c r="AJ61">
        <f>SUMIFS(Table4[ActualCost_Clean],Table4[ProductID_Clean],Product_Month_Actual_Fixed_Cost[[#This Row],[ProductID]],Table4[Period_Clean],Product_Month_Actual_Variable_Cost[[#Headers],[2025-02]],Table4[CostType],"Fixed")</f>
        <v>142.75</v>
      </c>
      <c r="AK61">
        <f>SUMIFS(Table4[ActualCost_Clean],Table4[ProductID_Clean],Product_Month_Actual_Fixed_Cost[[#This Row],[ProductID]],Table4[Period_Clean],Product_Month_Actual_Variable_Cost[[#Headers],[2025-03]],Table4[CostType],"Fixed")</f>
        <v>142.59</v>
      </c>
      <c r="AL61">
        <f>SUMIFS(Table4[ActualCost_Clean],Table4[ProductID_Clean],Product_Month_Actual_Fixed_Cost[[#This Row],[ProductID]],Table4[Period_Clean],Product_Month_Actual_Variable_Cost[[#Headers],[2025-04]],Table4[CostType],"Fixed")</f>
        <v>148.06</v>
      </c>
      <c r="AM61">
        <f>SUMIFS(Table4[ActualCost_Clean],Table4[ProductID_Clean],Product_Month_Actual_Fixed_Cost[[#This Row],[ProductID]],Table4[Period_Clean],Product_Month_Actual_Variable_Cost[[#Headers],[2025-05]],Table4[CostType],"Fixed")</f>
        <v>147.81</v>
      </c>
      <c r="AN61">
        <f>SUMIFS(Table4[ActualCost_Clean],Table4[ProductID_Clean],Product_Month_Actual_Fixed_Cost[[#This Row],[ProductID]],Table4[Period_Clean],Product_Month_Actual_Variable_Cost[[#Headers],[2025-06]],Table4[CostType],"Fixed")</f>
        <v>145.16999999999999</v>
      </c>
      <c r="AQ61" t="s">
        <v>22</v>
      </c>
      <c r="AR61" t="s">
        <v>32</v>
      </c>
      <c r="AS61">
        <f>Product_Month_Actual_Fixed_Cost[[#This Row],[2025-01]]*Table33[[#This Row],[1/1/2025]]</f>
        <v>0</v>
      </c>
      <c r="AT61">
        <f>Product_Month_Actual_Fixed_Cost[[#This Row],[2025-02]]*Table33[[#This Row],[2/1/2025]]</f>
        <v>571</v>
      </c>
      <c r="AU61">
        <f>Product_Month_Actual_Fixed_Cost[[#This Row],[2025-03]]*Table33[[#This Row],[3/1/2025]]</f>
        <v>0</v>
      </c>
      <c r="AV61">
        <f>Product_Month_Actual_Fixed_Cost[[#This Row],[2025-04]]*Table33[[#This Row],[4/1/2025]]</f>
        <v>0</v>
      </c>
      <c r="AW61">
        <f>Product_Month_Actual_Fixed_Cost[[#This Row],[2025-05]]*Table33[[#This Row],[5/1/2025]]</f>
        <v>1478.1</v>
      </c>
      <c r="AX61">
        <f>Product_Month_Actual_Fixed_Cost[[#This Row],[2025-06]]*Table33[[#This Row],[6/1/2025]]</f>
        <v>145.16999999999999</v>
      </c>
      <c r="AY61">
        <f>SUM(Product_Region_Monthly_Fixed_Cost[[#This Row],[25-Jan]:[25-Jun]])</f>
        <v>2194.27</v>
      </c>
      <c r="BB61" t="s">
        <v>22</v>
      </c>
      <c r="BC61" t="s">
        <v>32</v>
      </c>
      <c r="BD61">
        <f>Product_Region_Monthly_Fixed_Cost[[#This Row],[25-Jan]]+Product_Region_Monthly_Variable_Cost[[#This Row],[25-Jan]]</f>
        <v>0</v>
      </c>
      <c r="BE61">
        <f>Product_Region_Monthly_Fixed_Cost[[#This Row],[25-Feb]]+Product_Region_Monthly_Variable_Cost[[#This Row],[25-Feb]]</f>
        <v>5108.68</v>
      </c>
      <c r="BF61">
        <f>Product_Region_Monthly_Fixed_Cost[[#This Row],[25-Mar]]+Product_Region_Monthly_Variable_Cost[[#This Row],[25-Mar]]</f>
        <v>0</v>
      </c>
      <c r="BG61">
        <f>Product_Region_Monthly_Fixed_Cost[[#This Row],[25-Apr]]+Product_Region_Monthly_Variable_Cost[[#This Row],[25-Apr]]</f>
        <v>0</v>
      </c>
      <c r="BH61">
        <f>Product_Region_Monthly_Fixed_Cost[[#This Row],[25-May]]+Product_Region_Monthly_Variable_Cost[[#This Row],[25-May]]</f>
        <v>12921</v>
      </c>
      <c r="BI61">
        <f>Product_Region_Monthly_Fixed_Cost[[#This Row],[25-Jun]]+Product_Region_Monthly_Variable_Cost[[#This Row],[25-Jun]]</f>
        <v>1324.8500000000001</v>
      </c>
      <c r="BJ61">
        <f>Product_Region_Monthly_Fixed_Cost[[#This Row],[H1 Fixed Cost]]+Product_Region_Monthly_Variable_Cost[[#This Row],[H1 Variable Cost]]</f>
        <v>19354.53</v>
      </c>
    </row>
    <row r="62" spans="1:62">
      <c r="A62" t="s">
        <v>57</v>
      </c>
      <c r="B62" t="s">
        <v>23</v>
      </c>
      <c r="C62">
        <f>SUMIFS(Table1[Quantity],Table1[ProductID],Table33[[#This Row],[ProductID]],Table1[RegionClean_],Table33[[#This Row],[Region]],Table1[TransactionDate_Clean],"&gt;"&amp;EOMONTH($C$1,-1),Table1[TransactionDate_Clean],"&lt;="&amp;EOMONTH($C$1,0))</f>
        <v>4</v>
      </c>
      <c r="D62">
        <f>SUMIFS(Table1[Quantity],Table1[ProductID],Table33[[#This Row],[ProductID]],Table1[RegionClean_],Table33[[#This Row],[Region]],Table1[TransactionDate_Clean],"&gt;"&amp;EOMONTH($D$1,-1),Table1[TransactionDate_Clean],"&lt;="&amp;EOMONTH($D$1,0))</f>
        <v>9</v>
      </c>
      <c r="E62">
        <f>SUMIFS(Table1[Quantity],Table1[ProductID],Table33[[#This Row],[ProductID]],Table1[RegionClean_],Table33[[#This Row],[Region]],Table1[TransactionDate_Clean],"&gt;"&amp;EOMONTH($E$1,-1),Table1[TransactionDate_Clean],"&lt;="&amp;EOMONTH($E$1,0))</f>
        <v>14</v>
      </c>
      <c r="F62">
        <f>SUMIFS(Table1[Quantity],Table1[ProductID],Table33[[#This Row],[ProductID]],Table1[RegionClean_],Table33[[#This Row],[Region]],Table1[TransactionDate_Clean],"&gt;"&amp;EOMONTH($F$1,-1),Table1[TransactionDate_Clean],"&lt;="&amp;EOMONTH($F$1,0))</f>
        <v>22</v>
      </c>
      <c r="G62">
        <f>SUMIFS(Table1[Quantity],Table1[ProductID],Table33[[#This Row],[ProductID]],Table1[RegionClean_],Table33[[#This Row],[Region]],Table1[TransactionDate_Clean],"&gt;"&amp;EOMONTH($G$1,-1),Table1[TransactionDate_Clean],"&lt;="&amp;EOMONTH($G$1,0))</f>
        <v>16</v>
      </c>
      <c r="H62">
        <f>SUMIFS(Table1[Quantity],Table1[ProductID],Table33[[#This Row],[ProductID]],Table1[RegionClean_],Table33[[#This Row],[Region]],Table1[TransactionDate_Clean],"&gt;"&amp;EOMONTH($H$1,-1),Table1[TransactionDate_Clean],"&lt;="&amp;EOMONTH($H$1,0))</f>
        <v>17</v>
      </c>
      <c r="I62">
        <f>SUM(Table33[[#This Row],[1/1/2025]:[6/1/2025]])</f>
        <v>82</v>
      </c>
      <c r="L62" t="s">
        <v>57</v>
      </c>
      <c r="M62" t="s">
        <v>23</v>
      </c>
      <c r="N62">
        <f>SUMIFS(Table4[ActualCost_Clean],Table4[ProductID_Clean],Product_Month_Actual_Variable_Cost[[#This Row],[ProductID]],Table4[Period_Clean],Product_Month_Actual_Variable_Cost[[#Headers],[2025-01]],Table4[CostType],"Variable")</f>
        <v>442.85</v>
      </c>
      <c r="O62">
        <f>SUMIFS(Table4[ActualCost_Clean],Table4[ProductID_Clean],Product_Month_Actual_Variable_Cost[[#This Row],[ProductID]],Table4[Period_Clean],Product_Month_Actual_Variable_Cost[[#Headers],[2025-02]],Table4[CostType],"Variable")</f>
        <v>448.54</v>
      </c>
      <c r="P62">
        <f>SUMIFS(Table4[ActualCost_Clean],Table4[ProductID_Clean],Product_Month_Actual_Variable_Cost[[#This Row],[ProductID]],Table4[Period_Clean],Product_Month_Actual_Variable_Cost[[#Headers],[2025-03]],Table4[CostType],"Variable")</f>
        <v>432.66</v>
      </c>
      <c r="Q62">
        <f>SUMIFS(Table4[ActualCost_Clean],Table4[ProductID_Clean],Product_Month_Actual_Variable_Cost[[#This Row],[ProductID]],Table4[Period_Clean],Product_Month_Actual_Variable_Cost[[#Headers],[2025-04]],Table4[CostType],"Variable")</f>
        <v>432.36</v>
      </c>
      <c r="R62">
        <f>SUMIFS(Table4[ActualCost_Clean],Table4[ProductID_Clean],Product_Month_Actual_Variable_Cost[[#This Row],[ProductID]],Table4[Period_Clean],Product_Month_Actual_Variable_Cost[[#Headers],[2025-05]],Table4[CostType],"Variable")</f>
        <v>460.77</v>
      </c>
      <c r="S62">
        <f>SUMIFS(Table4[ActualCost_Clean],Table4[ProductID_Clean],Product_Month_Actual_Variable_Cost[[#This Row],[ProductID]],Table4[Period_Clean],Product_Month_Actual_Variable_Cost[[#Headers],[2025-06]],Table4[CostType],"Variable")</f>
        <v>430.31</v>
      </c>
      <c r="V62" t="s">
        <v>57</v>
      </c>
      <c r="W62" t="s">
        <v>23</v>
      </c>
      <c r="X62">
        <f>Table33[[#This Row],[1/1/2025]]*Product_Month_Actual_Variable_Cost[[#This Row],[2025-01]]</f>
        <v>1771.4</v>
      </c>
      <c r="Y62">
        <f>Table33[[#This Row],[2/1/2025]]*Product_Month_Actual_Variable_Cost[[#This Row],[2025-02]]</f>
        <v>4036.86</v>
      </c>
      <c r="Z62">
        <f>Table33[[#This Row],[3/1/2025]]*Product_Month_Actual_Variable_Cost[[#This Row],[2025-03]]</f>
        <v>6057.2400000000007</v>
      </c>
      <c r="AA62">
        <f>Table33[[#This Row],[4/1/2025]]*Product_Month_Actual_Variable_Cost[[#This Row],[2025-04]]</f>
        <v>9511.92</v>
      </c>
      <c r="AB62">
        <f>Table33[[#This Row],[5/1/2025]]*Product_Month_Actual_Variable_Cost[[#This Row],[2025-05]]</f>
        <v>7372.32</v>
      </c>
      <c r="AC62">
        <f>Table33[[#This Row],[6/1/2025]]*Product_Month_Actual_Variable_Cost[[#This Row],[2025-06]]</f>
        <v>7315.27</v>
      </c>
      <c r="AD62">
        <f>SUM(Product_Region_Monthly_Variable_Cost[[#This Row],[25-Jan]:[25-Jun]])</f>
        <v>36065.009999999995</v>
      </c>
      <c r="AG62" t="s">
        <v>57</v>
      </c>
      <c r="AH62" t="s">
        <v>23</v>
      </c>
      <c r="AI62">
        <f>SUMIFS(Table4[ActualCost_Clean],Table4[ProductID_Clean],Product_Month_Actual_Fixed_Cost[[#This Row],[ProductID]],Table4[Period_Clean],Product_Month_Actual_Variable_Cost[[#Headers],[2025-01]],Table4[CostType],"Fixed")</f>
        <v>75.209999999999994</v>
      </c>
      <c r="AJ62">
        <f>SUMIFS(Table4[ActualCost_Clean],Table4[ProductID_Clean],Product_Month_Actual_Fixed_Cost[[#This Row],[ProductID]],Table4[Period_Clean],Product_Month_Actual_Variable_Cost[[#Headers],[2025-02]],Table4[CostType],"Fixed")</f>
        <v>74.64</v>
      </c>
      <c r="AK62">
        <f>SUMIFS(Table4[ActualCost_Clean],Table4[ProductID_Clean],Product_Month_Actual_Fixed_Cost[[#This Row],[ProductID]],Table4[Period_Clean],Product_Month_Actual_Variable_Cost[[#Headers],[2025-03]],Table4[CostType],"Fixed")</f>
        <v>76.680000000000007</v>
      </c>
      <c r="AL62">
        <f>SUMIFS(Table4[ActualCost_Clean],Table4[ProductID_Clean],Product_Month_Actual_Fixed_Cost[[#This Row],[ProductID]],Table4[Period_Clean],Product_Month_Actual_Variable_Cost[[#Headers],[2025-04]],Table4[CostType],"Fixed")</f>
        <v>81.91</v>
      </c>
      <c r="AM62">
        <f>SUMIFS(Table4[ActualCost_Clean],Table4[ProductID_Clean],Product_Month_Actual_Fixed_Cost[[#This Row],[ProductID]],Table4[Period_Clean],Product_Month_Actual_Variable_Cost[[#Headers],[2025-05]],Table4[CostType],"Fixed")</f>
        <v>76.5</v>
      </c>
      <c r="AN62">
        <v>76.5</v>
      </c>
      <c r="AQ62" t="s">
        <v>57</v>
      </c>
      <c r="AR62" t="s">
        <v>23</v>
      </c>
      <c r="AS62">
        <f>Product_Month_Actual_Fixed_Cost[[#This Row],[2025-01]]*Table33[[#This Row],[1/1/2025]]</f>
        <v>300.83999999999997</v>
      </c>
      <c r="AT62">
        <f>Product_Month_Actual_Fixed_Cost[[#This Row],[2025-02]]*Table33[[#This Row],[2/1/2025]]</f>
        <v>671.76</v>
      </c>
      <c r="AU62">
        <f>Product_Month_Actual_Fixed_Cost[[#This Row],[2025-03]]*Table33[[#This Row],[3/1/2025]]</f>
        <v>1073.52</v>
      </c>
      <c r="AV62">
        <f>Product_Month_Actual_Fixed_Cost[[#This Row],[2025-04]]*Table33[[#This Row],[4/1/2025]]</f>
        <v>1802.02</v>
      </c>
      <c r="AW62">
        <f>Product_Month_Actual_Fixed_Cost[[#This Row],[2025-05]]*Table33[[#This Row],[5/1/2025]]</f>
        <v>1224</v>
      </c>
      <c r="AX62">
        <f>Product_Month_Actual_Fixed_Cost[[#This Row],[2025-06]]*Table33[[#This Row],[6/1/2025]]</f>
        <v>1300.5</v>
      </c>
      <c r="AY62">
        <f>SUM(Product_Region_Monthly_Fixed_Cost[[#This Row],[25-Jan]:[25-Jun]])</f>
        <v>6372.6399999999994</v>
      </c>
      <c r="BB62" t="s">
        <v>57</v>
      </c>
      <c r="BC62" t="s">
        <v>23</v>
      </c>
      <c r="BD62">
        <f>Product_Region_Monthly_Fixed_Cost[[#This Row],[25-Jan]]+Product_Region_Monthly_Variable_Cost[[#This Row],[25-Jan]]</f>
        <v>2072.2400000000002</v>
      </c>
      <c r="BE62">
        <f>Product_Region_Monthly_Fixed_Cost[[#This Row],[25-Feb]]+Product_Region_Monthly_Variable_Cost[[#This Row],[25-Feb]]</f>
        <v>4708.62</v>
      </c>
      <c r="BF62">
        <f>Product_Region_Monthly_Fixed_Cost[[#This Row],[25-Mar]]+Product_Region_Monthly_Variable_Cost[[#This Row],[25-Mar]]</f>
        <v>7130.76</v>
      </c>
      <c r="BG62">
        <f>Product_Region_Monthly_Fixed_Cost[[#This Row],[25-Apr]]+Product_Region_Monthly_Variable_Cost[[#This Row],[25-Apr]]</f>
        <v>11313.94</v>
      </c>
      <c r="BH62">
        <f>Product_Region_Monthly_Fixed_Cost[[#This Row],[25-May]]+Product_Region_Monthly_Variable_Cost[[#This Row],[25-May]]</f>
        <v>8596.32</v>
      </c>
      <c r="BI62">
        <f>Product_Region_Monthly_Fixed_Cost[[#This Row],[25-Jun]]+Product_Region_Monthly_Variable_Cost[[#This Row],[25-Jun]]</f>
        <v>8615.77</v>
      </c>
      <c r="BJ62">
        <f>Product_Region_Monthly_Fixed_Cost[[#This Row],[H1 Fixed Cost]]+Product_Region_Monthly_Variable_Cost[[#This Row],[H1 Variable Cost]]</f>
        <v>42437.649999999994</v>
      </c>
    </row>
    <row r="63" spans="1:62">
      <c r="A63" t="s">
        <v>57</v>
      </c>
      <c r="B63" t="s">
        <v>47</v>
      </c>
      <c r="C63">
        <f>SUMIFS(Table1[Quantity],Table1[ProductID],Table33[[#This Row],[ProductID]],Table1[RegionClean_],Table33[[#This Row],[Region]],Table1[TransactionDate_Clean],"&gt;"&amp;EOMONTH($C$1,-1),Table1[TransactionDate_Clean],"&lt;="&amp;EOMONTH($C$1,0))</f>
        <v>6</v>
      </c>
      <c r="D63">
        <f>SUMIFS(Table1[Quantity],Table1[ProductID],Table33[[#This Row],[ProductID]],Table1[RegionClean_],Table33[[#This Row],[Region]],Table1[TransactionDate_Clean],"&gt;"&amp;EOMONTH($D$1,-1),Table1[TransactionDate_Clean],"&lt;="&amp;EOMONTH($D$1,0))</f>
        <v>20</v>
      </c>
      <c r="E63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63">
        <f>SUMIFS(Table1[Quantity],Table1[ProductID],Table33[[#This Row],[ProductID]],Table1[RegionClean_],Table33[[#This Row],[Region]],Table1[TransactionDate_Clean],"&gt;"&amp;EOMONTH($F$1,-1),Table1[TransactionDate_Clean],"&lt;="&amp;EOMONTH($F$1,0))</f>
        <v>15</v>
      </c>
      <c r="G63">
        <f>SUMIFS(Table1[Quantity],Table1[ProductID],Table33[[#This Row],[ProductID]],Table1[RegionClean_],Table33[[#This Row],[Region]],Table1[TransactionDate_Clean],"&gt;"&amp;EOMONTH($G$1,-1),Table1[TransactionDate_Clean],"&lt;="&amp;EOMONTH($G$1,0))</f>
        <v>3</v>
      </c>
      <c r="H63">
        <f>SUMIFS(Table1[Quantity],Table1[ProductID],Table33[[#This Row],[ProductID]],Table1[RegionClean_],Table33[[#This Row],[Region]],Table1[TransactionDate_Clean],"&gt;"&amp;EOMONTH($H$1,-1),Table1[TransactionDate_Clean],"&lt;="&amp;EOMONTH($H$1,0))</f>
        <v>50</v>
      </c>
      <c r="I63">
        <f>SUM(Table33[[#This Row],[1/1/2025]:[6/1/2025]])</f>
        <v>94</v>
      </c>
      <c r="L63" t="s">
        <v>57</v>
      </c>
      <c r="M63" t="s">
        <v>47</v>
      </c>
      <c r="N63">
        <f>SUMIFS(Table4[ActualCost_Clean],Table4[ProductID_Clean],Product_Month_Actual_Variable_Cost[[#This Row],[ProductID]],Table4[Period_Clean],Product_Month_Actual_Variable_Cost[[#Headers],[2025-01]],Table4[CostType],"Variable")</f>
        <v>442.85</v>
      </c>
      <c r="O63">
        <f>SUMIFS(Table4[ActualCost_Clean],Table4[ProductID_Clean],Product_Month_Actual_Variable_Cost[[#This Row],[ProductID]],Table4[Period_Clean],Product_Month_Actual_Variable_Cost[[#Headers],[2025-02]],Table4[CostType],"Variable")</f>
        <v>448.54</v>
      </c>
      <c r="P63">
        <f>SUMIFS(Table4[ActualCost_Clean],Table4[ProductID_Clean],Product_Month_Actual_Variable_Cost[[#This Row],[ProductID]],Table4[Period_Clean],Product_Month_Actual_Variable_Cost[[#Headers],[2025-03]],Table4[CostType],"Variable")</f>
        <v>432.66</v>
      </c>
      <c r="Q63">
        <f>SUMIFS(Table4[ActualCost_Clean],Table4[ProductID_Clean],Product_Month_Actual_Variable_Cost[[#This Row],[ProductID]],Table4[Period_Clean],Product_Month_Actual_Variable_Cost[[#Headers],[2025-04]],Table4[CostType],"Variable")</f>
        <v>432.36</v>
      </c>
      <c r="R63">
        <f>SUMIFS(Table4[ActualCost_Clean],Table4[ProductID_Clean],Product_Month_Actual_Variable_Cost[[#This Row],[ProductID]],Table4[Period_Clean],Product_Month_Actual_Variable_Cost[[#Headers],[2025-05]],Table4[CostType],"Variable")</f>
        <v>460.77</v>
      </c>
      <c r="S63">
        <f>SUMIFS(Table4[ActualCost_Clean],Table4[ProductID_Clean],Product_Month_Actual_Variable_Cost[[#This Row],[ProductID]],Table4[Period_Clean],Product_Month_Actual_Variable_Cost[[#Headers],[2025-06]],Table4[CostType],"Variable")</f>
        <v>430.31</v>
      </c>
      <c r="V63" t="s">
        <v>57</v>
      </c>
      <c r="W63" t="s">
        <v>47</v>
      </c>
      <c r="X63">
        <f>Table33[[#This Row],[1/1/2025]]*Product_Month_Actual_Variable_Cost[[#This Row],[2025-01]]</f>
        <v>2657.1000000000004</v>
      </c>
      <c r="Y63">
        <f>Table33[[#This Row],[2/1/2025]]*Product_Month_Actual_Variable_Cost[[#This Row],[2025-02]]</f>
        <v>8970.8000000000011</v>
      </c>
      <c r="Z63">
        <f>Table33[[#This Row],[3/1/2025]]*Product_Month_Actual_Variable_Cost[[#This Row],[2025-03]]</f>
        <v>0</v>
      </c>
      <c r="AA63">
        <f>Table33[[#This Row],[4/1/2025]]*Product_Month_Actual_Variable_Cost[[#This Row],[2025-04]]</f>
        <v>6485.4000000000005</v>
      </c>
      <c r="AB63">
        <f>Table33[[#This Row],[5/1/2025]]*Product_Month_Actual_Variable_Cost[[#This Row],[2025-05]]</f>
        <v>1382.31</v>
      </c>
      <c r="AC63">
        <f>Table33[[#This Row],[6/1/2025]]*Product_Month_Actual_Variable_Cost[[#This Row],[2025-06]]</f>
        <v>21515.5</v>
      </c>
      <c r="AD63">
        <f>SUM(Product_Region_Monthly_Variable_Cost[[#This Row],[25-Jan]:[25-Jun]])</f>
        <v>41011.11</v>
      </c>
      <c r="AG63" t="s">
        <v>57</v>
      </c>
      <c r="AH63" t="s">
        <v>47</v>
      </c>
      <c r="AI63">
        <f>SUMIFS(Table4[ActualCost_Clean],Table4[ProductID_Clean],Product_Month_Actual_Fixed_Cost[[#This Row],[ProductID]],Table4[Period_Clean],Product_Month_Actual_Variable_Cost[[#Headers],[2025-01]],Table4[CostType],"Fixed")</f>
        <v>75.209999999999994</v>
      </c>
      <c r="AJ63">
        <f>SUMIFS(Table4[ActualCost_Clean],Table4[ProductID_Clean],Product_Month_Actual_Fixed_Cost[[#This Row],[ProductID]],Table4[Period_Clean],Product_Month_Actual_Variable_Cost[[#Headers],[2025-02]],Table4[CostType],"Fixed")</f>
        <v>74.64</v>
      </c>
      <c r="AK63">
        <f>SUMIFS(Table4[ActualCost_Clean],Table4[ProductID_Clean],Product_Month_Actual_Fixed_Cost[[#This Row],[ProductID]],Table4[Period_Clean],Product_Month_Actual_Variable_Cost[[#Headers],[2025-03]],Table4[CostType],"Fixed")</f>
        <v>76.680000000000007</v>
      </c>
      <c r="AL63">
        <f>SUMIFS(Table4[ActualCost_Clean],Table4[ProductID_Clean],Product_Month_Actual_Fixed_Cost[[#This Row],[ProductID]],Table4[Period_Clean],Product_Month_Actual_Variable_Cost[[#Headers],[2025-04]],Table4[CostType],"Fixed")</f>
        <v>81.91</v>
      </c>
      <c r="AM63">
        <f>SUMIFS(Table4[ActualCost_Clean],Table4[ProductID_Clean],Product_Month_Actual_Fixed_Cost[[#This Row],[ProductID]],Table4[Period_Clean],Product_Month_Actual_Variable_Cost[[#Headers],[2025-05]],Table4[CostType],"Fixed")</f>
        <v>76.5</v>
      </c>
      <c r="AN63">
        <v>76.5</v>
      </c>
      <c r="AQ63" t="s">
        <v>57</v>
      </c>
      <c r="AR63" t="s">
        <v>47</v>
      </c>
      <c r="AS63">
        <f>Product_Month_Actual_Fixed_Cost[[#This Row],[2025-01]]*Table33[[#This Row],[1/1/2025]]</f>
        <v>451.26</v>
      </c>
      <c r="AT63">
        <f>Product_Month_Actual_Fixed_Cost[[#This Row],[2025-02]]*Table33[[#This Row],[2/1/2025]]</f>
        <v>1492.8</v>
      </c>
      <c r="AU63">
        <f>Product_Month_Actual_Fixed_Cost[[#This Row],[2025-03]]*Table33[[#This Row],[3/1/2025]]</f>
        <v>0</v>
      </c>
      <c r="AV63">
        <f>Product_Month_Actual_Fixed_Cost[[#This Row],[2025-04]]*Table33[[#This Row],[4/1/2025]]</f>
        <v>1228.6499999999999</v>
      </c>
      <c r="AW63">
        <f>Product_Month_Actual_Fixed_Cost[[#This Row],[2025-05]]*Table33[[#This Row],[5/1/2025]]</f>
        <v>229.5</v>
      </c>
      <c r="AX63">
        <f>Product_Month_Actual_Fixed_Cost[[#This Row],[2025-06]]*Table33[[#This Row],[6/1/2025]]</f>
        <v>3825</v>
      </c>
      <c r="AY63">
        <f>SUM(Product_Region_Monthly_Fixed_Cost[[#This Row],[25-Jan]:[25-Jun]])</f>
        <v>7227.21</v>
      </c>
      <c r="BB63" t="s">
        <v>57</v>
      </c>
      <c r="BC63" t="s">
        <v>47</v>
      </c>
      <c r="BD63">
        <f>Product_Region_Monthly_Fixed_Cost[[#This Row],[25-Jan]]+Product_Region_Monthly_Variable_Cost[[#This Row],[25-Jan]]</f>
        <v>3108.3600000000006</v>
      </c>
      <c r="BE63">
        <f>Product_Region_Monthly_Fixed_Cost[[#This Row],[25-Feb]]+Product_Region_Monthly_Variable_Cost[[#This Row],[25-Feb]]</f>
        <v>10463.6</v>
      </c>
      <c r="BF63">
        <f>Product_Region_Monthly_Fixed_Cost[[#This Row],[25-Mar]]+Product_Region_Monthly_Variable_Cost[[#This Row],[25-Mar]]</f>
        <v>0</v>
      </c>
      <c r="BG63">
        <f>Product_Region_Monthly_Fixed_Cost[[#This Row],[25-Apr]]+Product_Region_Monthly_Variable_Cost[[#This Row],[25-Apr]]</f>
        <v>7714.05</v>
      </c>
      <c r="BH63">
        <f>Product_Region_Monthly_Fixed_Cost[[#This Row],[25-May]]+Product_Region_Monthly_Variable_Cost[[#This Row],[25-May]]</f>
        <v>1611.81</v>
      </c>
      <c r="BI63">
        <f>Product_Region_Monthly_Fixed_Cost[[#This Row],[25-Jun]]+Product_Region_Monthly_Variable_Cost[[#This Row],[25-Jun]]</f>
        <v>25340.5</v>
      </c>
      <c r="BJ63">
        <f>Product_Region_Monthly_Fixed_Cost[[#This Row],[H1 Fixed Cost]]+Product_Region_Monthly_Variable_Cost[[#This Row],[H1 Variable Cost]]</f>
        <v>48238.32</v>
      </c>
    </row>
    <row r="64" spans="1:62">
      <c r="A64" t="s">
        <v>57</v>
      </c>
      <c r="B64" t="s">
        <v>58</v>
      </c>
      <c r="C64">
        <f>SUMIFS(Table1[Quantity],Table1[ProductID],Table33[[#This Row],[ProductID]],Table1[RegionClean_],Table33[[#This Row],[Region]],Table1[TransactionDate_Clean],"&gt;"&amp;EOMONTH($C$1,-1),Table1[TransactionDate_Clean],"&lt;="&amp;EOMONTH($C$1,0))</f>
        <v>20</v>
      </c>
      <c r="D64">
        <f>SUMIFS(Table1[Quantity],Table1[ProductID],Table33[[#This Row],[ProductID]],Table1[RegionClean_],Table33[[#This Row],[Region]],Table1[TransactionDate_Clean],"&gt;"&amp;EOMONTH($D$1,-1),Table1[TransactionDate_Clean],"&lt;="&amp;EOMONTH($D$1,0))</f>
        <v>0</v>
      </c>
      <c r="E64">
        <f>SUMIFS(Table1[Quantity],Table1[ProductID],Table33[[#This Row],[ProductID]],Table1[RegionClean_],Table33[[#This Row],[Region]],Table1[TransactionDate_Clean],"&gt;"&amp;EOMONTH($E$1,-1),Table1[TransactionDate_Clean],"&lt;="&amp;EOMONTH($E$1,0))</f>
        <v>7</v>
      </c>
      <c r="F64">
        <f>SUMIFS(Table1[Quantity],Table1[ProductID],Table33[[#This Row],[ProductID]],Table1[RegionClean_],Table33[[#This Row],[Region]],Table1[TransactionDate_Clean],"&gt;"&amp;EOMONTH($F$1,-1),Table1[TransactionDate_Clean],"&lt;="&amp;EOMONTH($F$1,0))</f>
        <v>21</v>
      </c>
      <c r="G64">
        <f>SUMIFS(Table1[Quantity],Table1[ProductID],Table33[[#This Row],[ProductID]],Table1[RegionClean_],Table33[[#This Row],[Region]],Table1[TransactionDate_Clean],"&gt;"&amp;EOMONTH($G$1,-1),Table1[TransactionDate_Clean],"&lt;="&amp;EOMONTH($G$1,0))</f>
        <v>1</v>
      </c>
      <c r="H64">
        <f>SUMIFS(Table1[Quantity],Table1[ProductID],Table33[[#This Row],[ProductID]],Table1[RegionClean_],Table33[[#This Row],[Region]],Table1[TransactionDate_Clean],"&gt;"&amp;EOMONTH($H$1,-1),Table1[TransactionDate_Clean],"&lt;="&amp;EOMONTH($H$1,0))</f>
        <v>5</v>
      </c>
      <c r="I64">
        <f>SUM(Table33[[#This Row],[1/1/2025]:[6/1/2025]])</f>
        <v>54</v>
      </c>
      <c r="L64" t="s">
        <v>57</v>
      </c>
      <c r="M64" t="s">
        <v>58</v>
      </c>
      <c r="N64">
        <f>SUMIFS(Table4[ActualCost_Clean],Table4[ProductID_Clean],Product_Month_Actual_Variable_Cost[[#This Row],[ProductID]],Table4[Period_Clean],Product_Month_Actual_Variable_Cost[[#Headers],[2025-01]],Table4[CostType],"Variable")</f>
        <v>442.85</v>
      </c>
      <c r="O64">
        <f>SUMIFS(Table4[ActualCost_Clean],Table4[ProductID_Clean],Product_Month_Actual_Variable_Cost[[#This Row],[ProductID]],Table4[Period_Clean],Product_Month_Actual_Variable_Cost[[#Headers],[2025-02]],Table4[CostType],"Variable")</f>
        <v>448.54</v>
      </c>
      <c r="P64">
        <f>SUMIFS(Table4[ActualCost_Clean],Table4[ProductID_Clean],Product_Month_Actual_Variable_Cost[[#This Row],[ProductID]],Table4[Period_Clean],Product_Month_Actual_Variable_Cost[[#Headers],[2025-03]],Table4[CostType],"Variable")</f>
        <v>432.66</v>
      </c>
      <c r="Q64">
        <f>SUMIFS(Table4[ActualCost_Clean],Table4[ProductID_Clean],Product_Month_Actual_Variable_Cost[[#This Row],[ProductID]],Table4[Period_Clean],Product_Month_Actual_Variable_Cost[[#Headers],[2025-04]],Table4[CostType],"Variable")</f>
        <v>432.36</v>
      </c>
      <c r="R64">
        <f>SUMIFS(Table4[ActualCost_Clean],Table4[ProductID_Clean],Product_Month_Actual_Variable_Cost[[#This Row],[ProductID]],Table4[Period_Clean],Product_Month_Actual_Variable_Cost[[#Headers],[2025-05]],Table4[CostType],"Variable")</f>
        <v>460.77</v>
      </c>
      <c r="S64">
        <f>SUMIFS(Table4[ActualCost_Clean],Table4[ProductID_Clean],Product_Month_Actual_Variable_Cost[[#This Row],[ProductID]],Table4[Period_Clean],Product_Month_Actual_Variable_Cost[[#Headers],[2025-06]],Table4[CostType],"Variable")</f>
        <v>430.31</v>
      </c>
      <c r="V64" t="s">
        <v>57</v>
      </c>
      <c r="W64" t="s">
        <v>58</v>
      </c>
      <c r="X64">
        <f>Table33[[#This Row],[1/1/2025]]*Product_Month_Actual_Variable_Cost[[#This Row],[2025-01]]</f>
        <v>8857</v>
      </c>
      <c r="Y64">
        <f>Table33[[#This Row],[2/1/2025]]*Product_Month_Actual_Variable_Cost[[#This Row],[2025-02]]</f>
        <v>0</v>
      </c>
      <c r="Z64">
        <f>Table33[[#This Row],[3/1/2025]]*Product_Month_Actual_Variable_Cost[[#This Row],[2025-03]]</f>
        <v>3028.6200000000003</v>
      </c>
      <c r="AA64">
        <f>Table33[[#This Row],[4/1/2025]]*Product_Month_Actual_Variable_Cost[[#This Row],[2025-04]]</f>
        <v>9079.56</v>
      </c>
      <c r="AB64">
        <f>Table33[[#This Row],[5/1/2025]]*Product_Month_Actual_Variable_Cost[[#This Row],[2025-05]]</f>
        <v>460.77</v>
      </c>
      <c r="AC64">
        <f>Table33[[#This Row],[6/1/2025]]*Product_Month_Actual_Variable_Cost[[#This Row],[2025-06]]</f>
        <v>2151.5500000000002</v>
      </c>
      <c r="AD64">
        <f>SUM(Product_Region_Monthly_Variable_Cost[[#This Row],[25-Jan]:[25-Jun]])</f>
        <v>23577.5</v>
      </c>
      <c r="AG64" t="s">
        <v>57</v>
      </c>
      <c r="AH64" t="s">
        <v>58</v>
      </c>
      <c r="AI64">
        <f>SUMIFS(Table4[ActualCost_Clean],Table4[ProductID_Clean],Product_Month_Actual_Fixed_Cost[[#This Row],[ProductID]],Table4[Period_Clean],Product_Month_Actual_Variable_Cost[[#Headers],[2025-01]],Table4[CostType],"Fixed")</f>
        <v>75.209999999999994</v>
      </c>
      <c r="AJ64">
        <f>SUMIFS(Table4[ActualCost_Clean],Table4[ProductID_Clean],Product_Month_Actual_Fixed_Cost[[#This Row],[ProductID]],Table4[Period_Clean],Product_Month_Actual_Variable_Cost[[#Headers],[2025-02]],Table4[CostType],"Fixed")</f>
        <v>74.64</v>
      </c>
      <c r="AK64">
        <f>SUMIFS(Table4[ActualCost_Clean],Table4[ProductID_Clean],Product_Month_Actual_Fixed_Cost[[#This Row],[ProductID]],Table4[Period_Clean],Product_Month_Actual_Variable_Cost[[#Headers],[2025-03]],Table4[CostType],"Fixed")</f>
        <v>76.680000000000007</v>
      </c>
      <c r="AL64">
        <f>SUMIFS(Table4[ActualCost_Clean],Table4[ProductID_Clean],Product_Month_Actual_Fixed_Cost[[#This Row],[ProductID]],Table4[Period_Clean],Product_Month_Actual_Variable_Cost[[#Headers],[2025-04]],Table4[CostType],"Fixed")</f>
        <v>81.91</v>
      </c>
      <c r="AM64">
        <f>SUMIFS(Table4[ActualCost_Clean],Table4[ProductID_Clean],Product_Month_Actual_Fixed_Cost[[#This Row],[ProductID]],Table4[Period_Clean],Product_Month_Actual_Variable_Cost[[#Headers],[2025-05]],Table4[CostType],"Fixed")</f>
        <v>76.5</v>
      </c>
      <c r="AN64">
        <v>76.5</v>
      </c>
      <c r="AQ64" t="s">
        <v>57</v>
      </c>
      <c r="AR64" t="s">
        <v>58</v>
      </c>
      <c r="AS64">
        <f>Product_Month_Actual_Fixed_Cost[[#This Row],[2025-01]]*Table33[[#This Row],[1/1/2025]]</f>
        <v>1504.1999999999998</v>
      </c>
      <c r="AT64">
        <f>Product_Month_Actual_Fixed_Cost[[#This Row],[2025-02]]*Table33[[#This Row],[2/1/2025]]</f>
        <v>0</v>
      </c>
      <c r="AU64">
        <f>Product_Month_Actual_Fixed_Cost[[#This Row],[2025-03]]*Table33[[#This Row],[3/1/2025]]</f>
        <v>536.76</v>
      </c>
      <c r="AV64">
        <f>Product_Month_Actual_Fixed_Cost[[#This Row],[2025-04]]*Table33[[#This Row],[4/1/2025]]</f>
        <v>1720.11</v>
      </c>
      <c r="AW64">
        <f>Product_Month_Actual_Fixed_Cost[[#This Row],[2025-05]]*Table33[[#This Row],[5/1/2025]]</f>
        <v>76.5</v>
      </c>
      <c r="AX64">
        <f>Product_Month_Actual_Fixed_Cost[[#This Row],[2025-06]]*Table33[[#This Row],[6/1/2025]]</f>
        <v>382.5</v>
      </c>
      <c r="AY64">
        <f>SUM(Product_Region_Monthly_Fixed_Cost[[#This Row],[25-Jan]:[25-Jun]])</f>
        <v>4220.07</v>
      </c>
      <c r="BB64" t="s">
        <v>57</v>
      </c>
      <c r="BC64" t="s">
        <v>58</v>
      </c>
      <c r="BD64">
        <f>Product_Region_Monthly_Fixed_Cost[[#This Row],[25-Jan]]+Product_Region_Monthly_Variable_Cost[[#This Row],[25-Jan]]</f>
        <v>10361.200000000001</v>
      </c>
      <c r="BE64">
        <f>Product_Region_Monthly_Fixed_Cost[[#This Row],[25-Feb]]+Product_Region_Monthly_Variable_Cost[[#This Row],[25-Feb]]</f>
        <v>0</v>
      </c>
      <c r="BF64">
        <f>Product_Region_Monthly_Fixed_Cost[[#This Row],[25-Mar]]+Product_Region_Monthly_Variable_Cost[[#This Row],[25-Mar]]</f>
        <v>3565.38</v>
      </c>
      <c r="BG64">
        <f>Product_Region_Monthly_Fixed_Cost[[#This Row],[25-Apr]]+Product_Region_Monthly_Variable_Cost[[#This Row],[25-Apr]]</f>
        <v>10799.67</v>
      </c>
      <c r="BH64">
        <f>Product_Region_Monthly_Fixed_Cost[[#This Row],[25-May]]+Product_Region_Monthly_Variable_Cost[[#This Row],[25-May]]</f>
        <v>537.27</v>
      </c>
      <c r="BI64">
        <f>Product_Region_Monthly_Fixed_Cost[[#This Row],[25-Jun]]+Product_Region_Monthly_Variable_Cost[[#This Row],[25-Jun]]</f>
        <v>2534.0500000000002</v>
      </c>
      <c r="BJ64">
        <f>Product_Region_Monthly_Fixed_Cost[[#This Row],[H1 Fixed Cost]]+Product_Region_Monthly_Variable_Cost[[#This Row],[H1 Variable Cost]]</f>
        <v>27797.57</v>
      </c>
    </row>
    <row r="65" spans="1:62">
      <c r="A65" t="s">
        <v>57</v>
      </c>
      <c r="B65" t="s">
        <v>32</v>
      </c>
      <c r="C65">
        <f>SUMIFS(Table1[Quantity],Table1[ProductID],Table33[[#This Row],[ProductID]],Table1[RegionClean_],Table33[[#This Row],[Region]],Table1[TransactionDate_Clean],"&gt;"&amp;EOMONTH($C$1,-1),Table1[TransactionDate_Clean],"&lt;="&amp;EOMONTH($C$1,0))</f>
        <v>2</v>
      </c>
      <c r="D65">
        <f>SUMIFS(Table1[Quantity],Table1[ProductID],Table33[[#This Row],[ProductID]],Table1[RegionClean_],Table33[[#This Row],[Region]],Table1[TransactionDate_Clean],"&gt;"&amp;EOMONTH($D$1,-1),Table1[TransactionDate_Clean],"&lt;="&amp;EOMONTH($D$1,0))</f>
        <v>2</v>
      </c>
      <c r="E65">
        <f>SUMIFS(Table1[Quantity],Table1[ProductID],Table33[[#This Row],[ProductID]],Table1[RegionClean_],Table33[[#This Row],[Region]],Table1[TransactionDate_Clean],"&gt;"&amp;EOMONTH($E$1,-1),Table1[TransactionDate_Clean],"&lt;="&amp;EOMONTH($E$1,0))</f>
        <v>15</v>
      </c>
      <c r="F65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65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65">
        <f>SUMIFS(Table1[Quantity],Table1[ProductID],Table33[[#This Row],[ProductID]],Table1[RegionClean_],Table33[[#This Row],[Region]],Table1[TransactionDate_Clean],"&gt;"&amp;EOMONTH($H$1,-1),Table1[TransactionDate_Clean],"&lt;="&amp;EOMONTH($H$1,0))</f>
        <v>8</v>
      </c>
      <c r="I65">
        <f>SUM(Table33[[#This Row],[1/1/2025]:[6/1/2025]])</f>
        <v>29</v>
      </c>
      <c r="L65" t="s">
        <v>57</v>
      </c>
      <c r="M65" t="s">
        <v>32</v>
      </c>
      <c r="N65">
        <f>SUMIFS(Table4[ActualCost_Clean],Table4[ProductID_Clean],Product_Month_Actual_Variable_Cost[[#This Row],[ProductID]],Table4[Period_Clean],Product_Month_Actual_Variable_Cost[[#Headers],[2025-01]],Table4[CostType],"Variable")</f>
        <v>442.85</v>
      </c>
      <c r="O65">
        <f>SUMIFS(Table4[ActualCost_Clean],Table4[ProductID_Clean],Product_Month_Actual_Variable_Cost[[#This Row],[ProductID]],Table4[Period_Clean],Product_Month_Actual_Variable_Cost[[#Headers],[2025-02]],Table4[CostType],"Variable")</f>
        <v>448.54</v>
      </c>
      <c r="P65">
        <f>SUMIFS(Table4[ActualCost_Clean],Table4[ProductID_Clean],Product_Month_Actual_Variable_Cost[[#This Row],[ProductID]],Table4[Period_Clean],Product_Month_Actual_Variable_Cost[[#Headers],[2025-03]],Table4[CostType],"Variable")</f>
        <v>432.66</v>
      </c>
      <c r="Q65">
        <f>SUMIFS(Table4[ActualCost_Clean],Table4[ProductID_Clean],Product_Month_Actual_Variable_Cost[[#This Row],[ProductID]],Table4[Period_Clean],Product_Month_Actual_Variable_Cost[[#Headers],[2025-04]],Table4[CostType],"Variable")</f>
        <v>432.36</v>
      </c>
      <c r="R65">
        <f>SUMIFS(Table4[ActualCost_Clean],Table4[ProductID_Clean],Product_Month_Actual_Variable_Cost[[#This Row],[ProductID]],Table4[Period_Clean],Product_Month_Actual_Variable_Cost[[#Headers],[2025-05]],Table4[CostType],"Variable")</f>
        <v>460.77</v>
      </c>
      <c r="S65">
        <f>SUMIFS(Table4[ActualCost_Clean],Table4[ProductID_Clean],Product_Month_Actual_Variable_Cost[[#This Row],[ProductID]],Table4[Period_Clean],Product_Month_Actual_Variable_Cost[[#Headers],[2025-06]],Table4[CostType],"Variable")</f>
        <v>430.31</v>
      </c>
      <c r="V65" t="s">
        <v>57</v>
      </c>
      <c r="W65" t="s">
        <v>32</v>
      </c>
      <c r="X65">
        <f>Table33[[#This Row],[1/1/2025]]*Product_Month_Actual_Variable_Cost[[#This Row],[2025-01]]</f>
        <v>885.7</v>
      </c>
      <c r="Y65">
        <f>Table33[[#This Row],[2/1/2025]]*Product_Month_Actual_Variable_Cost[[#This Row],[2025-02]]</f>
        <v>897.08</v>
      </c>
      <c r="Z65">
        <f>Table33[[#This Row],[3/1/2025]]*Product_Month_Actual_Variable_Cost[[#This Row],[2025-03]]</f>
        <v>6489.9000000000005</v>
      </c>
      <c r="AA65">
        <f>Table33[[#This Row],[4/1/2025]]*Product_Month_Actual_Variable_Cost[[#This Row],[2025-04]]</f>
        <v>0</v>
      </c>
      <c r="AB65">
        <f>Table33[[#This Row],[5/1/2025]]*Product_Month_Actual_Variable_Cost[[#This Row],[2025-05]]</f>
        <v>921.54</v>
      </c>
      <c r="AC65">
        <f>Table33[[#This Row],[6/1/2025]]*Product_Month_Actual_Variable_Cost[[#This Row],[2025-06]]</f>
        <v>3442.48</v>
      </c>
      <c r="AD65">
        <f>SUM(Product_Region_Monthly_Variable_Cost[[#This Row],[25-Jan]:[25-Jun]])</f>
        <v>12636.7</v>
      </c>
      <c r="AG65" t="s">
        <v>57</v>
      </c>
      <c r="AH65" t="s">
        <v>32</v>
      </c>
      <c r="AI65">
        <f>SUMIFS(Table4[ActualCost_Clean],Table4[ProductID_Clean],Product_Month_Actual_Fixed_Cost[[#This Row],[ProductID]],Table4[Period_Clean],Product_Month_Actual_Variable_Cost[[#Headers],[2025-01]],Table4[CostType],"Fixed")</f>
        <v>75.209999999999994</v>
      </c>
      <c r="AJ65">
        <f>SUMIFS(Table4[ActualCost_Clean],Table4[ProductID_Clean],Product_Month_Actual_Fixed_Cost[[#This Row],[ProductID]],Table4[Period_Clean],Product_Month_Actual_Variable_Cost[[#Headers],[2025-02]],Table4[CostType],"Fixed")</f>
        <v>74.64</v>
      </c>
      <c r="AK65">
        <f>SUMIFS(Table4[ActualCost_Clean],Table4[ProductID_Clean],Product_Month_Actual_Fixed_Cost[[#This Row],[ProductID]],Table4[Period_Clean],Product_Month_Actual_Variable_Cost[[#Headers],[2025-03]],Table4[CostType],"Fixed")</f>
        <v>76.680000000000007</v>
      </c>
      <c r="AL65">
        <f>SUMIFS(Table4[ActualCost_Clean],Table4[ProductID_Clean],Product_Month_Actual_Fixed_Cost[[#This Row],[ProductID]],Table4[Period_Clean],Product_Month_Actual_Variable_Cost[[#Headers],[2025-04]],Table4[CostType],"Fixed")</f>
        <v>81.91</v>
      </c>
      <c r="AM65">
        <f>SUMIFS(Table4[ActualCost_Clean],Table4[ProductID_Clean],Product_Month_Actual_Fixed_Cost[[#This Row],[ProductID]],Table4[Period_Clean],Product_Month_Actual_Variable_Cost[[#Headers],[2025-05]],Table4[CostType],"Fixed")</f>
        <v>76.5</v>
      </c>
      <c r="AN65">
        <v>76.5</v>
      </c>
      <c r="AQ65" t="s">
        <v>57</v>
      </c>
      <c r="AR65" t="s">
        <v>32</v>
      </c>
      <c r="AS65">
        <f>Product_Month_Actual_Fixed_Cost[[#This Row],[2025-01]]*Table33[[#This Row],[1/1/2025]]</f>
        <v>150.41999999999999</v>
      </c>
      <c r="AT65">
        <f>Product_Month_Actual_Fixed_Cost[[#This Row],[2025-02]]*Table33[[#This Row],[2/1/2025]]</f>
        <v>149.28</v>
      </c>
      <c r="AU65">
        <f>Product_Month_Actual_Fixed_Cost[[#This Row],[2025-03]]*Table33[[#This Row],[3/1/2025]]</f>
        <v>1150.2</v>
      </c>
      <c r="AV65">
        <f>Product_Month_Actual_Fixed_Cost[[#This Row],[2025-04]]*Table33[[#This Row],[4/1/2025]]</f>
        <v>0</v>
      </c>
      <c r="AW65">
        <f>Product_Month_Actual_Fixed_Cost[[#This Row],[2025-05]]*Table33[[#This Row],[5/1/2025]]</f>
        <v>153</v>
      </c>
      <c r="AX65">
        <f>Product_Month_Actual_Fixed_Cost[[#This Row],[2025-06]]*Table33[[#This Row],[6/1/2025]]</f>
        <v>612</v>
      </c>
      <c r="AY65">
        <f>SUM(Product_Region_Monthly_Fixed_Cost[[#This Row],[25-Jan]:[25-Jun]])</f>
        <v>2214.9</v>
      </c>
      <c r="BB65" t="s">
        <v>57</v>
      </c>
      <c r="BC65" t="s">
        <v>32</v>
      </c>
      <c r="BD65">
        <f>Product_Region_Monthly_Fixed_Cost[[#This Row],[25-Jan]]+Product_Region_Monthly_Variable_Cost[[#This Row],[25-Jan]]</f>
        <v>1036.1200000000001</v>
      </c>
      <c r="BE65">
        <f>Product_Region_Monthly_Fixed_Cost[[#This Row],[25-Feb]]+Product_Region_Monthly_Variable_Cost[[#This Row],[25-Feb]]</f>
        <v>1046.3600000000001</v>
      </c>
      <c r="BF65">
        <f>Product_Region_Monthly_Fixed_Cost[[#This Row],[25-Mar]]+Product_Region_Monthly_Variable_Cost[[#This Row],[25-Mar]]</f>
        <v>7640.1</v>
      </c>
      <c r="BG65">
        <f>Product_Region_Monthly_Fixed_Cost[[#This Row],[25-Apr]]+Product_Region_Monthly_Variable_Cost[[#This Row],[25-Apr]]</f>
        <v>0</v>
      </c>
      <c r="BH65">
        <f>Product_Region_Monthly_Fixed_Cost[[#This Row],[25-May]]+Product_Region_Monthly_Variable_Cost[[#This Row],[25-May]]</f>
        <v>1074.54</v>
      </c>
      <c r="BI65">
        <f>Product_Region_Monthly_Fixed_Cost[[#This Row],[25-Jun]]+Product_Region_Monthly_Variable_Cost[[#This Row],[25-Jun]]</f>
        <v>4054.48</v>
      </c>
      <c r="BJ65">
        <f>Product_Region_Monthly_Fixed_Cost[[#This Row],[H1 Fixed Cost]]+Product_Region_Monthly_Variable_Cost[[#This Row],[H1 Variable Cost]]</f>
        <v>14851.6</v>
      </c>
    </row>
    <row r="66" spans="1:62">
      <c r="A66" t="s">
        <v>43</v>
      </c>
      <c r="B66" t="s">
        <v>23</v>
      </c>
      <c r="C66">
        <f>SUMIFS(Table1[Quantity],Table1[ProductID],Table33[[#This Row],[ProductID]],Table1[RegionClean_],Table33[[#This Row],[Region]],Table1[TransactionDate_Clean],"&gt;"&amp;EOMONTH($C$1,-1),Table1[TransactionDate_Clean],"&lt;="&amp;EOMONTH($C$1,0))</f>
        <v>29</v>
      </c>
      <c r="D66">
        <f>SUMIFS(Table1[Quantity],Table1[ProductID],Table33[[#This Row],[ProductID]],Table1[RegionClean_],Table33[[#This Row],[Region]],Table1[TransactionDate_Clean],"&gt;"&amp;EOMONTH($D$1,-1),Table1[TransactionDate_Clean],"&lt;="&amp;EOMONTH($D$1,0))</f>
        <v>39</v>
      </c>
      <c r="E66">
        <f>SUMIFS(Table1[Quantity],Table1[ProductID],Table33[[#This Row],[ProductID]],Table1[RegionClean_],Table33[[#This Row],[Region]],Table1[TransactionDate_Clean],"&gt;"&amp;EOMONTH($E$1,-1),Table1[TransactionDate_Clean],"&lt;="&amp;EOMONTH($E$1,0))</f>
        <v>31</v>
      </c>
      <c r="F66">
        <f>SUMIFS(Table1[Quantity],Table1[ProductID],Table33[[#This Row],[ProductID]],Table1[RegionClean_],Table33[[#This Row],[Region]],Table1[TransactionDate_Clean],"&gt;"&amp;EOMONTH($F$1,-1),Table1[TransactionDate_Clean],"&lt;="&amp;EOMONTH($F$1,0))</f>
        <v>30</v>
      </c>
      <c r="G66">
        <f>SUMIFS(Table1[Quantity],Table1[ProductID],Table33[[#This Row],[ProductID]],Table1[RegionClean_],Table33[[#This Row],[Region]],Table1[TransactionDate_Clean],"&gt;"&amp;EOMONTH($G$1,-1),Table1[TransactionDate_Clean],"&lt;="&amp;EOMONTH($G$1,0))</f>
        <v>51</v>
      </c>
      <c r="H66">
        <f>SUMIFS(Table1[Quantity],Table1[ProductID],Table33[[#This Row],[ProductID]],Table1[RegionClean_],Table33[[#This Row],[Region]],Table1[TransactionDate_Clean],"&gt;"&amp;EOMONTH($H$1,-1),Table1[TransactionDate_Clean],"&lt;="&amp;EOMONTH($H$1,0))</f>
        <v>29</v>
      </c>
      <c r="I66">
        <f>SUM(Table33[[#This Row],[1/1/2025]:[6/1/2025]])</f>
        <v>209</v>
      </c>
      <c r="L66" t="s">
        <v>43</v>
      </c>
      <c r="M66" t="s">
        <v>23</v>
      </c>
      <c r="N66">
        <f>SUMIFS(Table4[ActualCost_Clean],Table4[ProductID_Clean],Product_Month_Actual_Variable_Cost[[#This Row],[ProductID]],Table4[Period_Clean],Product_Month_Actual_Variable_Cost[[#Headers],[2025-01]],Table4[CostType],"Variable")</f>
        <v>97.08</v>
      </c>
      <c r="O66">
        <f>SUMIFS(Table4[ActualCost_Clean],Table4[ProductID_Clean],Product_Month_Actual_Variable_Cost[[#This Row],[ProductID]],Table4[Period_Clean],Product_Month_Actual_Variable_Cost[[#Headers],[2025-02]],Table4[CostType],"Variable")</f>
        <v>92.95</v>
      </c>
      <c r="P66">
        <f>SUMIFS(Table4[ActualCost_Clean],Table4[ProductID_Clean],Product_Month_Actual_Variable_Cost[[#This Row],[ProductID]],Table4[Period_Clean],Product_Month_Actual_Variable_Cost[[#Headers],[2025-03]],Table4[CostType],"Variable")</f>
        <v>95.06</v>
      </c>
      <c r="Q66">
        <f>SUMIFS(Table4[ActualCost_Clean],Table4[ProductID_Clean],Product_Month_Actual_Variable_Cost[[#This Row],[ProductID]],Table4[Period_Clean],Product_Month_Actual_Variable_Cost[[#Headers],[2025-04]],Table4[CostType],"Variable")</f>
        <v>96.12</v>
      </c>
      <c r="R66">
        <f>SUMIFS(Table4[ActualCost_Clean],Table4[ProductID_Clean],Product_Month_Actual_Variable_Cost[[#This Row],[ProductID]],Table4[Period_Clean],Product_Month_Actual_Variable_Cost[[#Headers],[2025-05]],Table4[CostType],"Variable")</f>
        <v>99.61</v>
      </c>
      <c r="S66">
        <f>SUMIFS(Table4[ActualCost_Clean],Table4[ProductID_Clean],Product_Month_Actual_Variable_Cost[[#This Row],[ProductID]],Table4[Period_Clean],Product_Month_Actual_Variable_Cost[[#Headers],[2025-06]],Table4[CostType],"Variable")</f>
        <v>91.18</v>
      </c>
      <c r="V66" t="s">
        <v>43</v>
      </c>
      <c r="W66" t="s">
        <v>23</v>
      </c>
      <c r="X66">
        <f>Table33[[#This Row],[1/1/2025]]*Product_Month_Actual_Variable_Cost[[#This Row],[2025-01]]</f>
        <v>2815.32</v>
      </c>
      <c r="Y66">
        <f>Table33[[#This Row],[2/1/2025]]*Product_Month_Actual_Variable_Cost[[#This Row],[2025-02]]</f>
        <v>3625.05</v>
      </c>
      <c r="Z66">
        <f>Table33[[#This Row],[3/1/2025]]*Product_Month_Actual_Variable_Cost[[#This Row],[2025-03]]</f>
        <v>2946.86</v>
      </c>
      <c r="AA66">
        <f>Table33[[#This Row],[4/1/2025]]*Product_Month_Actual_Variable_Cost[[#This Row],[2025-04]]</f>
        <v>2883.6000000000004</v>
      </c>
      <c r="AB66">
        <f>Table33[[#This Row],[5/1/2025]]*Product_Month_Actual_Variable_Cost[[#This Row],[2025-05]]</f>
        <v>5080.1099999999997</v>
      </c>
      <c r="AC66">
        <f>Table33[[#This Row],[6/1/2025]]*Product_Month_Actual_Variable_Cost[[#This Row],[2025-06]]</f>
        <v>2644.2200000000003</v>
      </c>
      <c r="AD66">
        <f>SUM(Product_Region_Monthly_Variable_Cost[[#This Row],[25-Jan]:[25-Jun]])</f>
        <v>19995.160000000003</v>
      </c>
      <c r="AG66" t="s">
        <v>43</v>
      </c>
      <c r="AH66" t="s">
        <v>23</v>
      </c>
      <c r="AI66">
        <f>SUMIFS(Table4[ActualCost_Clean],Table4[ProductID_Clean],Product_Month_Actual_Fixed_Cost[[#This Row],[ProductID]],Table4[Period_Clean],Product_Month_Actual_Variable_Cost[[#Headers],[2025-01]],Table4[CostType],"Fixed")</f>
        <v>28.65</v>
      </c>
      <c r="AJ66">
        <f>SUMIFS(Table4[ActualCost_Clean],Table4[ProductID_Clean],Product_Month_Actual_Fixed_Cost[[#This Row],[ProductID]],Table4[Period_Clean],Product_Month_Actual_Variable_Cost[[#Headers],[2025-02]],Table4[CostType],"Fixed")</f>
        <v>27.3</v>
      </c>
      <c r="AK66">
        <f>SUMIFS(Table4[ActualCost_Clean],Table4[ProductID_Clean],Product_Month_Actual_Fixed_Cost[[#This Row],[ProductID]],Table4[Period_Clean],Product_Month_Actual_Variable_Cost[[#Headers],[2025-03]],Table4[CostType],"Fixed")</f>
        <v>30.08</v>
      </c>
      <c r="AL66">
        <f>SUMIFS(Table4[ActualCost_Clean],Table4[ProductID_Clean],Product_Month_Actual_Fixed_Cost[[#This Row],[ProductID]],Table4[Period_Clean],Product_Month_Actual_Variable_Cost[[#Headers],[2025-04]],Table4[CostType],"Fixed")</f>
        <v>28.2</v>
      </c>
      <c r="AM66">
        <f>SUMIFS(Table4[ActualCost_Clean],Table4[ProductID_Clean],Product_Month_Actual_Fixed_Cost[[#This Row],[ProductID]],Table4[Period_Clean],Product_Month_Actual_Variable_Cost[[#Headers],[2025-05]],Table4[CostType],"Fixed")</f>
        <v>29.64</v>
      </c>
      <c r="AN66">
        <f>SUMIFS(Table4[ActualCost_Clean],Table4[ProductID_Clean],Product_Month_Actual_Fixed_Cost[[#This Row],[ProductID]],Table4[Period_Clean],Product_Month_Actual_Variable_Cost[[#Headers],[2025-06]],Table4[CostType],"Fixed")</f>
        <v>26.65</v>
      </c>
      <c r="AQ66" t="s">
        <v>43</v>
      </c>
      <c r="AR66" t="s">
        <v>23</v>
      </c>
      <c r="AS66">
        <f>Product_Month_Actual_Fixed_Cost[[#This Row],[2025-01]]*Table33[[#This Row],[1/1/2025]]</f>
        <v>830.84999999999991</v>
      </c>
      <c r="AT66">
        <f>Product_Month_Actual_Fixed_Cost[[#This Row],[2025-02]]*Table33[[#This Row],[2/1/2025]]</f>
        <v>1064.7</v>
      </c>
      <c r="AU66">
        <f>Product_Month_Actual_Fixed_Cost[[#This Row],[2025-03]]*Table33[[#This Row],[3/1/2025]]</f>
        <v>932.4799999999999</v>
      </c>
      <c r="AV66">
        <f>Product_Month_Actual_Fixed_Cost[[#This Row],[2025-04]]*Table33[[#This Row],[4/1/2025]]</f>
        <v>846</v>
      </c>
      <c r="AW66">
        <f>Product_Month_Actual_Fixed_Cost[[#This Row],[2025-05]]*Table33[[#This Row],[5/1/2025]]</f>
        <v>1511.64</v>
      </c>
      <c r="AX66">
        <f>Product_Month_Actual_Fixed_Cost[[#This Row],[2025-06]]*Table33[[#This Row],[6/1/2025]]</f>
        <v>772.84999999999991</v>
      </c>
      <c r="AY66">
        <f>SUM(Product_Region_Monthly_Fixed_Cost[[#This Row],[25-Jan]:[25-Jun]])</f>
        <v>5958.52</v>
      </c>
      <c r="BB66" t="s">
        <v>43</v>
      </c>
      <c r="BC66" t="s">
        <v>23</v>
      </c>
      <c r="BD66">
        <f>Product_Region_Monthly_Fixed_Cost[[#This Row],[25-Jan]]+Product_Region_Monthly_Variable_Cost[[#This Row],[25-Jan]]</f>
        <v>3646.17</v>
      </c>
      <c r="BE66">
        <f>Product_Region_Monthly_Fixed_Cost[[#This Row],[25-Feb]]+Product_Region_Monthly_Variable_Cost[[#This Row],[25-Feb]]</f>
        <v>4689.75</v>
      </c>
      <c r="BF66">
        <f>Product_Region_Monthly_Fixed_Cost[[#This Row],[25-Mar]]+Product_Region_Monthly_Variable_Cost[[#This Row],[25-Mar]]</f>
        <v>3879.34</v>
      </c>
      <c r="BG66">
        <f>Product_Region_Monthly_Fixed_Cost[[#This Row],[25-Apr]]+Product_Region_Monthly_Variable_Cost[[#This Row],[25-Apr]]</f>
        <v>3729.6000000000004</v>
      </c>
      <c r="BH66">
        <f>Product_Region_Monthly_Fixed_Cost[[#This Row],[25-May]]+Product_Region_Monthly_Variable_Cost[[#This Row],[25-May]]</f>
        <v>6591.75</v>
      </c>
      <c r="BI66">
        <f>Product_Region_Monthly_Fixed_Cost[[#This Row],[25-Jun]]+Product_Region_Monthly_Variable_Cost[[#This Row],[25-Jun]]</f>
        <v>3417.07</v>
      </c>
      <c r="BJ66">
        <f>Product_Region_Monthly_Fixed_Cost[[#This Row],[H1 Fixed Cost]]+Product_Region_Monthly_Variable_Cost[[#This Row],[H1 Variable Cost]]</f>
        <v>25953.680000000004</v>
      </c>
    </row>
    <row r="67" spans="1:62">
      <c r="A67" t="s">
        <v>43</v>
      </c>
      <c r="B67" t="s">
        <v>47</v>
      </c>
      <c r="C67">
        <f>SUMIFS(Table1[Quantity],Table1[ProductID],Table33[[#This Row],[ProductID]],Table1[RegionClean_],Table33[[#This Row],[Region]],Table1[TransactionDate_Clean],"&gt;"&amp;EOMONTH($C$1,-1),Table1[TransactionDate_Clean],"&lt;="&amp;EOMONTH($C$1,0))</f>
        <v>14</v>
      </c>
      <c r="D67">
        <f>SUMIFS(Table1[Quantity],Table1[ProductID],Table33[[#This Row],[ProductID]],Table1[RegionClean_],Table33[[#This Row],[Region]],Table1[TransactionDate_Clean],"&gt;"&amp;EOMONTH($D$1,-1),Table1[TransactionDate_Clean],"&lt;="&amp;EOMONTH($D$1,0))</f>
        <v>32</v>
      </c>
      <c r="E67">
        <f>SUMIFS(Table1[Quantity],Table1[ProductID],Table33[[#This Row],[ProductID]],Table1[RegionClean_],Table33[[#This Row],[Region]],Table1[TransactionDate_Clean],"&gt;"&amp;EOMONTH($E$1,-1),Table1[TransactionDate_Clean],"&lt;="&amp;EOMONTH($E$1,0))</f>
        <v>36</v>
      </c>
      <c r="F67">
        <f>SUMIFS(Table1[Quantity],Table1[ProductID],Table33[[#This Row],[ProductID]],Table1[RegionClean_],Table33[[#This Row],[Region]],Table1[TransactionDate_Clean],"&gt;"&amp;EOMONTH($F$1,-1),Table1[TransactionDate_Clean],"&lt;="&amp;EOMONTH($F$1,0))</f>
        <v>14</v>
      </c>
      <c r="G67">
        <f>SUMIFS(Table1[Quantity],Table1[ProductID],Table33[[#This Row],[ProductID]],Table1[RegionClean_],Table33[[#This Row],[Region]],Table1[TransactionDate_Clean],"&gt;"&amp;EOMONTH($G$1,-1),Table1[TransactionDate_Clean],"&lt;="&amp;EOMONTH($G$1,0))</f>
        <v>27</v>
      </c>
      <c r="H67">
        <f>SUMIFS(Table1[Quantity],Table1[ProductID],Table33[[#This Row],[ProductID]],Table1[RegionClean_],Table33[[#This Row],[Region]],Table1[TransactionDate_Clean],"&gt;"&amp;EOMONTH($H$1,-1),Table1[TransactionDate_Clean],"&lt;="&amp;EOMONTH($H$1,0))</f>
        <v>53</v>
      </c>
      <c r="I67">
        <f>SUM(Table33[[#This Row],[1/1/2025]:[6/1/2025]])</f>
        <v>176</v>
      </c>
      <c r="L67" t="s">
        <v>43</v>
      </c>
      <c r="M67" t="s">
        <v>47</v>
      </c>
      <c r="N67">
        <f>SUMIFS(Table4[ActualCost_Clean],Table4[ProductID_Clean],Product_Month_Actual_Variable_Cost[[#This Row],[ProductID]],Table4[Period_Clean],Product_Month_Actual_Variable_Cost[[#Headers],[2025-01]],Table4[CostType],"Variable")</f>
        <v>97.08</v>
      </c>
      <c r="O67">
        <f>SUMIFS(Table4[ActualCost_Clean],Table4[ProductID_Clean],Product_Month_Actual_Variable_Cost[[#This Row],[ProductID]],Table4[Period_Clean],Product_Month_Actual_Variable_Cost[[#Headers],[2025-02]],Table4[CostType],"Variable")</f>
        <v>92.95</v>
      </c>
      <c r="P67">
        <f>SUMIFS(Table4[ActualCost_Clean],Table4[ProductID_Clean],Product_Month_Actual_Variable_Cost[[#This Row],[ProductID]],Table4[Period_Clean],Product_Month_Actual_Variable_Cost[[#Headers],[2025-03]],Table4[CostType],"Variable")</f>
        <v>95.06</v>
      </c>
      <c r="Q67">
        <f>SUMIFS(Table4[ActualCost_Clean],Table4[ProductID_Clean],Product_Month_Actual_Variable_Cost[[#This Row],[ProductID]],Table4[Period_Clean],Product_Month_Actual_Variable_Cost[[#Headers],[2025-04]],Table4[CostType],"Variable")</f>
        <v>96.12</v>
      </c>
      <c r="R67">
        <f>SUMIFS(Table4[ActualCost_Clean],Table4[ProductID_Clean],Product_Month_Actual_Variable_Cost[[#This Row],[ProductID]],Table4[Period_Clean],Product_Month_Actual_Variable_Cost[[#Headers],[2025-05]],Table4[CostType],"Variable")</f>
        <v>99.61</v>
      </c>
      <c r="S67">
        <f>SUMIFS(Table4[ActualCost_Clean],Table4[ProductID_Clean],Product_Month_Actual_Variable_Cost[[#This Row],[ProductID]],Table4[Period_Clean],Product_Month_Actual_Variable_Cost[[#Headers],[2025-06]],Table4[CostType],"Variable")</f>
        <v>91.18</v>
      </c>
      <c r="V67" t="s">
        <v>43</v>
      </c>
      <c r="W67" t="s">
        <v>47</v>
      </c>
      <c r="X67">
        <f>Table33[[#This Row],[1/1/2025]]*Product_Month_Actual_Variable_Cost[[#This Row],[2025-01]]</f>
        <v>1359.12</v>
      </c>
      <c r="Y67">
        <f>Table33[[#This Row],[2/1/2025]]*Product_Month_Actual_Variable_Cost[[#This Row],[2025-02]]</f>
        <v>2974.4</v>
      </c>
      <c r="Z67">
        <f>Table33[[#This Row],[3/1/2025]]*Product_Month_Actual_Variable_Cost[[#This Row],[2025-03]]</f>
        <v>3422.16</v>
      </c>
      <c r="AA67">
        <f>Table33[[#This Row],[4/1/2025]]*Product_Month_Actual_Variable_Cost[[#This Row],[2025-04]]</f>
        <v>1345.68</v>
      </c>
      <c r="AB67">
        <f>Table33[[#This Row],[5/1/2025]]*Product_Month_Actual_Variable_Cost[[#This Row],[2025-05]]</f>
        <v>2689.47</v>
      </c>
      <c r="AC67">
        <f>Table33[[#This Row],[6/1/2025]]*Product_Month_Actual_Variable_Cost[[#This Row],[2025-06]]</f>
        <v>4832.54</v>
      </c>
      <c r="AD67">
        <f>SUM(Product_Region_Monthly_Variable_Cost[[#This Row],[25-Jan]:[25-Jun]])</f>
        <v>16623.37</v>
      </c>
      <c r="AG67" t="s">
        <v>43</v>
      </c>
      <c r="AH67" t="s">
        <v>47</v>
      </c>
      <c r="AI67">
        <f>SUMIFS(Table4[ActualCost_Clean],Table4[ProductID_Clean],Product_Month_Actual_Fixed_Cost[[#This Row],[ProductID]],Table4[Period_Clean],Product_Month_Actual_Variable_Cost[[#Headers],[2025-01]],Table4[CostType],"Fixed")</f>
        <v>28.65</v>
      </c>
      <c r="AJ67">
        <f>SUMIFS(Table4[ActualCost_Clean],Table4[ProductID_Clean],Product_Month_Actual_Fixed_Cost[[#This Row],[ProductID]],Table4[Period_Clean],Product_Month_Actual_Variable_Cost[[#Headers],[2025-02]],Table4[CostType],"Fixed")</f>
        <v>27.3</v>
      </c>
      <c r="AK67">
        <f>SUMIFS(Table4[ActualCost_Clean],Table4[ProductID_Clean],Product_Month_Actual_Fixed_Cost[[#This Row],[ProductID]],Table4[Period_Clean],Product_Month_Actual_Variable_Cost[[#Headers],[2025-03]],Table4[CostType],"Fixed")</f>
        <v>30.08</v>
      </c>
      <c r="AL67">
        <f>SUMIFS(Table4[ActualCost_Clean],Table4[ProductID_Clean],Product_Month_Actual_Fixed_Cost[[#This Row],[ProductID]],Table4[Period_Clean],Product_Month_Actual_Variable_Cost[[#Headers],[2025-04]],Table4[CostType],"Fixed")</f>
        <v>28.2</v>
      </c>
      <c r="AM67">
        <f>SUMIFS(Table4[ActualCost_Clean],Table4[ProductID_Clean],Product_Month_Actual_Fixed_Cost[[#This Row],[ProductID]],Table4[Period_Clean],Product_Month_Actual_Variable_Cost[[#Headers],[2025-05]],Table4[CostType],"Fixed")</f>
        <v>29.64</v>
      </c>
      <c r="AN67">
        <f>SUMIFS(Table4[ActualCost_Clean],Table4[ProductID_Clean],Product_Month_Actual_Fixed_Cost[[#This Row],[ProductID]],Table4[Period_Clean],Product_Month_Actual_Variable_Cost[[#Headers],[2025-06]],Table4[CostType],"Fixed")</f>
        <v>26.65</v>
      </c>
      <c r="AQ67" t="s">
        <v>43</v>
      </c>
      <c r="AR67" t="s">
        <v>47</v>
      </c>
      <c r="AS67">
        <f>Product_Month_Actual_Fixed_Cost[[#This Row],[2025-01]]*Table33[[#This Row],[1/1/2025]]</f>
        <v>401.09999999999997</v>
      </c>
      <c r="AT67">
        <f>Product_Month_Actual_Fixed_Cost[[#This Row],[2025-02]]*Table33[[#This Row],[2/1/2025]]</f>
        <v>873.6</v>
      </c>
      <c r="AU67">
        <f>Product_Month_Actual_Fixed_Cost[[#This Row],[2025-03]]*Table33[[#This Row],[3/1/2025]]</f>
        <v>1082.8799999999999</v>
      </c>
      <c r="AV67">
        <f>Product_Month_Actual_Fixed_Cost[[#This Row],[2025-04]]*Table33[[#This Row],[4/1/2025]]</f>
        <v>394.8</v>
      </c>
      <c r="AW67">
        <f>Product_Month_Actual_Fixed_Cost[[#This Row],[2025-05]]*Table33[[#This Row],[5/1/2025]]</f>
        <v>800.28</v>
      </c>
      <c r="AX67">
        <f>Product_Month_Actual_Fixed_Cost[[#This Row],[2025-06]]*Table33[[#This Row],[6/1/2025]]</f>
        <v>1412.4499999999998</v>
      </c>
      <c r="AY67">
        <f>SUM(Product_Region_Monthly_Fixed_Cost[[#This Row],[25-Jan]:[25-Jun]])</f>
        <v>4965.1099999999997</v>
      </c>
      <c r="BB67" t="s">
        <v>43</v>
      </c>
      <c r="BC67" t="s">
        <v>47</v>
      </c>
      <c r="BD67">
        <f>Product_Region_Monthly_Fixed_Cost[[#This Row],[25-Jan]]+Product_Region_Monthly_Variable_Cost[[#This Row],[25-Jan]]</f>
        <v>1760.2199999999998</v>
      </c>
      <c r="BE67">
        <f>Product_Region_Monthly_Fixed_Cost[[#This Row],[25-Feb]]+Product_Region_Monthly_Variable_Cost[[#This Row],[25-Feb]]</f>
        <v>3848</v>
      </c>
      <c r="BF67">
        <f>Product_Region_Monthly_Fixed_Cost[[#This Row],[25-Mar]]+Product_Region_Monthly_Variable_Cost[[#This Row],[25-Mar]]</f>
        <v>4505.04</v>
      </c>
      <c r="BG67">
        <f>Product_Region_Monthly_Fixed_Cost[[#This Row],[25-Apr]]+Product_Region_Monthly_Variable_Cost[[#This Row],[25-Apr]]</f>
        <v>1740.48</v>
      </c>
      <c r="BH67">
        <f>Product_Region_Monthly_Fixed_Cost[[#This Row],[25-May]]+Product_Region_Monthly_Variable_Cost[[#This Row],[25-May]]</f>
        <v>3489.75</v>
      </c>
      <c r="BI67">
        <f>Product_Region_Monthly_Fixed_Cost[[#This Row],[25-Jun]]+Product_Region_Monthly_Variable_Cost[[#This Row],[25-Jun]]</f>
        <v>6244.99</v>
      </c>
      <c r="BJ67">
        <f>Product_Region_Monthly_Fixed_Cost[[#This Row],[H1 Fixed Cost]]+Product_Region_Monthly_Variable_Cost[[#This Row],[H1 Variable Cost]]</f>
        <v>21588.48</v>
      </c>
    </row>
    <row r="68" spans="1:62">
      <c r="A68" t="s">
        <v>43</v>
      </c>
      <c r="B68" t="s">
        <v>58</v>
      </c>
      <c r="C68">
        <f>SUMIFS(Table1[Quantity],Table1[ProductID],Table33[[#This Row],[ProductID]],Table1[RegionClean_],Table33[[#This Row],[Region]],Table1[TransactionDate_Clean],"&gt;"&amp;EOMONTH($C$1,-1),Table1[TransactionDate_Clean],"&lt;="&amp;EOMONTH($C$1,0))</f>
        <v>10</v>
      </c>
      <c r="D68">
        <f>SUMIFS(Table1[Quantity],Table1[ProductID],Table33[[#This Row],[ProductID]],Table1[RegionClean_],Table33[[#This Row],[Region]],Table1[TransactionDate_Clean],"&gt;"&amp;EOMONTH($D$1,-1),Table1[TransactionDate_Clean],"&lt;="&amp;EOMONTH($D$1,0))</f>
        <v>15</v>
      </c>
      <c r="E68">
        <f>SUMIFS(Table1[Quantity],Table1[ProductID],Table33[[#This Row],[ProductID]],Table1[RegionClean_],Table33[[#This Row],[Region]],Table1[TransactionDate_Clean],"&gt;"&amp;EOMONTH($E$1,-1),Table1[TransactionDate_Clean],"&lt;="&amp;EOMONTH($E$1,0))</f>
        <v>10</v>
      </c>
      <c r="F68">
        <f>SUMIFS(Table1[Quantity],Table1[ProductID],Table33[[#This Row],[ProductID]],Table1[RegionClean_],Table33[[#This Row],[Region]],Table1[TransactionDate_Clean],"&gt;"&amp;EOMONTH($F$1,-1),Table1[TransactionDate_Clean],"&lt;="&amp;EOMONTH($F$1,0))</f>
        <v>26</v>
      </c>
      <c r="G68">
        <f>SUMIFS(Table1[Quantity],Table1[ProductID],Table33[[#This Row],[ProductID]],Table1[RegionClean_],Table33[[#This Row],[Region]],Table1[TransactionDate_Clean],"&gt;"&amp;EOMONTH($G$1,-1),Table1[TransactionDate_Clean],"&lt;="&amp;EOMONTH($G$1,0))</f>
        <v>11</v>
      </c>
      <c r="H68">
        <f>SUMIFS(Table1[Quantity],Table1[ProductID],Table33[[#This Row],[ProductID]],Table1[RegionClean_],Table33[[#This Row],[Region]],Table1[TransactionDate_Clean],"&gt;"&amp;EOMONTH($H$1,-1),Table1[TransactionDate_Clean],"&lt;="&amp;EOMONTH($H$1,0))</f>
        <v>20</v>
      </c>
      <c r="I68">
        <f>SUM(Table33[[#This Row],[1/1/2025]:[6/1/2025]])</f>
        <v>92</v>
      </c>
      <c r="L68" t="s">
        <v>43</v>
      </c>
      <c r="M68" t="s">
        <v>58</v>
      </c>
      <c r="N68">
        <f>SUMIFS(Table4[ActualCost_Clean],Table4[ProductID_Clean],Product_Month_Actual_Variable_Cost[[#This Row],[ProductID]],Table4[Period_Clean],Product_Month_Actual_Variable_Cost[[#Headers],[2025-01]],Table4[CostType],"Variable")</f>
        <v>97.08</v>
      </c>
      <c r="O68">
        <f>SUMIFS(Table4[ActualCost_Clean],Table4[ProductID_Clean],Product_Month_Actual_Variable_Cost[[#This Row],[ProductID]],Table4[Period_Clean],Product_Month_Actual_Variable_Cost[[#Headers],[2025-02]],Table4[CostType],"Variable")</f>
        <v>92.95</v>
      </c>
      <c r="P68">
        <f>SUMIFS(Table4[ActualCost_Clean],Table4[ProductID_Clean],Product_Month_Actual_Variable_Cost[[#This Row],[ProductID]],Table4[Period_Clean],Product_Month_Actual_Variable_Cost[[#Headers],[2025-03]],Table4[CostType],"Variable")</f>
        <v>95.06</v>
      </c>
      <c r="Q68">
        <f>SUMIFS(Table4[ActualCost_Clean],Table4[ProductID_Clean],Product_Month_Actual_Variable_Cost[[#This Row],[ProductID]],Table4[Period_Clean],Product_Month_Actual_Variable_Cost[[#Headers],[2025-04]],Table4[CostType],"Variable")</f>
        <v>96.12</v>
      </c>
      <c r="R68">
        <f>SUMIFS(Table4[ActualCost_Clean],Table4[ProductID_Clean],Product_Month_Actual_Variable_Cost[[#This Row],[ProductID]],Table4[Period_Clean],Product_Month_Actual_Variable_Cost[[#Headers],[2025-05]],Table4[CostType],"Variable")</f>
        <v>99.61</v>
      </c>
      <c r="S68">
        <f>SUMIFS(Table4[ActualCost_Clean],Table4[ProductID_Clean],Product_Month_Actual_Variable_Cost[[#This Row],[ProductID]],Table4[Period_Clean],Product_Month_Actual_Variable_Cost[[#Headers],[2025-06]],Table4[CostType],"Variable")</f>
        <v>91.18</v>
      </c>
      <c r="V68" t="s">
        <v>43</v>
      </c>
      <c r="W68" t="s">
        <v>58</v>
      </c>
      <c r="X68">
        <f>Table33[[#This Row],[1/1/2025]]*Product_Month_Actual_Variable_Cost[[#This Row],[2025-01]]</f>
        <v>970.8</v>
      </c>
      <c r="Y68">
        <f>Table33[[#This Row],[2/1/2025]]*Product_Month_Actual_Variable_Cost[[#This Row],[2025-02]]</f>
        <v>1394.25</v>
      </c>
      <c r="Z68">
        <f>Table33[[#This Row],[3/1/2025]]*Product_Month_Actual_Variable_Cost[[#This Row],[2025-03]]</f>
        <v>950.6</v>
      </c>
      <c r="AA68">
        <f>Table33[[#This Row],[4/1/2025]]*Product_Month_Actual_Variable_Cost[[#This Row],[2025-04]]</f>
        <v>2499.12</v>
      </c>
      <c r="AB68">
        <f>Table33[[#This Row],[5/1/2025]]*Product_Month_Actual_Variable_Cost[[#This Row],[2025-05]]</f>
        <v>1095.71</v>
      </c>
      <c r="AC68">
        <f>Table33[[#This Row],[6/1/2025]]*Product_Month_Actual_Variable_Cost[[#This Row],[2025-06]]</f>
        <v>1823.6000000000001</v>
      </c>
      <c r="AD68">
        <f>SUM(Product_Region_Monthly_Variable_Cost[[#This Row],[25-Jan]:[25-Jun]])</f>
        <v>8734.08</v>
      </c>
      <c r="AG68" t="s">
        <v>43</v>
      </c>
      <c r="AH68" t="s">
        <v>58</v>
      </c>
      <c r="AI68">
        <f>SUMIFS(Table4[ActualCost_Clean],Table4[ProductID_Clean],Product_Month_Actual_Fixed_Cost[[#This Row],[ProductID]],Table4[Period_Clean],Product_Month_Actual_Variable_Cost[[#Headers],[2025-01]],Table4[CostType],"Fixed")</f>
        <v>28.65</v>
      </c>
      <c r="AJ68">
        <f>SUMIFS(Table4[ActualCost_Clean],Table4[ProductID_Clean],Product_Month_Actual_Fixed_Cost[[#This Row],[ProductID]],Table4[Period_Clean],Product_Month_Actual_Variable_Cost[[#Headers],[2025-02]],Table4[CostType],"Fixed")</f>
        <v>27.3</v>
      </c>
      <c r="AK68">
        <f>SUMIFS(Table4[ActualCost_Clean],Table4[ProductID_Clean],Product_Month_Actual_Fixed_Cost[[#This Row],[ProductID]],Table4[Period_Clean],Product_Month_Actual_Variable_Cost[[#Headers],[2025-03]],Table4[CostType],"Fixed")</f>
        <v>30.08</v>
      </c>
      <c r="AL68">
        <f>SUMIFS(Table4[ActualCost_Clean],Table4[ProductID_Clean],Product_Month_Actual_Fixed_Cost[[#This Row],[ProductID]],Table4[Period_Clean],Product_Month_Actual_Variable_Cost[[#Headers],[2025-04]],Table4[CostType],"Fixed")</f>
        <v>28.2</v>
      </c>
      <c r="AM68">
        <f>SUMIFS(Table4[ActualCost_Clean],Table4[ProductID_Clean],Product_Month_Actual_Fixed_Cost[[#This Row],[ProductID]],Table4[Period_Clean],Product_Month_Actual_Variable_Cost[[#Headers],[2025-05]],Table4[CostType],"Fixed")</f>
        <v>29.64</v>
      </c>
      <c r="AN68">
        <f>SUMIFS(Table4[ActualCost_Clean],Table4[ProductID_Clean],Product_Month_Actual_Fixed_Cost[[#This Row],[ProductID]],Table4[Period_Clean],Product_Month_Actual_Variable_Cost[[#Headers],[2025-06]],Table4[CostType],"Fixed")</f>
        <v>26.65</v>
      </c>
      <c r="AQ68" t="s">
        <v>43</v>
      </c>
      <c r="AR68" t="s">
        <v>58</v>
      </c>
      <c r="AS68">
        <f>Product_Month_Actual_Fixed_Cost[[#This Row],[2025-01]]*Table33[[#This Row],[1/1/2025]]</f>
        <v>286.5</v>
      </c>
      <c r="AT68">
        <f>Product_Month_Actual_Fixed_Cost[[#This Row],[2025-02]]*Table33[[#This Row],[2/1/2025]]</f>
        <v>409.5</v>
      </c>
      <c r="AU68">
        <f>Product_Month_Actual_Fixed_Cost[[#This Row],[2025-03]]*Table33[[#This Row],[3/1/2025]]</f>
        <v>300.79999999999995</v>
      </c>
      <c r="AV68">
        <f>Product_Month_Actual_Fixed_Cost[[#This Row],[2025-04]]*Table33[[#This Row],[4/1/2025]]</f>
        <v>733.19999999999993</v>
      </c>
      <c r="AW68">
        <f>Product_Month_Actual_Fixed_Cost[[#This Row],[2025-05]]*Table33[[#This Row],[5/1/2025]]</f>
        <v>326.04000000000002</v>
      </c>
      <c r="AX68">
        <f>Product_Month_Actual_Fixed_Cost[[#This Row],[2025-06]]*Table33[[#This Row],[6/1/2025]]</f>
        <v>533</v>
      </c>
      <c r="AY68">
        <f>SUM(Product_Region_Monthly_Fixed_Cost[[#This Row],[25-Jan]:[25-Jun]])</f>
        <v>2589.04</v>
      </c>
      <c r="BB68" t="s">
        <v>43</v>
      </c>
      <c r="BC68" t="s">
        <v>58</v>
      </c>
      <c r="BD68">
        <f>Product_Region_Monthly_Fixed_Cost[[#This Row],[25-Jan]]+Product_Region_Monthly_Variable_Cost[[#This Row],[25-Jan]]</f>
        <v>1257.3</v>
      </c>
      <c r="BE68">
        <f>Product_Region_Monthly_Fixed_Cost[[#This Row],[25-Feb]]+Product_Region_Monthly_Variable_Cost[[#This Row],[25-Feb]]</f>
        <v>1803.75</v>
      </c>
      <c r="BF68">
        <f>Product_Region_Monthly_Fixed_Cost[[#This Row],[25-Mar]]+Product_Region_Monthly_Variable_Cost[[#This Row],[25-Mar]]</f>
        <v>1251.4000000000001</v>
      </c>
      <c r="BG68">
        <f>Product_Region_Monthly_Fixed_Cost[[#This Row],[25-Apr]]+Product_Region_Monthly_Variable_Cost[[#This Row],[25-Apr]]</f>
        <v>3232.3199999999997</v>
      </c>
      <c r="BH68">
        <f>Product_Region_Monthly_Fixed_Cost[[#This Row],[25-May]]+Product_Region_Monthly_Variable_Cost[[#This Row],[25-May]]</f>
        <v>1421.75</v>
      </c>
      <c r="BI68">
        <f>Product_Region_Monthly_Fixed_Cost[[#This Row],[25-Jun]]+Product_Region_Monthly_Variable_Cost[[#This Row],[25-Jun]]</f>
        <v>2356.6000000000004</v>
      </c>
      <c r="BJ68">
        <f>Product_Region_Monthly_Fixed_Cost[[#This Row],[H1 Fixed Cost]]+Product_Region_Monthly_Variable_Cost[[#This Row],[H1 Variable Cost]]</f>
        <v>11323.119999999999</v>
      </c>
    </row>
    <row r="69" spans="1:62">
      <c r="A69" t="s">
        <v>43</v>
      </c>
      <c r="B69" t="s">
        <v>32</v>
      </c>
      <c r="C69">
        <f>SUMIFS(Table1[Quantity],Table1[ProductID],Table33[[#This Row],[ProductID]],Table1[RegionClean_],Table33[[#This Row],[Region]],Table1[TransactionDate_Clean],"&gt;"&amp;EOMONTH($C$1,-1),Table1[TransactionDate_Clean],"&lt;="&amp;EOMONTH($C$1,0))</f>
        <v>3</v>
      </c>
      <c r="D69">
        <f>SUMIFS(Table1[Quantity],Table1[ProductID],Table33[[#This Row],[ProductID]],Table1[RegionClean_],Table33[[#This Row],[Region]],Table1[TransactionDate_Clean],"&gt;"&amp;EOMONTH($D$1,-1),Table1[TransactionDate_Clean],"&lt;="&amp;EOMONTH($D$1,0))</f>
        <v>7</v>
      </c>
      <c r="E69">
        <f>SUMIFS(Table1[Quantity],Table1[ProductID],Table33[[#This Row],[ProductID]],Table1[RegionClean_],Table33[[#This Row],[Region]],Table1[TransactionDate_Clean],"&gt;"&amp;EOMONTH($E$1,-1),Table1[TransactionDate_Clean],"&lt;="&amp;EOMONTH($E$1,0))</f>
        <v>5</v>
      </c>
      <c r="F69">
        <f>SUMIFS(Table1[Quantity],Table1[ProductID],Table33[[#This Row],[ProductID]],Table1[RegionClean_],Table33[[#This Row],[Region]],Table1[TransactionDate_Clean],"&gt;"&amp;EOMONTH($F$1,-1),Table1[TransactionDate_Clean],"&lt;="&amp;EOMONTH($F$1,0))</f>
        <v>3</v>
      </c>
      <c r="G69">
        <f>SUMIFS(Table1[Quantity],Table1[ProductID],Table33[[#This Row],[ProductID]],Table1[RegionClean_],Table33[[#This Row],[Region]],Table1[TransactionDate_Clean],"&gt;"&amp;EOMONTH($G$1,-1),Table1[TransactionDate_Clean],"&lt;="&amp;EOMONTH($G$1,0))</f>
        <v>3</v>
      </c>
      <c r="H69">
        <f>SUMIFS(Table1[Quantity],Table1[ProductID],Table33[[#This Row],[ProductID]],Table1[RegionClean_],Table33[[#This Row],[Region]],Table1[TransactionDate_Clean],"&gt;"&amp;EOMONTH($H$1,-1),Table1[TransactionDate_Clean],"&lt;="&amp;EOMONTH($H$1,0))</f>
        <v>20</v>
      </c>
      <c r="I69">
        <f>SUM(Table33[[#This Row],[1/1/2025]:[6/1/2025]])</f>
        <v>41</v>
      </c>
      <c r="L69" t="s">
        <v>43</v>
      </c>
      <c r="M69" t="s">
        <v>32</v>
      </c>
      <c r="N69">
        <f>SUMIFS(Table4[ActualCost_Clean],Table4[ProductID_Clean],Product_Month_Actual_Variable_Cost[[#This Row],[ProductID]],Table4[Period_Clean],Product_Month_Actual_Variable_Cost[[#Headers],[2025-01]],Table4[CostType],"Variable")</f>
        <v>97.08</v>
      </c>
      <c r="O69">
        <f>SUMIFS(Table4[ActualCost_Clean],Table4[ProductID_Clean],Product_Month_Actual_Variable_Cost[[#This Row],[ProductID]],Table4[Period_Clean],Product_Month_Actual_Variable_Cost[[#Headers],[2025-02]],Table4[CostType],"Variable")</f>
        <v>92.95</v>
      </c>
      <c r="P69">
        <f>SUMIFS(Table4[ActualCost_Clean],Table4[ProductID_Clean],Product_Month_Actual_Variable_Cost[[#This Row],[ProductID]],Table4[Period_Clean],Product_Month_Actual_Variable_Cost[[#Headers],[2025-03]],Table4[CostType],"Variable")</f>
        <v>95.06</v>
      </c>
      <c r="Q69">
        <f>SUMIFS(Table4[ActualCost_Clean],Table4[ProductID_Clean],Product_Month_Actual_Variable_Cost[[#This Row],[ProductID]],Table4[Period_Clean],Product_Month_Actual_Variable_Cost[[#Headers],[2025-04]],Table4[CostType],"Variable")</f>
        <v>96.12</v>
      </c>
      <c r="R69">
        <f>SUMIFS(Table4[ActualCost_Clean],Table4[ProductID_Clean],Product_Month_Actual_Variable_Cost[[#This Row],[ProductID]],Table4[Period_Clean],Product_Month_Actual_Variable_Cost[[#Headers],[2025-05]],Table4[CostType],"Variable")</f>
        <v>99.61</v>
      </c>
      <c r="S69">
        <f>SUMIFS(Table4[ActualCost_Clean],Table4[ProductID_Clean],Product_Month_Actual_Variable_Cost[[#This Row],[ProductID]],Table4[Period_Clean],Product_Month_Actual_Variable_Cost[[#Headers],[2025-06]],Table4[CostType],"Variable")</f>
        <v>91.18</v>
      </c>
      <c r="V69" t="s">
        <v>43</v>
      </c>
      <c r="W69" t="s">
        <v>32</v>
      </c>
      <c r="X69">
        <f>Table33[[#This Row],[1/1/2025]]*Product_Month_Actual_Variable_Cost[[#This Row],[2025-01]]</f>
        <v>291.24</v>
      </c>
      <c r="Y69">
        <f>Table33[[#This Row],[2/1/2025]]*Product_Month_Actual_Variable_Cost[[#This Row],[2025-02]]</f>
        <v>650.65</v>
      </c>
      <c r="Z69">
        <f>Table33[[#This Row],[3/1/2025]]*Product_Month_Actual_Variable_Cost[[#This Row],[2025-03]]</f>
        <v>475.3</v>
      </c>
      <c r="AA69">
        <f>Table33[[#This Row],[4/1/2025]]*Product_Month_Actual_Variable_Cost[[#This Row],[2025-04]]</f>
        <v>288.36</v>
      </c>
      <c r="AB69">
        <f>Table33[[#This Row],[5/1/2025]]*Product_Month_Actual_Variable_Cost[[#This Row],[2025-05]]</f>
        <v>298.83</v>
      </c>
      <c r="AC69">
        <f>Table33[[#This Row],[6/1/2025]]*Product_Month_Actual_Variable_Cost[[#This Row],[2025-06]]</f>
        <v>1823.6000000000001</v>
      </c>
      <c r="AD69">
        <f>SUM(Product_Region_Monthly_Variable_Cost[[#This Row],[25-Jan]:[25-Jun]])</f>
        <v>3827.9800000000005</v>
      </c>
      <c r="AG69" t="s">
        <v>43</v>
      </c>
      <c r="AH69" t="s">
        <v>32</v>
      </c>
      <c r="AI69">
        <f>SUMIFS(Table4[ActualCost_Clean],Table4[ProductID_Clean],Product_Month_Actual_Fixed_Cost[[#This Row],[ProductID]],Table4[Period_Clean],Product_Month_Actual_Variable_Cost[[#Headers],[2025-01]],Table4[CostType],"Fixed")</f>
        <v>28.65</v>
      </c>
      <c r="AJ69">
        <f>SUMIFS(Table4[ActualCost_Clean],Table4[ProductID_Clean],Product_Month_Actual_Fixed_Cost[[#This Row],[ProductID]],Table4[Period_Clean],Product_Month_Actual_Variable_Cost[[#Headers],[2025-02]],Table4[CostType],"Fixed")</f>
        <v>27.3</v>
      </c>
      <c r="AK69">
        <f>SUMIFS(Table4[ActualCost_Clean],Table4[ProductID_Clean],Product_Month_Actual_Fixed_Cost[[#This Row],[ProductID]],Table4[Period_Clean],Product_Month_Actual_Variable_Cost[[#Headers],[2025-03]],Table4[CostType],"Fixed")</f>
        <v>30.08</v>
      </c>
      <c r="AL69">
        <f>SUMIFS(Table4[ActualCost_Clean],Table4[ProductID_Clean],Product_Month_Actual_Fixed_Cost[[#This Row],[ProductID]],Table4[Period_Clean],Product_Month_Actual_Variable_Cost[[#Headers],[2025-04]],Table4[CostType],"Fixed")</f>
        <v>28.2</v>
      </c>
      <c r="AM69">
        <f>SUMIFS(Table4[ActualCost_Clean],Table4[ProductID_Clean],Product_Month_Actual_Fixed_Cost[[#This Row],[ProductID]],Table4[Period_Clean],Product_Month_Actual_Variable_Cost[[#Headers],[2025-05]],Table4[CostType],"Fixed")</f>
        <v>29.64</v>
      </c>
      <c r="AN69">
        <f>SUMIFS(Table4[ActualCost_Clean],Table4[ProductID_Clean],Product_Month_Actual_Fixed_Cost[[#This Row],[ProductID]],Table4[Period_Clean],Product_Month_Actual_Variable_Cost[[#Headers],[2025-06]],Table4[CostType],"Fixed")</f>
        <v>26.65</v>
      </c>
      <c r="AQ69" t="s">
        <v>43</v>
      </c>
      <c r="AR69" t="s">
        <v>32</v>
      </c>
      <c r="AS69">
        <f>Product_Month_Actual_Fixed_Cost[[#This Row],[2025-01]]*Table33[[#This Row],[1/1/2025]]</f>
        <v>85.949999999999989</v>
      </c>
      <c r="AT69">
        <f>Product_Month_Actual_Fixed_Cost[[#This Row],[2025-02]]*Table33[[#This Row],[2/1/2025]]</f>
        <v>191.1</v>
      </c>
      <c r="AU69">
        <f>Product_Month_Actual_Fixed_Cost[[#This Row],[2025-03]]*Table33[[#This Row],[3/1/2025]]</f>
        <v>150.39999999999998</v>
      </c>
      <c r="AV69">
        <f>Product_Month_Actual_Fixed_Cost[[#This Row],[2025-04]]*Table33[[#This Row],[4/1/2025]]</f>
        <v>84.6</v>
      </c>
      <c r="AW69">
        <f>Product_Month_Actual_Fixed_Cost[[#This Row],[2025-05]]*Table33[[#This Row],[5/1/2025]]</f>
        <v>88.92</v>
      </c>
      <c r="AX69">
        <f>Product_Month_Actual_Fixed_Cost[[#This Row],[2025-06]]*Table33[[#This Row],[6/1/2025]]</f>
        <v>533</v>
      </c>
      <c r="AY69">
        <f>SUM(Product_Region_Monthly_Fixed_Cost[[#This Row],[25-Jan]:[25-Jun]])</f>
        <v>1133.9699999999998</v>
      </c>
      <c r="BB69" t="s">
        <v>43</v>
      </c>
      <c r="BC69" t="s">
        <v>32</v>
      </c>
      <c r="BD69">
        <f>Product_Region_Monthly_Fixed_Cost[[#This Row],[25-Jan]]+Product_Region_Monthly_Variable_Cost[[#This Row],[25-Jan]]</f>
        <v>377.19</v>
      </c>
      <c r="BE69">
        <f>Product_Region_Monthly_Fixed_Cost[[#This Row],[25-Feb]]+Product_Region_Monthly_Variable_Cost[[#This Row],[25-Feb]]</f>
        <v>841.75</v>
      </c>
      <c r="BF69">
        <f>Product_Region_Monthly_Fixed_Cost[[#This Row],[25-Mar]]+Product_Region_Monthly_Variable_Cost[[#This Row],[25-Mar]]</f>
        <v>625.70000000000005</v>
      </c>
      <c r="BG69">
        <f>Product_Region_Monthly_Fixed_Cost[[#This Row],[25-Apr]]+Product_Region_Monthly_Variable_Cost[[#This Row],[25-Apr]]</f>
        <v>372.96000000000004</v>
      </c>
      <c r="BH69">
        <f>Product_Region_Monthly_Fixed_Cost[[#This Row],[25-May]]+Product_Region_Monthly_Variable_Cost[[#This Row],[25-May]]</f>
        <v>387.75</v>
      </c>
      <c r="BI69">
        <f>Product_Region_Monthly_Fixed_Cost[[#This Row],[25-Jun]]+Product_Region_Monthly_Variable_Cost[[#This Row],[25-Jun]]</f>
        <v>2356.6000000000004</v>
      </c>
      <c r="BJ69">
        <f>Product_Region_Monthly_Fixed_Cost[[#This Row],[H1 Fixed Cost]]+Product_Region_Monthly_Variable_Cost[[#This Row],[H1 Variable Cost]]</f>
        <v>4961.9500000000007</v>
      </c>
    </row>
    <row r="70" spans="1:62">
      <c r="A70" t="s">
        <v>97</v>
      </c>
      <c r="B70" t="s">
        <v>23</v>
      </c>
      <c r="C70">
        <f>SUMIFS(Table1[Quantity],Table1[ProductID],Table33[[#This Row],[ProductID]],Table1[RegionClean_],Table33[[#This Row],[Region]],Table1[TransactionDate_Clean],"&gt;"&amp;EOMONTH($C$1,-1),Table1[TransactionDate_Clean],"&lt;="&amp;EOMONTH($C$1,0))</f>
        <v>7</v>
      </c>
      <c r="D70">
        <f>SUMIFS(Table1[Quantity],Table1[ProductID],Table33[[#This Row],[ProductID]],Table1[RegionClean_],Table33[[#This Row],[Region]],Table1[TransactionDate_Clean],"&gt;"&amp;EOMONTH($D$1,-1),Table1[TransactionDate_Clean],"&lt;="&amp;EOMONTH($D$1,0))</f>
        <v>23</v>
      </c>
      <c r="E70">
        <f>SUMIFS(Table1[Quantity],Table1[ProductID],Table33[[#This Row],[ProductID]],Table1[RegionClean_],Table33[[#This Row],[Region]],Table1[TransactionDate_Clean],"&gt;"&amp;EOMONTH($E$1,-1),Table1[TransactionDate_Clean],"&lt;="&amp;EOMONTH($E$1,0))</f>
        <v>41</v>
      </c>
      <c r="F70">
        <f>SUMIFS(Table1[Quantity],Table1[ProductID],Table33[[#This Row],[ProductID]],Table1[RegionClean_],Table33[[#This Row],[Region]],Table1[TransactionDate_Clean],"&gt;"&amp;EOMONTH($F$1,-1),Table1[TransactionDate_Clean],"&lt;="&amp;EOMONTH($F$1,0))</f>
        <v>19</v>
      </c>
      <c r="G70">
        <f>SUMIFS(Table1[Quantity],Table1[ProductID],Table33[[#This Row],[ProductID]],Table1[RegionClean_],Table33[[#This Row],[Region]],Table1[TransactionDate_Clean],"&gt;"&amp;EOMONTH($G$1,-1),Table1[TransactionDate_Clean],"&lt;="&amp;EOMONTH($G$1,0))</f>
        <v>30</v>
      </c>
      <c r="H70">
        <f>SUMIFS(Table1[Quantity],Table1[ProductID],Table33[[#This Row],[ProductID]],Table1[RegionClean_],Table33[[#This Row],[Region]],Table1[TransactionDate_Clean],"&gt;"&amp;EOMONTH($H$1,-1),Table1[TransactionDate_Clean],"&lt;="&amp;EOMONTH($H$1,0))</f>
        <v>12</v>
      </c>
      <c r="I70">
        <f>SUM(Table33[[#This Row],[1/1/2025]:[6/1/2025]])</f>
        <v>132</v>
      </c>
      <c r="L70" t="s">
        <v>97</v>
      </c>
      <c r="M70" t="s">
        <v>23</v>
      </c>
      <c r="N70">
        <f>SUMIFS(Table4[ActualCost_Clean],Table4[ProductID_Clean],Product_Month_Actual_Variable_Cost[[#This Row],[ProductID]],Table4[Period_Clean],Product_Month_Actual_Variable_Cost[[#Headers],[2025-01]],Table4[CostType],"Variable")</f>
        <v>444.44</v>
      </c>
      <c r="O70">
        <f>SUMIFS(Table4[ActualCost_Clean],Table4[ProductID_Clean],Product_Month_Actual_Variable_Cost[[#This Row],[ProductID]],Table4[Period_Clean],Product_Month_Actual_Variable_Cost[[#Headers],[2025-02]],Table4[CostType],"Variable")</f>
        <v>439.84</v>
      </c>
      <c r="P70">
        <f>SUMIFS(Table4[ActualCost_Clean],Table4[ProductID_Clean],Product_Month_Actual_Variable_Cost[[#This Row],[ProductID]],Table4[Period_Clean],Product_Month_Actual_Variable_Cost[[#Headers],[2025-03]],Table4[CostType],"Variable")</f>
        <v>439.77</v>
      </c>
      <c r="Q70">
        <f>SUMIFS(Table4[ActualCost_Clean],Table4[ProductID_Clean],Product_Month_Actual_Variable_Cost[[#This Row],[ProductID]],Table4[Period_Clean],Product_Month_Actual_Variable_Cost[[#Headers],[2025-04]],Table4[CostType],"Variable")</f>
        <v>447.5</v>
      </c>
      <c r="R70">
        <f>SUMIFS(Table4[ActualCost_Clean],Table4[ProductID_Clean],Product_Month_Actual_Variable_Cost[[#This Row],[ProductID]],Table4[Period_Clean],Product_Month_Actual_Variable_Cost[[#Headers],[2025-05]],Table4[CostType],"Variable")</f>
        <v>452.35</v>
      </c>
      <c r="S70">
        <f>SUMIFS(Table4[ActualCost_Clean],Table4[ProductID_Clean],Product_Month_Actual_Variable_Cost[[#This Row],[ProductID]],Table4[Period_Clean],Product_Month_Actual_Variable_Cost[[#Headers],[2025-06]],Table4[CostType],"Variable")</f>
        <v>458.23</v>
      </c>
      <c r="V70" t="s">
        <v>97</v>
      </c>
      <c r="W70" t="s">
        <v>23</v>
      </c>
      <c r="X70">
        <f>Table33[[#This Row],[1/1/2025]]*Product_Month_Actual_Variable_Cost[[#This Row],[2025-01]]</f>
        <v>3111.08</v>
      </c>
      <c r="Y70">
        <f>Table33[[#This Row],[2/1/2025]]*Product_Month_Actual_Variable_Cost[[#This Row],[2025-02]]</f>
        <v>10116.32</v>
      </c>
      <c r="Z70">
        <f>Table33[[#This Row],[3/1/2025]]*Product_Month_Actual_Variable_Cost[[#This Row],[2025-03]]</f>
        <v>18030.57</v>
      </c>
      <c r="AA70">
        <f>Table33[[#This Row],[4/1/2025]]*Product_Month_Actual_Variable_Cost[[#This Row],[2025-04]]</f>
        <v>8502.5</v>
      </c>
      <c r="AB70">
        <f>Table33[[#This Row],[5/1/2025]]*Product_Month_Actual_Variable_Cost[[#This Row],[2025-05]]</f>
        <v>13570.5</v>
      </c>
      <c r="AC70">
        <f>Table33[[#This Row],[6/1/2025]]*Product_Month_Actual_Variable_Cost[[#This Row],[2025-06]]</f>
        <v>5498.76</v>
      </c>
      <c r="AD70">
        <f>SUM(Product_Region_Monthly_Variable_Cost[[#This Row],[25-Jan]:[25-Jun]])</f>
        <v>58829.73</v>
      </c>
      <c r="AG70" t="s">
        <v>97</v>
      </c>
      <c r="AH70" t="s">
        <v>23</v>
      </c>
      <c r="AI70">
        <f>SUMIFS(Table4[ActualCost_Clean],Table4[ProductID_Clean],Product_Month_Actual_Fixed_Cost[[#This Row],[ProductID]],Table4[Period_Clean],Product_Month_Actual_Variable_Cost[[#Headers],[2025-01]],Table4[CostType],"Fixed")</f>
        <v>72.89</v>
      </c>
      <c r="AJ70">
        <f>SUMIFS(Table4[ActualCost_Clean],Table4[ProductID_Clean],Product_Month_Actual_Fixed_Cost[[#This Row],[ProductID]],Table4[Period_Clean],Product_Month_Actual_Variable_Cost[[#Headers],[2025-02]],Table4[CostType],"Fixed")</f>
        <v>72.260000000000005</v>
      </c>
      <c r="AK70">
        <f>SUMIFS(Table4[ActualCost_Clean],Table4[ProductID_Clean],Product_Month_Actual_Fixed_Cost[[#This Row],[ProductID]],Table4[Period_Clean],Product_Month_Actual_Variable_Cost[[#Headers],[2025-03]],Table4[CostType],"Fixed")</f>
        <v>70.83</v>
      </c>
      <c r="AL70">
        <f>SUMIFS(Table4[ActualCost_Clean],Table4[ProductID_Clean],Product_Month_Actual_Fixed_Cost[[#This Row],[ProductID]],Table4[Period_Clean],Product_Month_Actual_Variable_Cost[[#Headers],[2025-04]],Table4[CostType],"Fixed")</f>
        <v>65.17</v>
      </c>
      <c r="AM70">
        <f>SUMIFS(Table4[ActualCost_Clean],Table4[ProductID_Clean],Product_Month_Actual_Fixed_Cost[[#This Row],[ProductID]],Table4[Period_Clean],Product_Month_Actual_Variable_Cost[[#Headers],[2025-05]],Table4[CostType],"Fixed")</f>
        <v>66.400000000000006</v>
      </c>
      <c r="AN70">
        <f>SUMIFS(Table4[ActualCost_Clean],Table4[ProductID_Clean],Product_Month_Actual_Fixed_Cost[[#This Row],[ProductID]],Table4[Period_Clean],Product_Month_Actual_Variable_Cost[[#Headers],[2025-06]],Table4[CostType],"Fixed")</f>
        <v>72.349999999999994</v>
      </c>
      <c r="AQ70" t="s">
        <v>97</v>
      </c>
      <c r="AR70" t="s">
        <v>23</v>
      </c>
      <c r="AS70">
        <f>Product_Month_Actual_Fixed_Cost[[#This Row],[2025-01]]*Table33[[#This Row],[1/1/2025]]</f>
        <v>510.23</v>
      </c>
      <c r="AT70">
        <f>Product_Month_Actual_Fixed_Cost[[#This Row],[2025-02]]*Table33[[#This Row],[2/1/2025]]</f>
        <v>1661.98</v>
      </c>
      <c r="AU70">
        <f>Product_Month_Actual_Fixed_Cost[[#This Row],[2025-03]]*Table33[[#This Row],[3/1/2025]]</f>
        <v>2904.0299999999997</v>
      </c>
      <c r="AV70">
        <f>Product_Month_Actual_Fixed_Cost[[#This Row],[2025-04]]*Table33[[#This Row],[4/1/2025]]</f>
        <v>1238.23</v>
      </c>
      <c r="AW70">
        <f>Product_Month_Actual_Fixed_Cost[[#This Row],[2025-05]]*Table33[[#This Row],[5/1/2025]]</f>
        <v>1992.0000000000002</v>
      </c>
      <c r="AX70">
        <f>Product_Month_Actual_Fixed_Cost[[#This Row],[2025-06]]*Table33[[#This Row],[6/1/2025]]</f>
        <v>868.19999999999993</v>
      </c>
      <c r="AY70">
        <f>SUM(Product_Region_Monthly_Fixed_Cost[[#This Row],[25-Jan]:[25-Jun]])</f>
        <v>9174.67</v>
      </c>
      <c r="BB70" t="s">
        <v>97</v>
      </c>
      <c r="BC70" t="s">
        <v>23</v>
      </c>
      <c r="BD70">
        <f>Product_Region_Monthly_Fixed_Cost[[#This Row],[25-Jan]]+Product_Region_Monthly_Variable_Cost[[#This Row],[25-Jan]]</f>
        <v>3621.31</v>
      </c>
      <c r="BE70">
        <f>Product_Region_Monthly_Fixed_Cost[[#This Row],[25-Feb]]+Product_Region_Monthly_Variable_Cost[[#This Row],[25-Feb]]</f>
        <v>11778.3</v>
      </c>
      <c r="BF70">
        <f>Product_Region_Monthly_Fixed_Cost[[#This Row],[25-Mar]]+Product_Region_Monthly_Variable_Cost[[#This Row],[25-Mar]]</f>
        <v>20934.599999999999</v>
      </c>
      <c r="BG70">
        <f>Product_Region_Monthly_Fixed_Cost[[#This Row],[25-Apr]]+Product_Region_Monthly_Variable_Cost[[#This Row],[25-Apr]]</f>
        <v>9740.73</v>
      </c>
      <c r="BH70">
        <f>Product_Region_Monthly_Fixed_Cost[[#This Row],[25-May]]+Product_Region_Monthly_Variable_Cost[[#This Row],[25-May]]</f>
        <v>15562.5</v>
      </c>
      <c r="BI70">
        <f>Product_Region_Monthly_Fixed_Cost[[#This Row],[25-Jun]]+Product_Region_Monthly_Variable_Cost[[#This Row],[25-Jun]]</f>
        <v>6366.96</v>
      </c>
      <c r="BJ70">
        <f>Product_Region_Monthly_Fixed_Cost[[#This Row],[H1 Fixed Cost]]+Product_Region_Monthly_Variable_Cost[[#This Row],[H1 Variable Cost]]</f>
        <v>68004.400000000009</v>
      </c>
    </row>
    <row r="71" spans="1:62">
      <c r="A71" t="s">
        <v>97</v>
      </c>
      <c r="B71" t="s">
        <v>47</v>
      </c>
      <c r="C71">
        <f>SUMIFS(Table1[Quantity],Table1[ProductID],Table33[[#This Row],[ProductID]],Table1[RegionClean_],Table33[[#This Row],[Region]],Table1[TransactionDate_Clean],"&gt;"&amp;EOMONTH($C$1,-1),Table1[TransactionDate_Clean],"&lt;="&amp;EOMONTH($C$1,0))</f>
        <v>16</v>
      </c>
      <c r="D71">
        <f>SUMIFS(Table1[Quantity],Table1[ProductID],Table33[[#This Row],[ProductID]],Table1[RegionClean_],Table33[[#This Row],[Region]],Table1[TransactionDate_Clean],"&gt;"&amp;EOMONTH($D$1,-1),Table1[TransactionDate_Clean],"&lt;="&amp;EOMONTH($D$1,0))</f>
        <v>39</v>
      </c>
      <c r="E71">
        <f>SUMIFS(Table1[Quantity],Table1[ProductID],Table33[[#This Row],[ProductID]],Table1[RegionClean_],Table33[[#This Row],[Region]],Table1[TransactionDate_Clean],"&gt;"&amp;EOMONTH($E$1,-1),Table1[TransactionDate_Clean],"&lt;="&amp;EOMONTH($E$1,0))</f>
        <v>10</v>
      </c>
      <c r="F71">
        <f>SUMIFS(Table1[Quantity],Table1[ProductID],Table33[[#This Row],[ProductID]],Table1[RegionClean_],Table33[[#This Row],[Region]],Table1[TransactionDate_Clean],"&gt;"&amp;EOMONTH($F$1,-1),Table1[TransactionDate_Clean],"&lt;="&amp;EOMONTH($F$1,0))</f>
        <v>43</v>
      </c>
      <c r="G71">
        <f>SUMIFS(Table1[Quantity],Table1[ProductID],Table33[[#This Row],[ProductID]],Table1[RegionClean_],Table33[[#This Row],[Region]],Table1[TransactionDate_Clean],"&gt;"&amp;EOMONTH($G$1,-1),Table1[TransactionDate_Clean],"&lt;="&amp;EOMONTH($G$1,0))</f>
        <v>15</v>
      </c>
      <c r="H71">
        <f>SUMIFS(Table1[Quantity],Table1[ProductID],Table33[[#This Row],[ProductID]],Table1[RegionClean_],Table33[[#This Row],[Region]],Table1[TransactionDate_Clean],"&gt;"&amp;EOMONTH($H$1,-1),Table1[TransactionDate_Clean],"&lt;="&amp;EOMONTH($H$1,0))</f>
        <v>13</v>
      </c>
      <c r="I71">
        <f>SUM(Table33[[#This Row],[1/1/2025]:[6/1/2025]])</f>
        <v>136</v>
      </c>
      <c r="L71" t="s">
        <v>97</v>
      </c>
      <c r="M71" t="s">
        <v>47</v>
      </c>
      <c r="N71">
        <f>SUMIFS(Table4[ActualCost_Clean],Table4[ProductID_Clean],Product_Month_Actual_Variable_Cost[[#This Row],[ProductID]],Table4[Period_Clean],Product_Month_Actual_Variable_Cost[[#Headers],[2025-01]],Table4[CostType],"Variable")</f>
        <v>444.44</v>
      </c>
      <c r="O71">
        <f>SUMIFS(Table4[ActualCost_Clean],Table4[ProductID_Clean],Product_Month_Actual_Variable_Cost[[#This Row],[ProductID]],Table4[Period_Clean],Product_Month_Actual_Variable_Cost[[#Headers],[2025-02]],Table4[CostType],"Variable")</f>
        <v>439.84</v>
      </c>
      <c r="P71">
        <f>SUMIFS(Table4[ActualCost_Clean],Table4[ProductID_Clean],Product_Month_Actual_Variable_Cost[[#This Row],[ProductID]],Table4[Period_Clean],Product_Month_Actual_Variable_Cost[[#Headers],[2025-03]],Table4[CostType],"Variable")</f>
        <v>439.77</v>
      </c>
      <c r="Q71">
        <f>SUMIFS(Table4[ActualCost_Clean],Table4[ProductID_Clean],Product_Month_Actual_Variable_Cost[[#This Row],[ProductID]],Table4[Period_Clean],Product_Month_Actual_Variable_Cost[[#Headers],[2025-04]],Table4[CostType],"Variable")</f>
        <v>447.5</v>
      </c>
      <c r="R71">
        <f>SUMIFS(Table4[ActualCost_Clean],Table4[ProductID_Clean],Product_Month_Actual_Variable_Cost[[#This Row],[ProductID]],Table4[Period_Clean],Product_Month_Actual_Variable_Cost[[#Headers],[2025-05]],Table4[CostType],"Variable")</f>
        <v>452.35</v>
      </c>
      <c r="S71">
        <f>SUMIFS(Table4[ActualCost_Clean],Table4[ProductID_Clean],Product_Month_Actual_Variable_Cost[[#This Row],[ProductID]],Table4[Period_Clean],Product_Month_Actual_Variable_Cost[[#Headers],[2025-06]],Table4[CostType],"Variable")</f>
        <v>458.23</v>
      </c>
      <c r="V71" t="s">
        <v>97</v>
      </c>
      <c r="W71" t="s">
        <v>47</v>
      </c>
      <c r="X71">
        <f>Table33[[#This Row],[1/1/2025]]*Product_Month_Actual_Variable_Cost[[#This Row],[2025-01]]</f>
        <v>7111.04</v>
      </c>
      <c r="Y71">
        <f>Table33[[#This Row],[2/1/2025]]*Product_Month_Actual_Variable_Cost[[#This Row],[2025-02]]</f>
        <v>17153.759999999998</v>
      </c>
      <c r="Z71">
        <f>Table33[[#This Row],[3/1/2025]]*Product_Month_Actual_Variable_Cost[[#This Row],[2025-03]]</f>
        <v>4397.7</v>
      </c>
      <c r="AA71">
        <f>Table33[[#This Row],[4/1/2025]]*Product_Month_Actual_Variable_Cost[[#This Row],[2025-04]]</f>
        <v>19242.5</v>
      </c>
      <c r="AB71">
        <f>Table33[[#This Row],[5/1/2025]]*Product_Month_Actual_Variable_Cost[[#This Row],[2025-05]]</f>
        <v>6785.25</v>
      </c>
      <c r="AC71">
        <f>Table33[[#This Row],[6/1/2025]]*Product_Month_Actual_Variable_Cost[[#This Row],[2025-06]]</f>
        <v>5956.99</v>
      </c>
      <c r="AD71">
        <f>SUM(Product_Region_Monthly_Variable_Cost[[#This Row],[25-Jan]:[25-Jun]])</f>
        <v>60647.24</v>
      </c>
      <c r="AG71" t="s">
        <v>97</v>
      </c>
      <c r="AH71" t="s">
        <v>47</v>
      </c>
      <c r="AI71">
        <f>SUMIFS(Table4[ActualCost_Clean],Table4[ProductID_Clean],Product_Month_Actual_Fixed_Cost[[#This Row],[ProductID]],Table4[Period_Clean],Product_Month_Actual_Variable_Cost[[#Headers],[2025-01]],Table4[CostType],"Fixed")</f>
        <v>72.89</v>
      </c>
      <c r="AJ71">
        <f>SUMIFS(Table4[ActualCost_Clean],Table4[ProductID_Clean],Product_Month_Actual_Fixed_Cost[[#This Row],[ProductID]],Table4[Period_Clean],Product_Month_Actual_Variable_Cost[[#Headers],[2025-02]],Table4[CostType],"Fixed")</f>
        <v>72.260000000000005</v>
      </c>
      <c r="AK71">
        <f>SUMIFS(Table4[ActualCost_Clean],Table4[ProductID_Clean],Product_Month_Actual_Fixed_Cost[[#This Row],[ProductID]],Table4[Period_Clean],Product_Month_Actual_Variable_Cost[[#Headers],[2025-03]],Table4[CostType],"Fixed")</f>
        <v>70.83</v>
      </c>
      <c r="AL71">
        <f>SUMIFS(Table4[ActualCost_Clean],Table4[ProductID_Clean],Product_Month_Actual_Fixed_Cost[[#This Row],[ProductID]],Table4[Period_Clean],Product_Month_Actual_Variable_Cost[[#Headers],[2025-04]],Table4[CostType],"Fixed")</f>
        <v>65.17</v>
      </c>
      <c r="AM71">
        <f>SUMIFS(Table4[ActualCost_Clean],Table4[ProductID_Clean],Product_Month_Actual_Fixed_Cost[[#This Row],[ProductID]],Table4[Period_Clean],Product_Month_Actual_Variable_Cost[[#Headers],[2025-05]],Table4[CostType],"Fixed")</f>
        <v>66.400000000000006</v>
      </c>
      <c r="AN71">
        <f>SUMIFS(Table4[ActualCost_Clean],Table4[ProductID_Clean],Product_Month_Actual_Fixed_Cost[[#This Row],[ProductID]],Table4[Period_Clean],Product_Month_Actual_Variable_Cost[[#Headers],[2025-06]],Table4[CostType],"Fixed")</f>
        <v>72.349999999999994</v>
      </c>
      <c r="AQ71" t="s">
        <v>97</v>
      </c>
      <c r="AR71" t="s">
        <v>47</v>
      </c>
      <c r="AS71">
        <f>Product_Month_Actual_Fixed_Cost[[#This Row],[2025-01]]*Table33[[#This Row],[1/1/2025]]</f>
        <v>1166.24</v>
      </c>
      <c r="AT71">
        <f>Product_Month_Actual_Fixed_Cost[[#This Row],[2025-02]]*Table33[[#This Row],[2/1/2025]]</f>
        <v>2818.1400000000003</v>
      </c>
      <c r="AU71">
        <f>Product_Month_Actual_Fixed_Cost[[#This Row],[2025-03]]*Table33[[#This Row],[3/1/2025]]</f>
        <v>708.3</v>
      </c>
      <c r="AV71">
        <f>Product_Month_Actual_Fixed_Cost[[#This Row],[2025-04]]*Table33[[#This Row],[4/1/2025]]</f>
        <v>2802.31</v>
      </c>
      <c r="AW71">
        <f>Product_Month_Actual_Fixed_Cost[[#This Row],[2025-05]]*Table33[[#This Row],[5/1/2025]]</f>
        <v>996.00000000000011</v>
      </c>
      <c r="AX71">
        <f>Product_Month_Actual_Fixed_Cost[[#This Row],[2025-06]]*Table33[[#This Row],[6/1/2025]]</f>
        <v>940.55</v>
      </c>
      <c r="AY71">
        <f>SUM(Product_Region_Monthly_Fixed_Cost[[#This Row],[25-Jan]:[25-Jun]])</f>
        <v>9431.5399999999991</v>
      </c>
      <c r="BB71" t="s">
        <v>97</v>
      </c>
      <c r="BC71" t="s">
        <v>47</v>
      </c>
      <c r="BD71">
        <f>Product_Region_Monthly_Fixed_Cost[[#This Row],[25-Jan]]+Product_Region_Monthly_Variable_Cost[[#This Row],[25-Jan]]</f>
        <v>8277.2800000000007</v>
      </c>
      <c r="BE71">
        <f>Product_Region_Monthly_Fixed_Cost[[#This Row],[25-Feb]]+Product_Region_Monthly_Variable_Cost[[#This Row],[25-Feb]]</f>
        <v>19971.899999999998</v>
      </c>
      <c r="BF71">
        <f>Product_Region_Monthly_Fixed_Cost[[#This Row],[25-Mar]]+Product_Region_Monthly_Variable_Cost[[#This Row],[25-Mar]]</f>
        <v>5106</v>
      </c>
      <c r="BG71">
        <f>Product_Region_Monthly_Fixed_Cost[[#This Row],[25-Apr]]+Product_Region_Monthly_Variable_Cost[[#This Row],[25-Apr]]</f>
        <v>22044.81</v>
      </c>
      <c r="BH71">
        <f>Product_Region_Monthly_Fixed_Cost[[#This Row],[25-May]]+Product_Region_Monthly_Variable_Cost[[#This Row],[25-May]]</f>
        <v>7781.25</v>
      </c>
      <c r="BI71">
        <f>Product_Region_Monthly_Fixed_Cost[[#This Row],[25-Jun]]+Product_Region_Monthly_Variable_Cost[[#This Row],[25-Jun]]</f>
        <v>6897.54</v>
      </c>
      <c r="BJ71">
        <f>Product_Region_Monthly_Fixed_Cost[[#This Row],[H1 Fixed Cost]]+Product_Region_Monthly_Variable_Cost[[#This Row],[H1 Variable Cost]]</f>
        <v>70078.78</v>
      </c>
    </row>
    <row r="72" spans="1:62">
      <c r="A72" t="s">
        <v>97</v>
      </c>
      <c r="B72" t="s">
        <v>58</v>
      </c>
      <c r="C72">
        <f>SUMIFS(Table1[Quantity],Table1[ProductID],Table33[[#This Row],[ProductID]],Table1[RegionClean_],Table33[[#This Row],[Region]],Table1[TransactionDate_Clean],"&gt;"&amp;EOMONTH($C$1,-1),Table1[TransactionDate_Clean],"&lt;="&amp;EOMONTH($C$1,0))</f>
        <v>18</v>
      </c>
      <c r="D72">
        <f>SUMIFS(Table1[Quantity],Table1[ProductID],Table33[[#This Row],[ProductID]],Table1[RegionClean_],Table33[[#This Row],[Region]],Table1[TransactionDate_Clean],"&gt;"&amp;EOMONTH($D$1,-1),Table1[TransactionDate_Clean],"&lt;="&amp;EOMONTH($D$1,0))</f>
        <v>5</v>
      </c>
      <c r="E72">
        <f>SUMIFS(Table1[Quantity],Table1[ProductID],Table33[[#This Row],[ProductID]],Table1[RegionClean_],Table33[[#This Row],[Region]],Table1[TransactionDate_Clean],"&gt;"&amp;EOMONTH($E$1,-1),Table1[TransactionDate_Clean],"&lt;="&amp;EOMONTH($E$1,0))</f>
        <v>10</v>
      </c>
      <c r="F72">
        <f>SUMIFS(Table1[Quantity],Table1[ProductID],Table33[[#This Row],[ProductID]],Table1[RegionClean_],Table33[[#This Row],[Region]],Table1[TransactionDate_Clean],"&gt;"&amp;EOMONTH($F$1,-1),Table1[TransactionDate_Clean],"&lt;="&amp;EOMONTH($F$1,0))</f>
        <v>13</v>
      </c>
      <c r="G72">
        <f>SUMIFS(Table1[Quantity],Table1[ProductID],Table33[[#This Row],[ProductID]],Table1[RegionClean_],Table33[[#This Row],[Region]],Table1[TransactionDate_Clean],"&gt;"&amp;EOMONTH($G$1,-1),Table1[TransactionDate_Clean],"&lt;="&amp;EOMONTH($G$1,0))</f>
        <v>10</v>
      </c>
      <c r="H72">
        <f>SUMIFS(Table1[Quantity],Table1[ProductID],Table33[[#This Row],[ProductID]],Table1[RegionClean_],Table33[[#This Row],[Region]],Table1[TransactionDate_Clean],"&gt;"&amp;EOMONTH($H$1,-1),Table1[TransactionDate_Clean],"&lt;="&amp;EOMONTH($H$1,0))</f>
        <v>7</v>
      </c>
      <c r="I72">
        <f>SUM(Table33[[#This Row],[1/1/2025]:[6/1/2025]])</f>
        <v>63</v>
      </c>
      <c r="L72" t="s">
        <v>97</v>
      </c>
      <c r="M72" t="s">
        <v>58</v>
      </c>
      <c r="N72">
        <f>SUMIFS(Table4[ActualCost_Clean],Table4[ProductID_Clean],Product_Month_Actual_Variable_Cost[[#This Row],[ProductID]],Table4[Period_Clean],Product_Month_Actual_Variable_Cost[[#Headers],[2025-01]],Table4[CostType],"Variable")</f>
        <v>444.44</v>
      </c>
      <c r="O72">
        <f>SUMIFS(Table4[ActualCost_Clean],Table4[ProductID_Clean],Product_Month_Actual_Variable_Cost[[#This Row],[ProductID]],Table4[Period_Clean],Product_Month_Actual_Variable_Cost[[#Headers],[2025-02]],Table4[CostType],"Variable")</f>
        <v>439.84</v>
      </c>
      <c r="P72">
        <f>SUMIFS(Table4[ActualCost_Clean],Table4[ProductID_Clean],Product_Month_Actual_Variable_Cost[[#This Row],[ProductID]],Table4[Period_Clean],Product_Month_Actual_Variable_Cost[[#Headers],[2025-03]],Table4[CostType],"Variable")</f>
        <v>439.77</v>
      </c>
      <c r="Q72">
        <f>SUMIFS(Table4[ActualCost_Clean],Table4[ProductID_Clean],Product_Month_Actual_Variable_Cost[[#This Row],[ProductID]],Table4[Period_Clean],Product_Month_Actual_Variable_Cost[[#Headers],[2025-04]],Table4[CostType],"Variable")</f>
        <v>447.5</v>
      </c>
      <c r="R72">
        <f>SUMIFS(Table4[ActualCost_Clean],Table4[ProductID_Clean],Product_Month_Actual_Variable_Cost[[#This Row],[ProductID]],Table4[Period_Clean],Product_Month_Actual_Variable_Cost[[#Headers],[2025-05]],Table4[CostType],"Variable")</f>
        <v>452.35</v>
      </c>
      <c r="S72">
        <f>SUMIFS(Table4[ActualCost_Clean],Table4[ProductID_Clean],Product_Month_Actual_Variable_Cost[[#This Row],[ProductID]],Table4[Period_Clean],Product_Month_Actual_Variable_Cost[[#Headers],[2025-06]],Table4[CostType],"Variable")</f>
        <v>458.23</v>
      </c>
      <c r="V72" t="s">
        <v>97</v>
      </c>
      <c r="W72" t="s">
        <v>58</v>
      </c>
      <c r="X72">
        <f>Table33[[#This Row],[1/1/2025]]*Product_Month_Actual_Variable_Cost[[#This Row],[2025-01]]</f>
        <v>7999.92</v>
      </c>
      <c r="Y72">
        <f>Table33[[#This Row],[2/1/2025]]*Product_Month_Actual_Variable_Cost[[#This Row],[2025-02]]</f>
        <v>2199.1999999999998</v>
      </c>
      <c r="Z72">
        <f>Table33[[#This Row],[3/1/2025]]*Product_Month_Actual_Variable_Cost[[#This Row],[2025-03]]</f>
        <v>4397.7</v>
      </c>
      <c r="AA72">
        <f>Table33[[#This Row],[4/1/2025]]*Product_Month_Actual_Variable_Cost[[#This Row],[2025-04]]</f>
        <v>5817.5</v>
      </c>
      <c r="AB72">
        <f>Table33[[#This Row],[5/1/2025]]*Product_Month_Actual_Variable_Cost[[#This Row],[2025-05]]</f>
        <v>4523.5</v>
      </c>
      <c r="AC72">
        <f>Table33[[#This Row],[6/1/2025]]*Product_Month_Actual_Variable_Cost[[#This Row],[2025-06]]</f>
        <v>3207.61</v>
      </c>
      <c r="AD72">
        <f>SUM(Product_Region_Monthly_Variable_Cost[[#This Row],[25-Jan]:[25-Jun]])</f>
        <v>28145.43</v>
      </c>
      <c r="AG72" t="s">
        <v>97</v>
      </c>
      <c r="AH72" t="s">
        <v>58</v>
      </c>
      <c r="AI72">
        <f>SUMIFS(Table4[ActualCost_Clean],Table4[ProductID_Clean],Product_Month_Actual_Fixed_Cost[[#This Row],[ProductID]],Table4[Period_Clean],Product_Month_Actual_Variable_Cost[[#Headers],[2025-01]],Table4[CostType],"Fixed")</f>
        <v>72.89</v>
      </c>
      <c r="AJ72">
        <f>SUMIFS(Table4[ActualCost_Clean],Table4[ProductID_Clean],Product_Month_Actual_Fixed_Cost[[#This Row],[ProductID]],Table4[Period_Clean],Product_Month_Actual_Variable_Cost[[#Headers],[2025-02]],Table4[CostType],"Fixed")</f>
        <v>72.260000000000005</v>
      </c>
      <c r="AK72">
        <f>SUMIFS(Table4[ActualCost_Clean],Table4[ProductID_Clean],Product_Month_Actual_Fixed_Cost[[#This Row],[ProductID]],Table4[Period_Clean],Product_Month_Actual_Variable_Cost[[#Headers],[2025-03]],Table4[CostType],"Fixed")</f>
        <v>70.83</v>
      </c>
      <c r="AL72">
        <f>SUMIFS(Table4[ActualCost_Clean],Table4[ProductID_Clean],Product_Month_Actual_Fixed_Cost[[#This Row],[ProductID]],Table4[Period_Clean],Product_Month_Actual_Variable_Cost[[#Headers],[2025-04]],Table4[CostType],"Fixed")</f>
        <v>65.17</v>
      </c>
      <c r="AM72">
        <f>SUMIFS(Table4[ActualCost_Clean],Table4[ProductID_Clean],Product_Month_Actual_Fixed_Cost[[#This Row],[ProductID]],Table4[Period_Clean],Product_Month_Actual_Variable_Cost[[#Headers],[2025-05]],Table4[CostType],"Fixed")</f>
        <v>66.400000000000006</v>
      </c>
      <c r="AN72">
        <f>SUMIFS(Table4[ActualCost_Clean],Table4[ProductID_Clean],Product_Month_Actual_Fixed_Cost[[#This Row],[ProductID]],Table4[Period_Clean],Product_Month_Actual_Variable_Cost[[#Headers],[2025-06]],Table4[CostType],"Fixed")</f>
        <v>72.349999999999994</v>
      </c>
      <c r="AQ72" t="s">
        <v>97</v>
      </c>
      <c r="AR72" t="s">
        <v>58</v>
      </c>
      <c r="AS72">
        <f>Product_Month_Actual_Fixed_Cost[[#This Row],[2025-01]]*Table33[[#This Row],[1/1/2025]]</f>
        <v>1312.02</v>
      </c>
      <c r="AT72">
        <f>Product_Month_Actual_Fixed_Cost[[#This Row],[2025-02]]*Table33[[#This Row],[2/1/2025]]</f>
        <v>361.3</v>
      </c>
      <c r="AU72">
        <f>Product_Month_Actual_Fixed_Cost[[#This Row],[2025-03]]*Table33[[#This Row],[3/1/2025]]</f>
        <v>708.3</v>
      </c>
      <c r="AV72">
        <f>Product_Month_Actual_Fixed_Cost[[#This Row],[2025-04]]*Table33[[#This Row],[4/1/2025]]</f>
        <v>847.21</v>
      </c>
      <c r="AW72">
        <f>Product_Month_Actual_Fixed_Cost[[#This Row],[2025-05]]*Table33[[#This Row],[5/1/2025]]</f>
        <v>664</v>
      </c>
      <c r="AX72">
        <f>Product_Month_Actual_Fixed_Cost[[#This Row],[2025-06]]*Table33[[#This Row],[6/1/2025]]</f>
        <v>506.44999999999993</v>
      </c>
      <c r="AY72">
        <f>SUM(Product_Region_Monthly_Fixed_Cost[[#This Row],[25-Jan]:[25-Jun]])</f>
        <v>4399.28</v>
      </c>
      <c r="BB72" t="s">
        <v>97</v>
      </c>
      <c r="BC72" t="s">
        <v>58</v>
      </c>
      <c r="BD72">
        <f>Product_Region_Monthly_Fixed_Cost[[#This Row],[25-Jan]]+Product_Region_Monthly_Variable_Cost[[#This Row],[25-Jan]]</f>
        <v>9311.94</v>
      </c>
      <c r="BE72">
        <f>Product_Region_Monthly_Fixed_Cost[[#This Row],[25-Feb]]+Product_Region_Monthly_Variable_Cost[[#This Row],[25-Feb]]</f>
        <v>2560.5</v>
      </c>
      <c r="BF72">
        <f>Product_Region_Monthly_Fixed_Cost[[#This Row],[25-Mar]]+Product_Region_Monthly_Variable_Cost[[#This Row],[25-Mar]]</f>
        <v>5106</v>
      </c>
      <c r="BG72">
        <f>Product_Region_Monthly_Fixed_Cost[[#This Row],[25-Apr]]+Product_Region_Monthly_Variable_Cost[[#This Row],[25-Apr]]</f>
        <v>6664.71</v>
      </c>
      <c r="BH72">
        <f>Product_Region_Monthly_Fixed_Cost[[#This Row],[25-May]]+Product_Region_Monthly_Variable_Cost[[#This Row],[25-May]]</f>
        <v>5187.5</v>
      </c>
      <c r="BI72">
        <f>Product_Region_Monthly_Fixed_Cost[[#This Row],[25-Jun]]+Product_Region_Monthly_Variable_Cost[[#This Row],[25-Jun]]</f>
        <v>3714.06</v>
      </c>
      <c r="BJ72">
        <f>Product_Region_Monthly_Fixed_Cost[[#This Row],[H1 Fixed Cost]]+Product_Region_Monthly_Variable_Cost[[#This Row],[H1 Variable Cost]]</f>
        <v>32544.71</v>
      </c>
    </row>
    <row r="73" spans="1:62">
      <c r="A73" t="s">
        <v>97</v>
      </c>
      <c r="B73" t="s">
        <v>32</v>
      </c>
      <c r="C73">
        <f>SUMIFS(Table1[Quantity],Table1[ProductID],Table33[[#This Row],[ProductID]],Table1[RegionClean_],Table33[[#This Row],[Region]],Table1[TransactionDate_Clean],"&gt;"&amp;EOMONTH($C$1,-1),Table1[TransactionDate_Clean],"&lt;="&amp;EOMONTH($C$1,0))</f>
        <v>0</v>
      </c>
      <c r="D73">
        <f>SUMIFS(Table1[Quantity],Table1[ProductID],Table33[[#This Row],[ProductID]],Table1[RegionClean_],Table33[[#This Row],[Region]],Table1[TransactionDate_Clean],"&gt;"&amp;EOMONTH($D$1,-1),Table1[TransactionDate_Clean],"&lt;="&amp;EOMONTH($D$1,0))</f>
        <v>13</v>
      </c>
      <c r="E73">
        <f>SUMIFS(Table1[Quantity],Table1[ProductID],Table33[[#This Row],[ProductID]],Table1[RegionClean_],Table33[[#This Row],[Region]],Table1[TransactionDate_Clean],"&gt;"&amp;EOMONTH($E$1,-1),Table1[TransactionDate_Clean],"&lt;="&amp;EOMONTH($E$1,0))</f>
        <v>0</v>
      </c>
      <c r="F73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73">
        <f>SUMIFS(Table1[Quantity],Table1[ProductID],Table33[[#This Row],[ProductID]],Table1[RegionClean_],Table33[[#This Row],[Region]],Table1[TransactionDate_Clean],"&gt;"&amp;EOMONTH($G$1,-1),Table1[TransactionDate_Clean],"&lt;="&amp;EOMONTH($G$1,0))</f>
        <v>2</v>
      </c>
      <c r="H73">
        <f>SUMIFS(Table1[Quantity],Table1[ProductID],Table33[[#This Row],[ProductID]],Table1[RegionClean_],Table33[[#This Row],[Region]],Table1[TransactionDate_Clean],"&gt;"&amp;EOMONTH($H$1,-1),Table1[TransactionDate_Clean],"&lt;="&amp;EOMONTH($H$1,0))</f>
        <v>15</v>
      </c>
      <c r="I73">
        <f>SUM(Table33[[#This Row],[1/1/2025]:[6/1/2025]])</f>
        <v>30</v>
      </c>
      <c r="L73" t="s">
        <v>97</v>
      </c>
      <c r="M73" t="s">
        <v>32</v>
      </c>
      <c r="N73">
        <f>SUMIFS(Table4[ActualCost_Clean],Table4[ProductID_Clean],Product_Month_Actual_Variable_Cost[[#This Row],[ProductID]],Table4[Period_Clean],Product_Month_Actual_Variable_Cost[[#Headers],[2025-01]],Table4[CostType],"Variable")</f>
        <v>444.44</v>
      </c>
      <c r="O73">
        <f>SUMIFS(Table4[ActualCost_Clean],Table4[ProductID_Clean],Product_Month_Actual_Variable_Cost[[#This Row],[ProductID]],Table4[Period_Clean],Product_Month_Actual_Variable_Cost[[#Headers],[2025-02]],Table4[CostType],"Variable")</f>
        <v>439.84</v>
      </c>
      <c r="P73">
        <f>SUMIFS(Table4[ActualCost_Clean],Table4[ProductID_Clean],Product_Month_Actual_Variable_Cost[[#This Row],[ProductID]],Table4[Period_Clean],Product_Month_Actual_Variable_Cost[[#Headers],[2025-03]],Table4[CostType],"Variable")</f>
        <v>439.77</v>
      </c>
      <c r="Q73">
        <f>SUMIFS(Table4[ActualCost_Clean],Table4[ProductID_Clean],Product_Month_Actual_Variable_Cost[[#This Row],[ProductID]],Table4[Period_Clean],Product_Month_Actual_Variable_Cost[[#Headers],[2025-04]],Table4[CostType],"Variable")</f>
        <v>447.5</v>
      </c>
      <c r="R73">
        <f>SUMIFS(Table4[ActualCost_Clean],Table4[ProductID_Clean],Product_Month_Actual_Variable_Cost[[#This Row],[ProductID]],Table4[Period_Clean],Product_Month_Actual_Variable_Cost[[#Headers],[2025-05]],Table4[CostType],"Variable")</f>
        <v>452.35</v>
      </c>
      <c r="S73">
        <f>SUMIFS(Table4[ActualCost_Clean],Table4[ProductID_Clean],Product_Month_Actual_Variable_Cost[[#This Row],[ProductID]],Table4[Period_Clean],Product_Month_Actual_Variable_Cost[[#Headers],[2025-06]],Table4[CostType],"Variable")</f>
        <v>458.23</v>
      </c>
      <c r="V73" t="s">
        <v>97</v>
      </c>
      <c r="W73" t="s">
        <v>32</v>
      </c>
      <c r="X73">
        <f>Table33[[#This Row],[1/1/2025]]*Product_Month_Actual_Variable_Cost[[#This Row],[2025-01]]</f>
        <v>0</v>
      </c>
      <c r="Y73">
        <f>Table33[[#This Row],[2/1/2025]]*Product_Month_Actual_Variable_Cost[[#This Row],[2025-02]]</f>
        <v>5717.92</v>
      </c>
      <c r="Z73">
        <f>Table33[[#This Row],[3/1/2025]]*Product_Month_Actual_Variable_Cost[[#This Row],[2025-03]]</f>
        <v>0</v>
      </c>
      <c r="AA73">
        <f>Table33[[#This Row],[4/1/2025]]*Product_Month_Actual_Variable_Cost[[#This Row],[2025-04]]</f>
        <v>0</v>
      </c>
      <c r="AB73">
        <f>Table33[[#This Row],[5/1/2025]]*Product_Month_Actual_Variable_Cost[[#This Row],[2025-05]]</f>
        <v>904.7</v>
      </c>
      <c r="AC73">
        <f>Table33[[#This Row],[6/1/2025]]*Product_Month_Actual_Variable_Cost[[#This Row],[2025-06]]</f>
        <v>6873.4500000000007</v>
      </c>
      <c r="AD73">
        <f>SUM(Product_Region_Monthly_Variable_Cost[[#This Row],[25-Jan]:[25-Jun]])</f>
        <v>13496.07</v>
      </c>
      <c r="AG73" t="s">
        <v>97</v>
      </c>
      <c r="AH73" t="s">
        <v>32</v>
      </c>
      <c r="AI73">
        <f>SUMIFS(Table4[ActualCost_Clean],Table4[ProductID_Clean],Product_Month_Actual_Fixed_Cost[[#This Row],[ProductID]],Table4[Period_Clean],Product_Month_Actual_Variable_Cost[[#Headers],[2025-01]],Table4[CostType],"Fixed")</f>
        <v>72.89</v>
      </c>
      <c r="AJ73">
        <f>SUMIFS(Table4[ActualCost_Clean],Table4[ProductID_Clean],Product_Month_Actual_Fixed_Cost[[#This Row],[ProductID]],Table4[Period_Clean],Product_Month_Actual_Variable_Cost[[#Headers],[2025-02]],Table4[CostType],"Fixed")</f>
        <v>72.260000000000005</v>
      </c>
      <c r="AK73">
        <f>SUMIFS(Table4[ActualCost_Clean],Table4[ProductID_Clean],Product_Month_Actual_Fixed_Cost[[#This Row],[ProductID]],Table4[Period_Clean],Product_Month_Actual_Variable_Cost[[#Headers],[2025-03]],Table4[CostType],"Fixed")</f>
        <v>70.83</v>
      </c>
      <c r="AL73">
        <f>SUMIFS(Table4[ActualCost_Clean],Table4[ProductID_Clean],Product_Month_Actual_Fixed_Cost[[#This Row],[ProductID]],Table4[Period_Clean],Product_Month_Actual_Variable_Cost[[#Headers],[2025-04]],Table4[CostType],"Fixed")</f>
        <v>65.17</v>
      </c>
      <c r="AM73">
        <f>SUMIFS(Table4[ActualCost_Clean],Table4[ProductID_Clean],Product_Month_Actual_Fixed_Cost[[#This Row],[ProductID]],Table4[Period_Clean],Product_Month_Actual_Variable_Cost[[#Headers],[2025-05]],Table4[CostType],"Fixed")</f>
        <v>66.400000000000006</v>
      </c>
      <c r="AN73">
        <f>SUMIFS(Table4[ActualCost_Clean],Table4[ProductID_Clean],Product_Month_Actual_Fixed_Cost[[#This Row],[ProductID]],Table4[Period_Clean],Product_Month_Actual_Variable_Cost[[#Headers],[2025-06]],Table4[CostType],"Fixed")</f>
        <v>72.349999999999994</v>
      </c>
      <c r="AQ73" t="s">
        <v>97</v>
      </c>
      <c r="AR73" t="s">
        <v>32</v>
      </c>
      <c r="AS73">
        <f>Product_Month_Actual_Fixed_Cost[[#This Row],[2025-01]]*Table33[[#This Row],[1/1/2025]]</f>
        <v>0</v>
      </c>
      <c r="AT73">
        <f>Product_Month_Actual_Fixed_Cost[[#This Row],[2025-02]]*Table33[[#This Row],[2/1/2025]]</f>
        <v>939.38000000000011</v>
      </c>
      <c r="AU73">
        <f>Product_Month_Actual_Fixed_Cost[[#This Row],[2025-03]]*Table33[[#This Row],[3/1/2025]]</f>
        <v>0</v>
      </c>
      <c r="AV73">
        <f>Product_Month_Actual_Fixed_Cost[[#This Row],[2025-04]]*Table33[[#This Row],[4/1/2025]]</f>
        <v>0</v>
      </c>
      <c r="AW73">
        <f>Product_Month_Actual_Fixed_Cost[[#This Row],[2025-05]]*Table33[[#This Row],[5/1/2025]]</f>
        <v>132.80000000000001</v>
      </c>
      <c r="AX73">
        <f>Product_Month_Actual_Fixed_Cost[[#This Row],[2025-06]]*Table33[[#This Row],[6/1/2025]]</f>
        <v>1085.25</v>
      </c>
      <c r="AY73">
        <f>SUM(Product_Region_Monthly_Fixed_Cost[[#This Row],[25-Jan]:[25-Jun]])</f>
        <v>2157.4300000000003</v>
      </c>
      <c r="BB73" t="s">
        <v>97</v>
      </c>
      <c r="BC73" t="s">
        <v>32</v>
      </c>
      <c r="BD73">
        <f>Product_Region_Monthly_Fixed_Cost[[#This Row],[25-Jan]]+Product_Region_Monthly_Variable_Cost[[#This Row],[25-Jan]]</f>
        <v>0</v>
      </c>
      <c r="BE73">
        <f>Product_Region_Monthly_Fixed_Cost[[#This Row],[25-Feb]]+Product_Region_Monthly_Variable_Cost[[#This Row],[25-Feb]]</f>
        <v>6657.3</v>
      </c>
      <c r="BF73">
        <f>Product_Region_Monthly_Fixed_Cost[[#This Row],[25-Mar]]+Product_Region_Monthly_Variable_Cost[[#This Row],[25-Mar]]</f>
        <v>0</v>
      </c>
      <c r="BG73">
        <f>Product_Region_Monthly_Fixed_Cost[[#This Row],[25-Apr]]+Product_Region_Monthly_Variable_Cost[[#This Row],[25-Apr]]</f>
        <v>0</v>
      </c>
      <c r="BH73">
        <f>Product_Region_Monthly_Fixed_Cost[[#This Row],[25-May]]+Product_Region_Monthly_Variable_Cost[[#This Row],[25-May]]</f>
        <v>1037.5</v>
      </c>
      <c r="BI73">
        <f>Product_Region_Monthly_Fixed_Cost[[#This Row],[25-Jun]]+Product_Region_Monthly_Variable_Cost[[#This Row],[25-Jun]]</f>
        <v>7958.7000000000007</v>
      </c>
      <c r="BJ73">
        <f>Product_Region_Monthly_Fixed_Cost[[#This Row],[H1 Fixed Cost]]+Product_Region_Monthly_Variable_Cost[[#This Row],[H1 Variable Cost]]</f>
        <v>15653.5</v>
      </c>
    </row>
    <row r="74" spans="1:62">
      <c r="A74" t="s">
        <v>152</v>
      </c>
      <c r="B74" t="s">
        <v>23</v>
      </c>
      <c r="C74">
        <f>SUMIFS(Table1[Quantity],Table1[ProductID],Table33[[#This Row],[ProductID]],Table1[RegionClean_],Table33[[#This Row],[Region]],Table1[TransactionDate_Clean],"&gt;"&amp;EOMONTH($C$1,-1),Table1[TransactionDate_Clean],"&lt;="&amp;EOMONTH($C$1,0))</f>
        <v>23</v>
      </c>
      <c r="D74">
        <f>SUMIFS(Table1[Quantity],Table1[ProductID],Table33[[#This Row],[ProductID]],Table1[RegionClean_],Table33[[#This Row],[Region]],Table1[TransactionDate_Clean],"&gt;"&amp;EOMONTH($D$1,-1),Table1[TransactionDate_Clean],"&lt;="&amp;EOMONTH($D$1,0))</f>
        <v>13</v>
      </c>
      <c r="E74">
        <f>SUMIFS(Table1[Quantity],Table1[ProductID],Table33[[#This Row],[ProductID]],Table1[RegionClean_],Table33[[#This Row],[Region]],Table1[TransactionDate_Clean],"&gt;"&amp;EOMONTH($E$1,-1),Table1[TransactionDate_Clean],"&lt;="&amp;EOMONTH($E$1,0))</f>
        <v>22</v>
      </c>
      <c r="F74">
        <f>SUMIFS(Table1[Quantity],Table1[ProductID],Table33[[#This Row],[ProductID]],Table1[RegionClean_],Table33[[#This Row],[Region]],Table1[TransactionDate_Clean],"&gt;"&amp;EOMONTH($F$1,-1),Table1[TransactionDate_Clean],"&lt;="&amp;EOMONTH($F$1,0))</f>
        <v>23</v>
      </c>
      <c r="G74">
        <f>SUMIFS(Table1[Quantity],Table1[ProductID],Table33[[#This Row],[ProductID]],Table1[RegionClean_],Table33[[#This Row],[Region]],Table1[TransactionDate_Clean],"&gt;"&amp;EOMONTH($G$1,-1),Table1[TransactionDate_Clean],"&lt;="&amp;EOMONTH($G$1,0))</f>
        <v>11</v>
      </c>
      <c r="H74">
        <f>SUMIFS(Table1[Quantity],Table1[ProductID],Table33[[#This Row],[ProductID]],Table1[RegionClean_],Table33[[#This Row],[Region]],Table1[TransactionDate_Clean],"&gt;"&amp;EOMONTH($H$1,-1),Table1[TransactionDate_Clean],"&lt;="&amp;EOMONTH($H$1,0))</f>
        <v>9</v>
      </c>
      <c r="I74">
        <f>SUM(Table33[[#This Row],[1/1/2025]:[6/1/2025]])</f>
        <v>101</v>
      </c>
      <c r="L74" t="s">
        <v>152</v>
      </c>
      <c r="M74" t="s">
        <v>23</v>
      </c>
      <c r="N74">
        <f>SUMIFS(Table4[ActualCost_Clean],Table4[ProductID_Clean],Product_Month_Actual_Variable_Cost[[#This Row],[ProductID]],Table4[Period_Clean],Product_Month_Actual_Variable_Cost[[#Headers],[2025-01]],Table4[CostType],"Variable")</f>
        <v>386.6</v>
      </c>
      <c r="O74">
        <f>SUMIFS(Table4[ActualCost_Clean],Table4[ProductID_Clean],Product_Month_Actual_Variable_Cost[[#This Row],[ProductID]],Table4[Period_Clean],Product_Month_Actual_Variable_Cost[[#Headers],[2025-02]],Table4[CostType],"Variable")</f>
        <v>403.12</v>
      </c>
      <c r="P74">
        <f>SUMIFS(Table4[ActualCost_Clean],Table4[ProductID_Clean],Product_Month_Actual_Variable_Cost[[#This Row],[ProductID]],Table4[Period_Clean],Product_Month_Actual_Variable_Cost[[#Headers],[2025-03]],Table4[CostType],"Variable")</f>
        <v>375.71</v>
      </c>
      <c r="Q74">
        <f>SUMIFS(Table4[ActualCost_Clean],Table4[ProductID_Clean],Product_Month_Actual_Variable_Cost[[#This Row],[ProductID]],Table4[Period_Clean],Product_Month_Actual_Variable_Cost[[#Headers],[2025-04]],Table4[CostType],"Variable")</f>
        <v>381.31</v>
      </c>
      <c r="R74">
        <f>SUMIFS(Table4[ActualCost_Clean],Table4[ProductID_Clean],Product_Month_Actual_Variable_Cost[[#This Row],[ProductID]],Table4[Period_Clean],Product_Month_Actual_Variable_Cost[[#Headers],[2025-05]],Table4[CostType],"Variable")</f>
        <v>396.55</v>
      </c>
      <c r="S74">
        <f>SUMIFS(Table4[ActualCost_Clean],Table4[ProductID_Clean],Product_Month_Actual_Variable_Cost[[#This Row],[ProductID]],Table4[Period_Clean],Product_Month_Actual_Variable_Cost[[#Headers],[2025-06]],Table4[CostType],"Variable")</f>
        <v>408.48</v>
      </c>
      <c r="V74" t="s">
        <v>152</v>
      </c>
      <c r="W74" t="s">
        <v>23</v>
      </c>
      <c r="X74">
        <f>Table33[[#This Row],[1/1/2025]]*Product_Month_Actual_Variable_Cost[[#This Row],[2025-01]]</f>
        <v>8891.8000000000011</v>
      </c>
      <c r="Y74">
        <f>Table33[[#This Row],[2/1/2025]]*Product_Month_Actual_Variable_Cost[[#This Row],[2025-02]]</f>
        <v>5240.5600000000004</v>
      </c>
      <c r="Z74">
        <f>Table33[[#This Row],[3/1/2025]]*Product_Month_Actual_Variable_Cost[[#This Row],[2025-03]]</f>
        <v>8265.619999999999</v>
      </c>
      <c r="AA74">
        <f>Table33[[#This Row],[4/1/2025]]*Product_Month_Actual_Variable_Cost[[#This Row],[2025-04]]</f>
        <v>8770.1299999999992</v>
      </c>
      <c r="AB74">
        <f>Table33[[#This Row],[5/1/2025]]*Product_Month_Actual_Variable_Cost[[#This Row],[2025-05]]</f>
        <v>4362.05</v>
      </c>
      <c r="AC74">
        <f>Table33[[#This Row],[6/1/2025]]*Product_Month_Actual_Variable_Cost[[#This Row],[2025-06]]</f>
        <v>3676.32</v>
      </c>
      <c r="AD74">
        <f>SUM(Product_Region_Monthly_Variable_Cost[[#This Row],[25-Jan]:[25-Jun]])</f>
        <v>39206.480000000003</v>
      </c>
      <c r="AG74" t="s">
        <v>152</v>
      </c>
      <c r="AH74" t="s">
        <v>23</v>
      </c>
      <c r="AI74">
        <f>SUMIFS(Table4[ActualCost_Clean],Table4[ProductID_Clean],Product_Month_Actual_Fixed_Cost[[#This Row],[ProductID]],Table4[Period_Clean],Product_Month_Actual_Variable_Cost[[#Headers],[2025-01]],Table4[CostType],"Fixed")</f>
        <v>70.77</v>
      </c>
      <c r="AJ74">
        <f>SUMIFS(Table4[ActualCost_Clean],Table4[ProductID_Clean],Product_Month_Actual_Fixed_Cost[[#This Row],[ProductID]],Table4[Period_Clean],Product_Month_Actual_Variable_Cost[[#Headers],[2025-02]],Table4[CostType],"Fixed")</f>
        <v>77.64</v>
      </c>
      <c r="AK74">
        <f>SUMIFS(Table4[ActualCost_Clean],Table4[ProductID_Clean],Product_Month_Actual_Fixed_Cost[[#This Row],[ProductID]],Table4[Period_Clean],Product_Month_Actual_Variable_Cost[[#Headers],[2025-03]],Table4[CostType],"Fixed")</f>
        <v>73.59</v>
      </c>
      <c r="AL74">
        <f>SUMIFS(Table4[ActualCost_Clean],Table4[ProductID_Clean],Product_Month_Actual_Fixed_Cost[[#This Row],[ProductID]],Table4[Period_Clean],Product_Month_Actual_Variable_Cost[[#Headers],[2025-04]],Table4[CostType],"Fixed")</f>
        <v>75.09</v>
      </c>
      <c r="AM74">
        <f>SUMIFS(Table4[ActualCost_Clean],Table4[ProductID_Clean],Product_Month_Actual_Fixed_Cost[[#This Row],[ProductID]],Table4[Period_Clean],Product_Month_Actual_Variable_Cost[[#Headers],[2025-05]],Table4[CostType],"Fixed")</f>
        <v>74.349999999999994</v>
      </c>
      <c r="AN74">
        <f>SUMIFS(Table4[ActualCost_Clean],Table4[ProductID_Clean],Product_Month_Actual_Fixed_Cost[[#This Row],[ProductID]],Table4[Period_Clean],Product_Month_Actual_Variable_Cost[[#Headers],[2025-06]],Table4[CostType],"Fixed")</f>
        <v>74.59</v>
      </c>
      <c r="AQ74" t="s">
        <v>152</v>
      </c>
      <c r="AR74" t="s">
        <v>23</v>
      </c>
      <c r="AS74">
        <f>Product_Month_Actual_Fixed_Cost[[#This Row],[2025-01]]*Table33[[#This Row],[1/1/2025]]</f>
        <v>1627.7099999999998</v>
      </c>
      <c r="AT74">
        <f>Product_Month_Actual_Fixed_Cost[[#This Row],[2025-02]]*Table33[[#This Row],[2/1/2025]]</f>
        <v>1009.32</v>
      </c>
      <c r="AU74">
        <f>Product_Month_Actual_Fixed_Cost[[#This Row],[2025-03]]*Table33[[#This Row],[3/1/2025]]</f>
        <v>1618.98</v>
      </c>
      <c r="AV74">
        <f>Product_Month_Actual_Fixed_Cost[[#This Row],[2025-04]]*Table33[[#This Row],[4/1/2025]]</f>
        <v>1727.0700000000002</v>
      </c>
      <c r="AW74">
        <f>Product_Month_Actual_Fixed_Cost[[#This Row],[2025-05]]*Table33[[#This Row],[5/1/2025]]</f>
        <v>817.84999999999991</v>
      </c>
      <c r="AX74">
        <f>Product_Month_Actual_Fixed_Cost[[#This Row],[2025-06]]*Table33[[#This Row],[6/1/2025]]</f>
        <v>671.31000000000006</v>
      </c>
      <c r="AY74">
        <f>SUM(Product_Region_Monthly_Fixed_Cost[[#This Row],[25-Jan]:[25-Jun]])</f>
        <v>7472.2400000000007</v>
      </c>
      <c r="BB74" t="s">
        <v>152</v>
      </c>
      <c r="BC74" t="s">
        <v>23</v>
      </c>
      <c r="BD74">
        <f>Product_Region_Monthly_Fixed_Cost[[#This Row],[25-Jan]]+Product_Region_Monthly_Variable_Cost[[#This Row],[25-Jan]]</f>
        <v>10519.51</v>
      </c>
      <c r="BE74">
        <f>Product_Region_Monthly_Fixed_Cost[[#This Row],[25-Feb]]+Product_Region_Monthly_Variable_Cost[[#This Row],[25-Feb]]</f>
        <v>6249.88</v>
      </c>
      <c r="BF74">
        <f>Product_Region_Monthly_Fixed_Cost[[#This Row],[25-Mar]]+Product_Region_Monthly_Variable_Cost[[#This Row],[25-Mar]]</f>
        <v>9884.5999999999985</v>
      </c>
      <c r="BG74">
        <f>Product_Region_Monthly_Fixed_Cost[[#This Row],[25-Apr]]+Product_Region_Monthly_Variable_Cost[[#This Row],[25-Apr]]</f>
        <v>10497.199999999999</v>
      </c>
      <c r="BH74">
        <f>Product_Region_Monthly_Fixed_Cost[[#This Row],[25-May]]+Product_Region_Monthly_Variable_Cost[[#This Row],[25-May]]</f>
        <v>5179.8999999999996</v>
      </c>
      <c r="BI74">
        <f>Product_Region_Monthly_Fixed_Cost[[#This Row],[25-Jun]]+Product_Region_Monthly_Variable_Cost[[#This Row],[25-Jun]]</f>
        <v>4347.63</v>
      </c>
      <c r="BJ74">
        <f>Product_Region_Monthly_Fixed_Cost[[#This Row],[H1 Fixed Cost]]+Product_Region_Monthly_Variable_Cost[[#This Row],[H1 Variable Cost]]</f>
        <v>46678.720000000001</v>
      </c>
    </row>
    <row r="75" spans="1:62">
      <c r="A75" t="s">
        <v>152</v>
      </c>
      <c r="B75" t="s">
        <v>47</v>
      </c>
      <c r="C75">
        <f>SUMIFS(Table1[Quantity],Table1[ProductID],Table33[[#This Row],[ProductID]],Table1[RegionClean_],Table33[[#This Row],[Region]],Table1[TransactionDate_Clean],"&gt;"&amp;EOMONTH($C$1,-1),Table1[TransactionDate_Clean],"&lt;="&amp;EOMONTH($C$1,0))</f>
        <v>10</v>
      </c>
      <c r="D75">
        <f>SUMIFS(Table1[Quantity],Table1[ProductID],Table33[[#This Row],[ProductID]],Table1[RegionClean_],Table33[[#This Row],[Region]],Table1[TransactionDate_Clean],"&gt;"&amp;EOMONTH($D$1,-1),Table1[TransactionDate_Clean],"&lt;="&amp;EOMONTH($D$1,0))</f>
        <v>13</v>
      </c>
      <c r="E75">
        <f>SUMIFS(Table1[Quantity],Table1[ProductID],Table33[[#This Row],[ProductID]],Table1[RegionClean_],Table33[[#This Row],[Region]],Table1[TransactionDate_Clean],"&gt;"&amp;EOMONTH($E$1,-1),Table1[TransactionDate_Clean],"&lt;="&amp;EOMONTH($E$1,0))</f>
        <v>23</v>
      </c>
      <c r="F75">
        <f>SUMIFS(Table1[Quantity],Table1[ProductID],Table33[[#This Row],[ProductID]],Table1[RegionClean_],Table33[[#This Row],[Region]],Table1[TransactionDate_Clean],"&gt;"&amp;EOMONTH($F$1,-1),Table1[TransactionDate_Clean],"&lt;="&amp;EOMONTH($F$1,0))</f>
        <v>12</v>
      </c>
      <c r="G75">
        <f>SUMIFS(Table1[Quantity],Table1[ProductID],Table33[[#This Row],[ProductID]],Table1[RegionClean_],Table33[[#This Row],[Region]],Table1[TransactionDate_Clean],"&gt;"&amp;EOMONTH($G$1,-1),Table1[TransactionDate_Clean],"&lt;="&amp;EOMONTH($G$1,0))</f>
        <v>8</v>
      </c>
      <c r="H75">
        <f>SUMIFS(Table1[Quantity],Table1[ProductID],Table33[[#This Row],[ProductID]],Table1[RegionClean_],Table33[[#This Row],[Region]],Table1[TransactionDate_Clean],"&gt;"&amp;EOMONTH($H$1,-1),Table1[TransactionDate_Clean],"&lt;="&amp;EOMONTH($H$1,0))</f>
        <v>27</v>
      </c>
      <c r="I75">
        <f>SUM(Table33[[#This Row],[1/1/2025]:[6/1/2025]])</f>
        <v>93</v>
      </c>
      <c r="L75" t="s">
        <v>152</v>
      </c>
      <c r="M75" t="s">
        <v>47</v>
      </c>
      <c r="N75">
        <f>SUMIFS(Table4[ActualCost_Clean],Table4[ProductID_Clean],Product_Month_Actual_Variable_Cost[[#This Row],[ProductID]],Table4[Period_Clean],Product_Month_Actual_Variable_Cost[[#Headers],[2025-01]],Table4[CostType],"Variable")</f>
        <v>386.6</v>
      </c>
      <c r="O75">
        <f>SUMIFS(Table4[ActualCost_Clean],Table4[ProductID_Clean],Product_Month_Actual_Variable_Cost[[#This Row],[ProductID]],Table4[Period_Clean],Product_Month_Actual_Variable_Cost[[#Headers],[2025-02]],Table4[CostType],"Variable")</f>
        <v>403.12</v>
      </c>
      <c r="P75">
        <f>SUMIFS(Table4[ActualCost_Clean],Table4[ProductID_Clean],Product_Month_Actual_Variable_Cost[[#This Row],[ProductID]],Table4[Period_Clean],Product_Month_Actual_Variable_Cost[[#Headers],[2025-03]],Table4[CostType],"Variable")</f>
        <v>375.71</v>
      </c>
      <c r="Q75">
        <f>SUMIFS(Table4[ActualCost_Clean],Table4[ProductID_Clean],Product_Month_Actual_Variable_Cost[[#This Row],[ProductID]],Table4[Period_Clean],Product_Month_Actual_Variable_Cost[[#Headers],[2025-04]],Table4[CostType],"Variable")</f>
        <v>381.31</v>
      </c>
      <c r="R75">
        <f>SUMIFS(Table4[ActualCost_Clean],Table4[ProductID_Clean],Product_Month_Actual_Variable_Cost[[#This Row],[ProductID]],Table4[Period_Clean],Product_Month_Actual_Variable_Cost[[#Headers],[2025-05]],Table4[CostType],"Variable")</f>
        <v>396.55</v>
      </c>
      <c r="S75">
        <f>SUMIFS(Table4[ActualCost_Clean],Table4[ProductID_Clean],Product_Month_Actual_Variable_Cost[[#This Row],[ProductID]],Table4[Period_Clean],Product_Month_Actual_Variable_Cost[[#Headers],[2025-06]],Table4[CostType],"Variable")</f>
        <v>408.48</v>
      </c>
      <c r="V75" t="s">
        <v>152</v>
      </c>
      <c r="W75" t="s">
        <v>47</v>
      </c>
      <c r="X75">
        <f>Table33[[#This Row],[1/1/2025]]*Product_Month_Actual_Variable_Cost[[#This Row],[2025-01]]</f>
        <v>3866</v>
      </c>
      <c r="Y75">
        <f>Table33[[#This Row],[2/1/2025]]*Product_Month_Actual_Variable_Cost[[#This Row],[2025-02]]</f>
        <v>5240.5600000000004</v>
      </c>
      <c r="Z75">
        <f>Table33[[#This Row],[3/1/2025]]*Product_Month_Actual_Variable_Cost[[#This Row],[2025-03]]</f>
        <v>8641.33</v>
      </c>
      <c r="AA75">
        <f>Table33[[#This Row],[4/1/2025]]*Product_Month_Actual_Variable_Cost[[#This Row],[2025-04]]</f>
        <v>4575.72</v>
      </c>
      <c r="AB75">
        <f>Table33[[#This Row],[5/1/2025]]*Product_Month_Actual_Variable_Cost[[#This Row],[2025-05]]</f>
        <v>3172.4</v>
      </c>
      <c r="AC75">
        <f>Table33[[#This Row],[6/1/2025]]*Product_Month_Actual_Variable_Cost[[#This Row],[2025-06]]</f>
        <v>11028.960000000001</v>
      </c>
      <c r="AD75">
        <f>SUM(Product_Region_Monthly_Variable_Cost[[#This Row],[25-Jan]:[25-Jun]])</f>
        <v>36524.97</v>
      </c>
      <c r="AG75" t="s">
        <v>152</v>
      </c>
      <c r="AH75" t="s">
        <v>47</v>
      </c>
      <c r="AI75">
        <f>SUMIFS(Table4[ActualCost_Clean],Table4[ProductID_Clean],Product_Month_Actual_Fixed_Cost[[#This Row],[ProductID]],Table4[Period_Clean],Product_Month_Actual_Variable_Cost[[#Headers],[2025-01]],Table4[CostType],"Fixed")</f>
        <v>70.77</v>
      </c>
      <c r="AJ75">
        <f>SUMIFS(Table4[ActualCost_Clean],Table4[ProductID_Clean],Product_Month_Actual_Fixed_Cost[[#This Row],[ProductID]],Table4[Period_Clean],Product_Month_Actual_Variable_Cost[[#Headers],[2025-02]],Table4[CostType],"Fixed")</f>
        <v>77.64</v>
      </c>
      <c r="AK75">
        <f>SUMIFS(Table4[ActualCost_Clean],Table4[ProductID_Clean],Product_Month_Actual_Fixed_Cost[[#This Row],[ProductID]],Table4[Period_Clean],Product_Month_Actual_Variable_Cost[[#Headers],[2025-03]],Table4[CostType],"Fixed")</f>
        <v>73.59</v>
      </c>
      <c r="AL75">
        <f>SUMIFS(Table4[ActualCost_Clean],Table4[ProductID_Clean],Product_Month_Actual_Fixed_Cost[[#This Row],[ProductID]],Table4[Period_Clean],Product_Month_Actual_Variable_Cost[[#Headers],[2025-04]],Table4[CostType],"Fixed")</f>
        <v>75.09</v>
      </c>
      <c r="AM75">
        <f>SUMIFS(Table4[ActualCost_Clean],Table4[ProductID_Clean],Product_Month_Actual_Fixed_Cost[[#This Row],[ProductID]],Table4[Period_Clean],Product_Month_Actual_Variable_Cost[[#Headers],[2025-05]],Table4[CostType],"Fixed")</f>
        <v>74.349999999999994</v>
      </c>
      <c r="AN75">
        <f>SUMIFS(Table4[ActualCost_Clean],Table4[ProductID_Clean],Product_Month_Actual_Fixed_Cost[[#This Row],[ProductID]],Table4[Period_Clean],Product_Month_Actual_Variable_Cost[[#Headers],[2025-06]],Table4[CostType],"Fixed")</f>
        <v>74.59</v>
      </c>
      <c r="AQ75" t="s">
        <v>152</v>
      </c>
      <c r="AR75" t="s">
        <v>47</v>
      </c>
      <c r="AS75">
        <f>Product_Month_Actual_Fixed_Cost[[#This Row],[2025-01]]*Table33[[#This Row],[1/1/2025]]</f>
        <v>707.69999999999993</v>
      </c>
      <c r="AT75">
        <f>Product_Month_Actual_Fixed_Cost[[#This Row],[2025-02]]*Table33[[#This Row],[2/1/2025]]</f>
        <v>1009.32</v>
      </c>
      <c r="AU75">
        <f>Product_Month_Actual_Fixed_Cost[[#This Row],[2025-03]]*Table33[[#This Row],[3/1/2025]]</f>
        <v>1692.5700000000002</v>
      </c>
      <c r="AV75">
        <f>Product_Month_Actual_Fixed_Cost[[#This Row],[2025-04]]*Table33[[#This Row],[4/1/2025]]</f>
        <v>901.08</v>
      </c>
      <c r="AW75">
        <f>Product_Month_Actual_Fixed_Cost[[#This Row],[2025-05]]*Table33[[#This Row],[5/1/2025]]</f>
        <v>594.79999999999995</v>
      </c>
      <c r="AX75">
        <f>Product_Month_Actual_Fixed_Cost[[#This Row],[2025-06]]*Table33[[#This Row],[6/1/2025]]</f>
        <v>2013.93</v>
      </c>
      <c r="AY75">
        <f>SUM(Product_Region_Monthly_Fixed_Cost[[#This Row],[25-Jan]:[25-Jun]])</f>
        <v>6919.4000000000005</v>
      </c>
      <c r="BB75" t="s">
        <v>152</v>
      </c>
      <c r="BC75" t="s">
        <v>47</v>
      </c>
      <c r="BD75">
        <f>Product_Region_Monthly_Fixed_Cost[[#This Row],[25-Jan]]+Product_Region_Monthly_Variable_Cost[[#This Row],[25-Jan]]</f>
        <v>4573.7</v>
      </c>
      <c r="BE75">
        <f>Product_Region_Monthly_Fixed_Cost[[#This Row],[25-Feb]]+Product_Region_Monthly_Variable_Cost[[#This Row],[25-Feb]]</f>
        <v>6249.88</v>
      </c>
      <c r="BF75">
        <f>Product_Region_Monthly_Fixed_Cost[[#This Row],[25-Mar]]+Product_Region_Monthly_Variable_Cost[[#This Row],[25-Mar]]</f>
        <v>10333.9</v>
      </c>
      <c r="BG75">
        <f>Product_Region_Monthly_Fixed_Cost[[#This Row],[25-Apr]]+Product_Region_Monthly_Variable_Cost[[#This Row],[25-Apr]]</f>
        <v>5476.8</v>
      </c>
      <c r="BH75">
        <f>Product_Region_Monthly_Fixed_Cost[[#This Row],[25-May]]+Product_Region_Monthly_Variable_Cost[[#This Row],[25-May]]</f>
        <v>3767.2</v>
      </c>
      <c r="BI75">
        <f>Product_Region_Monthly_Fixed_Cost[[#This Row],[25-Jun]]+Product_Region_Monthly_Variable_Cost[[#This Row],[25-Jun]]</f>
        <v>13042.890000000001</v>
      </c>
      <c r="BJ75">
        <f>Product_Region_Monthly_Fixed_Cost[[#This Row],[H1 Fixed Cost]]+Product_Region_Monthly_Variable_Cost[[#This Row],[H1 Variable Cost]]</f>
        <v>43444.37</v>
      </c>
    </row>
    <row r="76" spans="1:62">
      <c r="A76" t="s">
        <v>152</v>
      </c>
      <c r="B76" t="s">
        <v>58</v>
      </c>
      <c r="C76">
        <f>SUMIFS(Table1[Quantity],Table1[ProductID],Table33[[#This Row],[ProductID]],Table1[RegionClean_],Table33[[#This Row],[Region]],Table1[TransactionDate_Clean],"&gt;"&amp;EOMONTH($C$1,-1),Table1[TransactionDate_Clean],"&lt;="&amp;EOMONTH($C$1,0))</f>
        <v>12</v>
      </c>
      <c r="D76">
        <f>SUMIFS(Table1[Quantity],Table1[ProductID],Table33[[#This Row],[ProductID]],Table1[RegionClean_],Table33[[#This Row],[Region]],Table1[TransactionDate_Clean],"&gt;"&amp;EOMONTH($D$1,-1),Table1[TransactionDate_Clean],"&lt;="&amp;EOMONTH($D$1,0))</f>
        <v>7</v>
      </c>
      <c r="E76">
        <f>SUMIFS(Table1[Quantity],Table1[ProductID],Table33[[#This Row],[ProductID]],Table1[RegionClean_],Table33[[#This Row],[Region]],Table1[TransactionDate_Clean],"&gt;"&amp;EOMONTH($E$1,-1),Table1[TransactionDate_Clean],"&lt;="&amp;EOMONTH($E$1,0))</f>
        <v>20</v>
      </c>
      <c r="F76">
        <f>SUMIFS(Table1[Quantity],Table1[ProductID],Table33[[#This Row],[ProductID]],Table1[RegionClean_],Table33[[#This Row],[Region]],Table1[TransactionDate_Clean],"&gt;"&amp;EOMONTH($F$1,-1),Table1[TransactionDate_Clean],"&lt;="&amp;EOMONTH($F$1,0))</f>
        <v>5</v>
      </c>
      <c r="G76">
        <f>SUMIFS(Table1[Quantity],Table1[ProductID],Table33[[#This Row],[ProductID]],Table1[RegionClean_],Table33[[#This Row],[Region]],Table1[TransactionDate_Clean],"&gt;"&amp;EOMONTH($G$1,-1),Table1[TransactionDate_Clean],"&lt;="&amp;EOMONTH($G$1,0))</f>
        <v>15</v>
      </c>
      <c r="H76">
        <f>SUMIFS(Table1[Quantity],Table1[ProductID],Table33[[#This Row],[ProductID]],Table1[RegionClean_],Table33[[#This Row],[Region]],Table1[TransactionDate_Clean],"&gt;"&amp;EOMONTH($H$1,-1),Table1[TransactionDate_Clean],"&lt;="&amp;EOMONTH($H$1,0))</f>
        <v>13</v>
      </c>
      <c r="I76">
        <f>SUM(Table33[[#This Row],[1/1/2025]:[6/1/2025]])</f>
        <v>72</v>
      </c>
      <c r="L76" t="s">
        <v>152</v>
      </c>
      <c r="M76" t="s">
        <v>58</v>
      </c>
      <c r="N76">
        <f>SUMIFS(Table4[ActualCost_Clean],Table4[ProductID_Clean],Product_Month_Actual_Variable_Cost[[#This Row],[ProductID]],Table4[Period_Clean],Product_Month_Actual_Variable_Cost[[#Headers],[2025-01]],Table4[CostType],"Variable")</f>
        <v>386.6</v>
      </c>
      <c r="O76">
        <f>SUMIFS(Table4[ActualCost_Clean],Table4[ProductID_Clean],Product_Month_Actual_Variable_Cost[[#This Row],[ProductID]],Table4[Period_Clean],Product_Month_Actual_Variable_Cost[[#Headers],[2025-02]],Table4[CostType],"Variable")</f>
        <v>403.12</v>
      </c>
      <c r="P76">
        <f>SUMIFS(Table4[ActualCost_Clean],Table4[ProductID_Clean],Product_Month_Actual_Variable_Cost[[#This Row],[ProductID]],Table4[Period_Clean],Product_Month_Actual_Variable_Cost[[#Headers],[2025-03]],Table4[CostType],"Variable")</f>
        <v>375.71</v>
      </c>
      <c r="Q76">
        <f>SUMIFS(Table4[ActualCost_Clean],Table4[ProductID_Clean],Product_Month_Actual_Variable_Cost[[#This Row],[ProductID]],Table4[Period_Clean],Product_Month_Actual_Variable_Cost[[#Headers],[2025-04]],Table4[CostType],"Variable")</f>
        <v>381.31</v>
      </c>
      <c r="R76">
        <f>SUMIFS(Table4[ActualCost_Clean],Table4[ProductID_Clean],Product_Month_Actual_Variable_Cost[[#This Row],[ProductID]],Table4[Period_Clean],Product_Month_Actual_Variable_Cost[[#Headers],[2025-05]],Table4[CostType],"Variable")</f>
        <v>396.55</v>
      </c>
      <c r="S76">
        <f>SUMIFS(Table4[ActualCost_Clean],Table4[ProductID_Clean],Product_Month_Actual_Variable_Cost[[#This Row],[ProductID]],Table4[Period_Clean],Product_Month_Actual_Variable_Cost[[#Headers],[2025-06]],Table4[CostType],"Variable")</f>
        <v>408.48</v>
      </c>
      <c r="V76" t="s">
        <v>152</v>
      </c>
      <c r="W76" t="s">
        <v>58</v>
      </c>
      <c r="X76">
        <f>Table33[[#This Row],[1/1/2025]]*Product_Month_Actual_Variable_Cost[[#This Row],[2025-01]]</f>
        <v>4639.2000000000007</v>
      </c>
      <c r="Y76">
        <f>Table33[[#This Row],[2/1/2025]]*Product_Month_Actual_Variable_Cost[[#This Row],[2025-02]]</f>
        <v>2821.84</v>
      </c>
      <c r="Z76">
        <f>Table33[[#This Row],[3/1/2025]]*Product_Month_Actual_Variable_Cost[[#This Row],[2025-03]]</f>
        <v>7514.2</v>
      </c>
      <c r="AA76">
        <f>Table33[[#This Row],[4/1/2025]]*Product_Month_Actual_Variable_Cost[[#This Row],[2025-04]]</f>
        <v>1906.55</v>
      </c>
      <c r="AB76">
        <f>Table33[[#This Row],[5/1/2025]]*Product_Month_Actual_Variable_Cost[[#This Row],[2025-05]]</f>
        <v>5948.25</v>
      </c>
      <c r="AC76">
        <f>Table33[[#This Row],[6/1/2025]]*Product_Month_Actual_Variable_Cost[[#This Row],[2025-06]]</f>
        <v>5310.24</v>
      </c>
      <c r="AD76">
        <f>SUM(Product_Region_Monthly_Variable_Cost[[#This Row],[25-Jan]:[25-Jun]])</f>
        <v>28140.28</v>
      </c>
      <c r="AG76" t="s">
        <v>152</v>
      </c>
      <c r="AH76" t="s">
        <v>58</v>
      </c>
      <c r="AI76">
        <f>SUMIFS(Table4[ActualCost_Clean],Table4[ProductID_Clean],Product_Month_Actual_Fixed_Cost[[#This Row],[ProductID]],Table4[Period_Clean],Product_Month_Actual_Variable_Cost[[#Headers],[2025-01]],Table4[CostType],"Fixed")</f>
        <v>70.77</v>
      </c>
      <c r="AJ76">
        <f>SUMIFS(Table4[ActualCost_Clean],Table4[ProductID_Clean],Product_Month_Actual_Fixed_Cost[[#This Row],[ProductID]],Table4[Period_Clean],Product_Month_Actual_Variable_Cost[[#Headers],[2025-02]],Table4[CostType],"Fixed")</f>
        <v>77.64</v>
      </c>
      <c r="AK76">
        <f>SUMIFS(Table4[ActualCost_Clean],Table4[ProductID_Clean],Product_Month_Actual_Fixed_Cost[[#This Row],[ProductID]],Table4[Period_Clean],Product_Month_Actual_Variable_Cost[[#Headers],[2025-03]],Table4[CostType],"Fixed")</f>
        <v>73.59</v>
      </c>
      <c r="AL76">
        <f>SUMIFS(Table4[ActualCost_Clean],Table4[ProductID_Clean],Product_Month_Actual_Fixed_Cost[[#This Row],[ProductID]],Table4[Period_Clean],Product_Month_Actual_Variable_Cost[[#Headers],[2025-04]],Table4[CostType],"Fixed")</f>
        <v>75.09</v>
      </c>
      <c r="AM76">
        <f>SUMIFS(Table4[ActualCost_Clean],Table4[ProductID_Clean],Product_Month_Actual_Fixed_Cost[[#This Row],[ProductID]],Table4[Period_Clean],Product_Month_Actual_Variable_Cost[[#Headers],[2025-05]],Table4[CostType],"Fixed")</f>
        <v>74.349999999999994</v>
      </c>
      <c r="AN76">
        <f>SUMIFS(Table4[ActualCost_Clean],Table4[ProductID_Clean],Product_Month_Actual_Fixed_Cost[[#This Row],[ProductID]],Table4[Period_Clean],Product_Month_Actual_Variable_Cost[[#Headers],[2025-06]],Table4[CostType],"Fixed")</f>
        <v>74.59</v>
      </c>
      <c r="AQ76" t="s">
        <v>152</v>
      </c>
      <c r="AR76" t="s">
        <v>58</v>
      </c>
      <c r="AS76">
        <f>Product_Month_Actual_Fixed_Cost[[#This Row],[2025-01]]*Table33[[#This Row],[1/1/2025]]</f>
        <v>849.24</v>
      </c>
      <c r="AT76">
        <f>Product_Month_Actual_Fixed_Cost[[#This Row],[2025-02]]*Table33[[#This Row],[2/1/2025]]</f>
        <v>543.48</v>
      </c>
      <c r="AU76">
        <f>Product_Month_Actual_Fixed_Cost[[#This Row],[2025-03]]*Table33[[#This Row],[3/1/2025]]</f>
        <v>1471.8000000000002</v>
      </c>
      <c r="AV76">
        <f>Product_Month_Actual_Fixed_Cost[[#This Row],[2025-04]]*Table33[[#This Row],[4/1/2025]]</f>
        <v>375.45000000000005</v>
      </c>
      <c r="AW76">
        <f>Product_Month_Actual_Fixed_Cost[[#This Row],[2025-05]]*Table33[[#This Row],[5/1/2025]]</f>
        <v>1115.25</v>
      </c>
      <c r="AX76">
        <f>Product_Month_Actual_Fixed_Cost[[#This Row],[2025-06]]*Table33[[#This Row],[6/1/2025]]</f>
        <v>969.67000000000007</v>
      </c>
      <c r="AY76">
        <f>SUM(Product_Region_Monthly_Fixed_Cost[[#This Row],[25-Jan]:[25-Jun]])</f>
        <v>5324.89</v>
      </c>
      <c r="BB76" t="s">
        <v>152</v>
      </c>
      <c r="BC76" t="s">
        <v>58</v>
      </c>
      <c r="BD76">
        <f>Product_Region_Monthly_Fixed_Cost[[#This Row],[25-Jan]]+Product_Region_Monthly_Variable_Cost[[#This Row],[25-Jan]]</f>
        <v>5488.4400000000005</v>
      </c>
      <c r="BE76">
        <f>Product_Region_Monthly_Fixed_Cost[[#This Row],[25-Feb]]+Product_Region_Monthly_Variable_Cost[[#This Row],[25-Feb]]</f>
        <v>3365.32</v>
      </c>
      <c r="BF76">
        <f>Product_Region_Monthly_Fixed_Cost[[#This Row],[25-Mar]]+Product_Region_Monthly_Variable_Cost[[#This Row],[25-Mar]]</f>
        <v>8986</v>
      </c>
      <c r="BG76">
        <f>Product_Region_Monthly_Fixed_Cost[[#This Row],[25-Apr]]+Product_Region_Monthly_Variable_Cost[[#This Row],[25-Apr]]</f>
        <v>2282</v>
      </c>
      <c r="BH76">
        <f>Product_Region_Monthly_Fixed_Cost[[#This Row],[25-May]]+Product_Region_Monthly_Variable_Cost[[#This Row],[25-May]]</f>
        <v>7063.5</v>
      </c>
      <c r="BI76">
        <f>Product_Region_Monthly_Fixed_Cost[[#This Row],[25-Jun]]+Product_Region_Monthly_Variable_Cost[[#This Row],[25-Jun]]</f>
        <v>6279.91</v>
      </c>
      <c r="BJ76">
        <f>Product_Region_Monthly_Fixed_Cost[[#This Row],[H1 Fixed Cost]]+Product_Region_Monthly_Variable_Cost[[#This Row],[H1 Variable Cost]]</f>
        <v>33465.17</v>
      </c>
    </row>
    <row r="77" spans="1:62">
      <c r="A77" t="s">
        <v>152</v>
      </c>
      <c r="B77" t="s">
        <v>32</v>
      </c>
      <c r="C77">
        <f>SUMIFS(Table1[Quantity],Table1[ProductID],Table33[[#This Row],[ProductID]],Table1[RegionClean_],Table33[[#This Row],[Region]],Table1[TransactionDate_Clean],"&gt;"&amp;EOMONTH($C$1,-1),Table1[TransactionDate_Clean],"&lt;="&amp;EOMONTH($C$1,0))</f>
        <v>4</v>
      </c>
      <c r="D77">
        <f>SUMIFS(Table1[Quantity],Table1[ProductID],Table33[[#This Row],[ProductID]],Table1[RegionClean_],Table33[[#This Row],[Region]],Table1[TransactionDate_Clean],"&gt;"&amp;EOMONTH($D$1,-1),Table1[TransactionDate_Clean],"&lt;="&amp;EOMONTH($D$1,0))</f>
        <v>3</v>
      </c>
      <c r="E77">
        <f>SUMIFS(Table1[Quantity],Table1[ProductID],Table33[[#This Row],[ProductID]],Table1[RegionClean_],Table33[[#This Row],[Region]],Table1[TransactionDate_Clean],"&gt;"&amp;EOMONTH($E$1,-1),Table1[TransactionDate_Clean],"&lt;="&amp;EOMONTH($E$1,0))</f>
        <v>8</v>
      </c>
      <c r="F77">
        <f>SUMIFS(Table1[Quantity],Table1[ProductID],Table33[[#This Row],[ProductID]],Table1[RegionClean_],Table33[[#This Row],[Region]],Table1[TransactionDate_Clean],"&gt;"&amp;EOMONTH($F$1,-1),Table1[TransactionDate_Clean],"&lt;="&amp;EOMONTH($F$1,0))</f>
        <v>0</v>
      </c>
      <c r="G77">
        <f>SUMIFS(Table1[Quantity],Table1[ProductID],Table33[[#This Row],[ProductID]],Table1[RegionClean_],Table33[[#This Row],[Region]],Table1[TransactionDate_Clean],"&gt;"&amp;EOMONTH($G$1,-1),Table1[TransactionDate_Clean],"&lt;="&amp;EOMONTH($G$1,0))</f>
        <v>6</v>
      </c>
      <c r="H77">
        <f>SUMIFS(Table1[Quantity],Table1[ProductID],Table33[[#This Row],[ProductID]],Table1[RegionClean_],Table33[[#This Row],[Region]],Table1[TransactionDate_Clean],"&gt;"&amp;EOMONTH($H$1,-1),Table1[TransactionDate_Clean],"&lt;="&amp;EOMONTH($H$1,0))</f>
        <v>1</v>
      </c>
      <c r="I77">
        <f>SUM(Table33[[#This Row],[1/1/2025]:[6/1/2025]])</f>
        <v>22</v>
      </c>
      <c r="L77" t="s">
        <v>152</v>
      </c>
      <c r="M77" t="s">
        <v>32</v>
      </c>
      <c r="N77">
        <f>SUMIFS(Table4[ActualCost_Clean],Table4[ProductID_Clean],Product_Month_Actual_Variable_Cost[[#This Row],[ProductID]],Table4[Period_Clean],Product_Month_Actual_Variable_Cost[[#Headers],[2025-01]],Table4[CostType],"Variable")</f>
        <v>386.6</v>
      </c>
      <c r="O77">
        <f>SUMIFS(Table4[ActualCost_Clean],Table4[ProductID_Clean],Product_Month_Actual_Variable_Cost[[#This Row],[ProductID]],Table4[Period_Clean],Product_Month_Actual_Variable_Cost[[#Headers],[2025-02]],Table4[CostType],"Variable")</f>
        <v>403.12</v>
      </c>
      <c r="P77">
        <f>SUMIFS(Table4[ActualCost_Clean],Table4[ProductID_Clean],Product_Month_Actual_Variable_Cost[[#This Row],[ProductID]],Table4[Period_Clean],Product_Month_Actual_Variable_Cost[[#Headers],[2025-03]],Table4[CostType],"Variable")</f>
        <v>375.71</v>
      </c>
      <c r="Q77">
        <f>SUMIFS(Table4[ActualCost_Clean],Table4[ProductID_Clean],Product_Month_Actual_Variable_Cost[[#This Row],[ProductID]],Table4[Period_Clean],Product_Month_Actual_Variable_Cost[[#Headers],[2025-04]],Table4[CostType],"Variable")</f>
        <v>381.31</v>
      </c>
      <c r="R77">
        <f>SUMIFS(Table4[ActualCost_Clean],Table4[ProductID_Clean],Product_Month_Actual_Variable_Cost[[#This Row],[ProductID]],Table4[Period_Clean],Product_Month_Actual_Variable_Cost[[#Headers],[2025-05]],Table4[CostType],"Variable")</f>
        <v>396.55</v>
      </c>
      <c r="S77">
        <f>SUMIFS(Table4[ActualCost_Clean],Table4[ProductID_Clean],Product_Month_Actual_Variable_Cost[[#This Row],[ProductID]],Table4[Period_Clean],Product_Month_Actual_Variable_Cost[[#Headers],[2025-06]],Table4[CostType],"Variable")</f>
        <v>408.48</v>
      </c>
      <c r="V77" t="s">
        <v>152</v>
      </c>
      <c r="W77" t="s">
        <v>32</v>
      </c>
      <c r="X77">
        <f>Table33[[#This Row],[1/1/2025]]*Product_Month_Actual_Variable_Cost[[#This Row],[2025-01]]</f>
        <v>1546.4</v>
      </c>
      <c r="Y77">
        <f>Table33[[#This Row],[2/1/2025]]*Product_Month_Actual_Variable_Cost[[#This Row],[2025-02]]</f>
        <v>1209.3600000000001</v>
      </c>
      <c r="Z77">
        <f>Table33[[#This Row],[3/1/2025]]*Product_Month_Actual_Variable_Cost[[#This Row],[2025-03]]</f>
        <v>3005.68</v>
      </c>
      <c r="AA77">
        <f>Table33[[#This Row],[4/1/2025]]*Product_Month_Actual_Variable_Cost[[#This Row],[2025-04]]</f>
        <v>0</v>
      </c>
      <c r="AB77">
        <f>Table33[[#This Row],[5/1/2025]]*Product_Month_Actual_Variable_Cost[[#This Row],[2025-05]]</f>
        <v>2379.3000000000002</v>
      </c>
      <c r="AC77">
        <f>Table33[[#This Row],[6/1/2025]]*Product_Month_Actual_Variable_Cost[[#This Row],[2025-06]]</f>
        <v>408.48</v>
      </c>
      <c r="AD77">
        <f>SUM(Product_Region_Monthly_Variable_Cost[[#This Row],[25-Jan]:[25-Jun]])</f>
        <v>8549.2200000000012</v>
      </c>
      <c r="AG77" t="s">
        <v>152</v>
      </c>
      <c r="AH77" t="s">
        <v>32</v>
      </c>
      <c r="AI77">
        <f>SUMIFS(Table4[ActualCost_Clean],Table4[ProductID_Clean],Product_Month_Actual_Fixed_Cost[[#This Row],[ProductID]],Table4[Period_Clean],Product_Month_Actual_Variable_Cost[[#Headers],[2025-01]],Table4[CostType],"Fixed")</f>
        <v>70.77</v>
      </c>
      <c r="AJ77">
        <f>SUMIFS(Table4[ActualCost_Clean],Table4[ProductID_Clean],Product_Month_Actual_Fixed_Cost[[#This Row],[ProductID]],Table4[Period_Clean],Product_Month_Actual_Variable_Cost[[#Headers],[2025-02]],Table4[CostType],"Fixed")</f>
        <v>77.64</v>
      </c>
      <c r="AK77">
        <f>SUMIFS(Table4[ActualCost_Clean],Table4[ProductID_Clean],Product_Month_Actual_Fixed_Cost[[#This Row],[ProductID]],Table4[Period_Clean],Product_Month_Actual_Variable_Cost[[#Headers],[2025-03]],Table4[CostType],"Fixed")</f>
        <v>73.59</v>
      </c>
      <c r="AL77">
        <f>SUMIFS(Table4[ActualCost_Clean],Table4[ProductID_Clean],Product_Month_Actual_Fixed_Cost[[#This Row],[ProductID]],Table4[Period_Clean],Product_Month_Actual_Variable_Cost[[#Headers],[2025-04]],Table4[CostType],"Fixed")</f>
        <v>75.09</v>
      </c>
      <c r="AM77">
        <f>SUMIFS(Table4[ActualCost_Clean],Table4[ProductID_Clean],Product_Month_Actual_Fixed_Cost[[#This Row],[ProductID]],Table4[Period_Clean],Product_Month_Actual_Variable_Cost[[#Headers],[2025-05]],Table4[CostType],"Fixed")</f>
        <v>74.349999999999994</v>
      </c>
      <c r="AN77">
        <f>SUMIFS(Table4[ActualCost_Clean],Table4[ProductID_Clean],Product_Month_Actual_Fixed_Cost[[#This Row],[ProductID]],Table4[Period_Clean],Product_Month_Actual_Variable_Cost[[#Headers],[2025-06]],Table4[CostType],"Fixed")</f>
        <v>74.59</v>
      </c>
      <c r="AQ77" t="s">
        <v>152</v>
      </c>
      <c r="AR77" t="s">
        <v>32</v>
      </c>
      <c r="AS77">
        <f>Product_Month_Actual_Fixed_Cost[[#This Row],[2025-01]]*Table33[[#This Row],[1/1/2025]]</f>
        <v>283.08</v>
      </c>
      <c r="AT77">
        <f>Product_Month_Actual_Fixed_Cost[[#This Row],[2025-02]]*Table33[[#This Row],[2/1/2025]]</f>
        <v>232.92000000000002</v>
      </c>
      <c r="AU77">
        <f>Product_Month_Actual_Fixed_Cost[[#This Row],[2025-03]]*Table33[[#This Row],[3/1/2025]]</f>
        <v>588.72</v>
      </c>
      <c r="AV77">
        <f>Product_Month_Actual_Fixed_Cost[[#This Row],[2025-04]]*Table33[[#This Row],[4/1/2025]]</f>
        <v>0</v>
      </c>
      <c r="AW77">
        <f>Product_Month_Actual_Fixed_Cost[[#This Row],[2025-05]]*Table33[[#This Row],[5/1/2025]]</f>
        <v>446.09999999999997</v>
      </c>
      <c r="AX77">
        <f>Product_Month_Actual_Fixed_Cost[[#This Row],[2025-06]]*Table33[[#This Row],[6/1/2025]]</f>
        <v>74.59</v>
      </c>
      <c r="AY77">
        <f>SUM(Product_Region_Monthly_Fixed_Cost[[#This Row],[25-Jan]:[25-Jun]])</f>
        <v>1625.4099999999999</v>
      </c>
      <c r="BB77" t="s">
        <v>152</v>
      </c>
      <c r="BC77" t="s">
        <v>32</v>
      </c>
      <c r="BD77">
        <f>Product_Region_Monthly_Fixed_Cost[[#This Row],[25-Jan]]+Product_Region_Monthly_Variable_Cost[[#This Row],[25-Jan]]</f>
        <v>1829.48</v>
      </c>
      <c r="BE77">
        <f>Product_Region_Monthly_Fixed_Cost[[#This Row],[25-Feb]]+Product_Region_Monthly_Variable_Cost[[#This Row],[25-Feb]]</f>
        <v>1442.2800000000002</v>
      </c>
      <c r="BF77">
        <f>Product_Region_Monthly_Fixed_Cost[[#This Row],[25-Mar]]+Product_Region_Monthly_Variable_Cost[[#This Row],[25-Mar]]</f>
        <v>3594.3999999999996</v>
      </c>
      <c r="BG77">
        <f>Product_Region_Monthly_Fixed_Cost[[#This Row],[25-Apr]]+Product_Region_Monthly_Variable_Cost[[#This Row],[25-Apr]]</f>
        <v>0</v>
      </c>
      <c r="BH77">
        <f>Product_Region_Monthly_Fixed_Cost[[#This Row],[25-May]]+Product_Region_Monthly_Variable_Cost[[#This Row],[25-May]]</f>
        <v>2825.4</v>
      </c>
      <c r="BI77">
        <f>Product_Region_Monthly_Fixed_Cost[[#This Row],[25-Jun]]+Product_Region_Monthly_Variable_Cost[[#This Row],[25-Jun]]</f>
        <v>483.07000000000005</v>
      </c>
      <c r="BJ77">
        <f>Product_Region_Monthly_Fixed_Cost[[#This Row],[H1 Fixed Cost]]+Product_Region_Monthly_Variable_Cost[[#This Row],[H1 Variable Cost]]</f>
        <v>10174.630000000001</v>
      </c>
    </row>
    <row r="78" spans="1:62">
      <c r="A78" t="s">
        <v>2597</v>
      </c>
      <c r="C78">
        <f>SUBTOTAL(109,Table33[1/1/2025])</f>
        <v>493</v>
      </c>
      <c r="D78">
        <f>SUBTOTAL(109,Table33[2/1/2025])</f>
        <v>499</v>
      </c>
      <c r="E78">
        <f>SUBTOTAL(109,Table33[3/1/2025])</f>
        <v>579</v>
      </c>
      <c r="F78">
        <f>SUBTOTAL(109,Table33[4/1/2025])</f>
        <v>644</v>
      </c>
      <c r="G78">
        <f>SUBTOTAL(109,Table33[5/1/2025])</f>
        <v>587</v>
      </c>
      <c r="H78">
        <f>SUBTOTAL(109,Table33[6/1/2025])</f>
        <v>668</v>
      </c>
      <c r="I78">
        <f>SUBTOTAL(109,Table33[H1 Total])</f>
        <v>3470</v>
      </c>
      <c r="V78" t="s">
        <v>2597</v>
      </c>
      <c r="AD78">
        <f>SUBTOTAL(109,Product_Region_Monthly_Variable_Cost[H1 Variable Cost])</f>
        <v>1424374.1850000001</v>
      </c>
      <c r="AQ78" t="s">
        <v>2597</v>
      </c>
      <c r="AY78">
        <f>SUBTOTAL(109,Product_Region_Monthly_Fixed_Cost[H1 Fixed Cost])</f>
        <v>356714.77999999997</v>
      </c>
      <c r="BB78" t="s">
        <v>2597</v>
      </c>
      <c r="BJ78">
        <f>SUBTOTAL(109,Product_Region_Monthly_COGS[H1 COGS])</f>
        <v>1781088.9649999999</v>
      </c>
    </row>
    <row r="81" spans="28:51">
      <c r="AY81">
        <v>356714.78</v>
      </c>
    </row>
    <row r="82" spans="28:51" ht="24.75" customHeight="1">
      <c r="AB82" s="12" t="s">
        <v>7</v>
      </c>
      <c r="AC82" s="12" t="s">
        <v>2647</v>
      </c>
      <c r="AD82" s="12" t="s">
        <v>2654</v>
      </c>
      <c r="AE82" s="12" t="s">
        <v>2649</v>
      </c>
      <c r="AF82" s="12" t="s">
        <v>2650</v>
      </c>
      <c r="AG82" s="12" t="s">
        <v>2651</v>
      </c>
      <c r="AH82" s="12" t="s">
        <v>2652</v>
      </c>
      <c r="AI82" s="8" t="s">
        <v>2653</v>
      </c>
    </row>
    <row r="83" spans="28:51">
      <c r="AB83" s="9" t="s">
        <v>23</v>
      </c>
      <c r="AC83" s="7">
        <f>_xlfn.XLOOKUP(Region_Profitability[[#This Row],[Region]],Invalid_ProductID_Exclusion[Region],Invalid_ProductID_Exclusion[Net Revenue])</f>
        <v>1557305.8599999999</v>
      </c>
      <c r="AD83" s="7">
        <f>SUMIF(Product_Region_Monthly_Variable_Cost[Region],Region_Profitability[[#This Row],[Region]],Product_Region_Monthly_Variable_Cost[H1 Variable Cost])</f>
        <v>540689.52500000002</v>
      </c>
      <c r="AE83" s="7">
        <f>Region_Profitability[[#This Row],[H1 Net Revenue]]-Region_Profitability[[#This Row],[H1 Variable Cost]]</f>
        <v>1016616.3349999998</v>
      </c>
      <c r="AF83" s="10">
        <f>Region_Profitability[[#This Row],[Contribution Profit]]/Region_Profitability[[#This Row],[H1 Net Revenue]]</f>
        <v>0.65280453962974228</v>
      </c>
      <c r="AG83" s="7">
        <f>SUMIF(Product_Region_Monthly_COGS[Region],Region_Profitability[[#This Row],[Region]],Product_Region_Monthly_COGS[H1 COGS])</f>
        <v>682918.755</v>
      </c>
      <c r="AH83" s="7">
        <f>Region_Profitability[[#This Row],[H1 Net Revenue]]-Region_Profitability[[#This Row],[H1 COGS]]</f>
        <v>874387.10499999986</v>
      </c>
      <c r="AI83" s="10">
        <f>Region_Profitability[[#This Row],[Gross Profit]]/Region_Profitability[[#This Row],[H1 Net Revenue]]</f>
        <v>0.5614742276767648</v>
      </c>
    </row>
    <row r="84" spans="28:51">
      <c r="AB84" s="9" t="s">
        <v>47</v>
      </c>
      <c r="AC84" s="7">
        <f>_xlfn.XLOOKUP(Region_Profitability[[#This Row],[Region]],Invalid_ProductID_Exclusion[Region],Invalid_ProductID_Exclusion[Net Revenue])</f>
        <v>1277703.4099999999</v>
      </c>
      <c r="AD84" s="7">
        <f>SUMIF(Product_Region_Monthly_Variable_Cost[Region],Region_Profitability[[#This Row],[Region]],Product_Region_Monthly_Variable_Cost[H1 Variable Cost])</f>
        <v>472866.28499999992</v>
      </c>
      <c r="AE84" s="7">
        <f>Region_Profitability[[#This Row],[H1 Net Revenue]]-Region_Profitability[[#This Row],[H1 Variable Cost]]</f>
        <v>804837.125</v>
      </c>
      <c r="AF84" s="10">
        <f>Region_Profitability[[#This Row],[Contribution Profit]]/Region_Profitability[[#This Row],[H1 Net Revenue]]</f>
        <v>0.62990919387152611</v>
      </c>
      <c r="AG84" s="7">
        <f>SUMIF(Product_Region_Monthly_COGS[Region],Region_Profitability[[#This Row],[Region]],Product_Region_Monthly_COGS[H1 COGS])</f>
        <v>585716.22499999998</v>
      </c>
      <c r="AH84" s="7">
        <f>Region_Profitability[[#This Row],[H1 Net Revenue]]-Region_Profitability[[#This Row],[H1 COGS]]</f>
        <v>691987.18499999994</v>
      </c>
      <c r="AI84" s="10">
        <f>Region_Profitability[[#This Row],[Gross Profit]]/Region_Profitability[[#This Row],[H1 Net Revenue]]</f>
        <v>0.54158670907828288</v>
      </c>
    </row>
    <row r="85" spans="28:51">
      <c r="AB85" s="9" t="s">
        <v>58</v>
      </c>
      <c r="AC85" s="7">
        <f>_xlfn.XLOOKUP(Region_Profitability[[#This Row],[Region]],Invalid_ProductID_Exclusion[Region],Invalid_ProductID_Exclusion[Net Revenue])</f>
        <v>664093.69999999995</v>
      </c>
      <c r="AD85" s="7">
        <f>SUMIF(Product_Region_Monthly_Variable_Cost[Region],Region_Profitability[[#This Row],[Region]],Product_Region_Monthly_Variable_Cost[H1 Variable Cost])</f>
        <v>250056.12999999998</v>
      </c>
      <c r="AE85" s="7">
        <f>Region_Profitability[[#This Row],[H1 Net Revenue]]-Region_Profitability[[#This Row],[H1 Variable Cost]]</f>
        <v>414037.56999999995</v>
      </c>
      <c r="AF85" s="10">
        <f>Region_Profitability[[#This Row],[Contribution Profit]]/Region_Profitability[[#This Row],[H1 Net Revenue]]</f>
        <v>0.62346257764529311</v>
      </c>
      <c r="AG85" s="7">
        <f>SUMIF(Product_Region_Monthly_COGS[Region],Region_Profitability[[#This Row],[Region]],Product_Region_Monthly_COGS[H1 COGS])</f>
        <v>314052.35000000003</v>
      </c>
      <c r="AH85" s="7">
        <f>Region_Profitability[[#This Row],[H1 Net Revenue]]-Region_Profitability[[#This Row],[H1 COGS]]</f>
        <v>350041.34999999992</v>
      </c>
      <c r="AI85" s="10">
        <f>Region_Profitability[[#This Row],[Gross Profit]]/Region_Profitability[[#This Row],[H1 Net Revenue]]</f>
        <v>0.52709632691892716</v>
      </c>
    </row>
    <row r="86" spans="28:51" ht="15" customHeight="1">
      <c r="AB86" s="9" t="s">
        <v>32</v>
      </c>
      <c r="AC86" s="7">
        <f>_xlfn.XLOOKUP(Region_Profitability[[#This Row],[Region]],Invalid_ProductID_Exclusion[Region],Invalid_ProductID_Exclusion[Net Revenue])</f>
        <v>414657.47</v>
      </c>
      <c r="AD86" s="7">
        <f>SUMIF(Product_Region_Monthly_Variable_Cost[Region],Region_Profitability[[#This Row],[Region]],Product_Region_Monthly_Variable_Cost[H1 Variable Cost])</f>
        <v>160762.24500000002</v>
      </c>
      <c r="AE86" s="7">
        <f>Region_Profitability[[#This Row],[H1 Net Revenue]]-Region_Profitability[[#This Row],[H1 Variable Cost]]</f>
        <v>253895.22499999995</v>
      </c>
      <c r="AF86" s="10">
        <f>Region_Profitability[[#This Row],[Contribution Profit]]/Region_Profitability[[#This Row],[H1 Net Revenue]]</f>
        <v>0.61230109998983007</v>
      </c>
      <c r="AG86" s="7">
        <f>SUMIF(Product_Region_Monthly_COGS[Region],Region_Profitability[[#This Row],[Region]],Product_Region_Monthly_COGS[H1 COGS])</f>
        <v>198401.63500000004</v>
      </c>
      <c r="AH86" s="7">
        <f>Region_Profitability[[#This Row],[H1 Net Revenue]]-Region_Profitability[[#This Row],[H1 COGS]]</f>
        <v>216255.83499999993</v>
      </c>
      <c r="AI86" s="10">
        <f>Region_Profitability[[#This Row],[Gross Profit]]/Region_Profitability[[#This Row],[H1 Net Revenue]]</f>
        <v>0.52152885368253454</v>
      </c>
    </row>
    <row r="87" spans="28:51">
      <c r="AB87" s="9" t="s">
        <v>2597</v>
      </c>
      <c r="AC87" s="7">
        <f>SUBTOTAL(109,Region_Profitability[H1 Net Revenue])</f>
        <v>3913760.4399999995</v>
      </c>
      <c r="AD87" s="7">
        <f>SUBTOTAL(109,Region_Profitability[H1 Variable Cost])</f>
        <v>1424374.1850000001</v>
      </c>
      <c r="AE87" s="7"/>
      <c r="AF87" s="7"/>
      <c r="AG87" s="7">
        <f>SUBTOTAL(109,Region_Profitability[H1 COGS])</f>
        <v>1781088.9650000001</v>
      </c>
      <c r="AH87" s="7"/>
      <c r="AI87" s="7"/>
    </row>
    <row r="88" spans="28:51">
      <c r="AB88" s="12"/>
      <c r="AC88" s="7"/>
      <c r="AD88" s="7"/>
      <c r="AE88" s="7"/>
      <c r="AF88" s="7"/>
      <c r="AG88" s="7"/>
      <c r="AH88" s="7"/>
      <c r="AI88" s="7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895B-132F-4AE6-B1D3-45AF4A40FF7E}">
  <dimension ref="B2:W178"/>
  <sheetViews>
    <sheetView topLeftCell="A132" zoomScale="85" zoomScaleNormal="85" workbookViewId="0">
      <selection activeCell="B149" sqref="B149:F153"/>
    </sheetView>
  </sheetViews>
  <sheetFormatPr defaultColWidth="11.42578125" defaultRowHeight="15"/>
  <cols>
    <col min="2" max="2" width="30.7109375" customWidth="1"/>
    <col min="3" max="3" width="22.140625" bestFit="1" customWidth="1"/>
    <col min="4" max="4" width="24.42578125" bestFit="1" customWidth="1"/>
    <col min="5" max="5" width="25.42578125" bestFit="1" customWidth="1"/>
    <col min="6" max="6" width="23.7109375" bestFit="1" customWidth="1"/>
    <col min="7" max="7" width="11.85546875" bestFit="1" customWidth="1"/>
    <col min="8" max="8" width="11.28515625" bestFit="1" customWidth="1"/>
    <col min="9" max="9" width="13.85546875" bestFit="1" customWidth="1"/>
    <col min="10" max="10" width="20.85546875" bestFit="1" customWidth="1"/>
    <col min="11" max="11" width="19.85546875" bestFit="1" customWidth="1"/>
    <col min="12" max="15" width="13.7109375" customWidth="1"/>
    <col min="16" max="16" width="23.28515625" customWidth="1"/>
    <col min="17" max="17" width="21.28515625" customWidth="1"/>
    <col min="18" max="18" width="29.85546875" customWidth="1"/>
    <col min="19" max="19" width="24.140625" customWidth="1"/>
    <col min="20" max="20" width="28.140625" customWidth="1"/>
    <col min="21" max="21" width="13.7109375" customWidth="1"/>
    <col min="22" max="22" width="16.7109375" customWidth="1"/>
    <col min="23" max="23" width="20.85546875" customWidth="1"/>
  </cols>
  <sheetData>
    <row r="2" spans="2:18" ht="15" customHeight="1">
      <c r="B2" s="12" t="s">
        <v>4</v>
      </c>
      <c r="C2" s="29" t="s">
        <v>2664</v>
      </c>
      <c r="D2" s="29" t="s">
        <v>2665</v>
      </c>
      <c r="E2" s="29" t="s">
        <v>2641</v>
      </c>
      <c r="F2" s="29" t="s">
        <v>2642</v>
      </c>
      <c r="G2" s="29" t="s">
        <v>2643</v>
      </c>
      <c r="H2" s="29" t="s">
        <v>2644</v>
      </c>
      <c r="I2" s="29" t="s">
        <v>2632</v>
      </c>
      <c r="K2" s="6"/>
      <c r="L2" s="45"/>
      <c r="M2" s="45"/>
      <c r="N2" s="45"/>
      <c r="O2" s="45"/>
      <c r="P2" s="45"/>
      <c r="Q2" s="45"/>
      <c r="R2" s="8"/>
    </row>
    <row r="3" spans="2:18">
      <c r="B3" s="9" t="s">
        <v>133</v>
      </c>
      <c r="C3" s="7">
        <f>SUMIFS(Table1[Quantity],Table1[ProductID_Clean],Table20[[#This Row],[ProductID]],Table1[TransactionDate_Clean],"&gt;="&amp;C$2,Table1[TransactionDate_Clean],"&lt;"&amp;EDATE(C$2,1))</f>
        <v>6</v>
      </c>
      <c r="D3" s="7">
        <f>SUMIFS(Table1[Quantity],Table1[ProductID_Clean],Table20[[#This Row],[ProductID]],Table1[TransactionDate_Clean],"&gt;="&amp;D$2,Table1[TransactionDate_Clean],"&lt;"&amp;EDATE(D$2,1))</f>
        <v>7</v>
      </c>
      <c r="E3" s="7">
        <f>SUMIFS(Table1[Quantity],Table1[ProductID_Clean],Table20[[#This Row],[ProductID]],Table1[TransactionDate_Clean],"&gt;"&amp;EOMONTH($E$2,-1),Table1[TransactionDate_Clean],"&lt;="&amp;EOMONTH($E$2,0))</f>
        <v>10</v>
      </c>
      <c r="F3" s="7">
        <f>SUMIFS(Table1[Quantity],Table1[ProductID_Clean],Table20[[#This Row],[ProductID]],Table1[TransactionDate_Clean],"&gt;"&amp;EOMONTH($F$2,-1),Table1[TransactionDate_Clean],"&lt;="&amp;EOMONTH($F$2,0))</f>
        <v>7</v>
      </c>
      <c r="G3" s="7">
        <f>SUMIFS(Table1[Quantity],Table1[ProductID_Clean],Table20[[#This Row],[ProductID]],Table1[TransactionDate_Clean],"&gt;"&amp;EOMONTH($G$2,-1),Table1[TransactionDate_Clean],"&lt;="&amp;EOMONTH($G$2,0))</f>
        <v>9</v>
      </c>
      <c r="H3" s="7">
        <f>SUMIFS(Table1[Quantity],Table1[ProductID_Clean],Table20[[#This Row],[ProductID]],Table1[TransactionDate_Clean],"&gt;"&amp;EOMONTH($H$2,-1),Table1[TransactionDate_Clean],"&lt;="&amp;EOMONTH($H$2,0))</f>
        <v>11</v>
      </c>
      <c r="I3" s="7">
        <f>SUM(Table20[[#This Row],[01/01/2025]:[6/1/2025]])</f>
        <v>50</v>
      </c>
      <c r="K3" s="9"/>
      <c r="L3" s="7"/>
      <c r="M3" s="7"/>
      <c r="N3" s="7"/>
      <c r="O3" s="7"/>
      <c r="P3" s="7"/>
      <c r="Q3" s="7"/>
      <c r="R3" s="7"/>
    </row>
    <row r="4" spans="2:18">
      <c r="B4" s="9" t="s">
        <v>81</v>
      </c>
      <c r="C4" s="7">
        <f>SUMIFS(Table1[Quantity],Table1[ProductID_Clean],Table20[[#This Row],[ProductID]],Table1[TransactionDate_Clean],"&gt;="&amp;C$2,Table1[TransactionDate_Clean],"&lt;"&amp;EDATE(C$2,1))</f>
        <v>11</v>
      </c>
      <c r="D4" s="7">
        <f>SUMIFS(Table1[Quantity],Table1[ProductID_Clean],Table20[[#This Row],[ProductID]],Table1[TransactionDate_Clean],"&gt;="&amp;D$2,Table1[TransactionDate_Clean],"&lt;"&amp;EDATE(D$2,1))</f>
        <v>1</v>
      </c>
      <c r="E4" s="7">
        <f>SUMIFS(Table1[Quantity],Table1[ProductID_Clean],Table20[[#This Row],[ProductID]],Table1[TransactionDate_Clean],"&gt;"&amp;EOMONTH($E$2,-1),Table1[TransactionDate_Clean],"&lt;="&amp;EOMONTH($E$2,0))</f>
        <v>7</v>
      </c>
      <c r="F4" s="7">
        <f>SUMIFS(Table1[Quantity],Table1[ProductID_Clean],Table20[[#This Row],[ProductID]],Table1[TransactionDate_Clean],"&gt;"&amp;EOMONTH($F$2,-1),Table1[TransactionDate_Clean],"&lt;="&amp;EOMONTH($F$2,0))</f>
        <v>9</v>
      </c>
      <c r="G4" s="7">
        <f>SUMIFS(Table1[Quantity],Table1[ProductID_Clean],Table20[[#This Row],[ProductID]],Table1[TransactionDate_Clean],"&gt;"&amp;EOMONTH($G$2,-1),Table1[TransactionDate_Clean],"&lt;="&amp;EOMONTH($G$2,0))</f>
        <v>17</v>
      </c>
      <c r="H4" s="7">
        <f>SUMIFS(Table1[Quantity],Table1[ProductID_Clean],Table20[[#This Row],[ProductID]],Table1[TransactionDate_Clean],"&gt;"&amp;EOMONTH($H$2,-1),Table1[TransactionDate_Clean],"&lt;="&amp;EOMONTH($H$2,0))</f>
        <v>6</v>
      </c>
      <c r="I4" s="7">
        <f>SUM(Table20[[#This Row],[01/01/2025]:[6/1/2025]])</f>
        <v>51</v>
      </c>
      <c r="K4" s="9"/>
      <c r="L4" s="7"/>
      <c r="M4" s="7"/>
      <c r="N4" s="7"/>
      <c r="O4" s="7"/>
      <c r="P4" s="7"/>
      <c r="Q4" s="7"/>
      <c r="R4" s="7"/>
    </row>
    <row r="5" spans="2:18">
      <c r="B5" s="9" t="s">
        <v>216</v>
      </c>
      <c r="C5" s="7">
        <f>SUMIFS(Table1[Quantity],Table1[ProductID_Clean],Table20[[#This Row],[ProductID]],Table1[TransactionDate_Clean],"&gt;="&amp;C$2,Table1[TransactionDate_Clean],"&lt;"&amp;EDATE(C$2,1))</f>
        <v>2</v>
      </c>
      <c r="D5" s="7">
        <f>SUMIFS(Table1[Quantity],Table1[ProductID_Clean],Table20[[#This Row],[ProductID]],Table1[TransactionDate_Clean],"&gt;="&amp;D$2,Table1[TransactionDate_Clean],"&lt;"&amp;EDATE(D$2,1))</f>
        <v>0</v>
      </c>
      <c r="E5" s="7">
        <f>SUMIFS(Table1[Quantity],Table1[ProductID_Clean],Table20[[#This Row],[ProductID]],Table1[TransactionDate_Clean],"&gt;"&amp;EOMONTH($E$2,-1),Table1[TransactionDate_Clean],"&lt;="&amp;EOMONTH($E$2,0))</f>
        <v>6</v>
      </c>
      <c r="F5" s="7">
        <f>SUMIFS(Table1[Quantity],Table1[ProductID_Clean],Table20[[#This Row],[ProductID]],Table1[TransactionDate_Clean],"&gt;"&amp;EOMONTH($F$2,-1),Table1[TransactionDate_Clean],"&lt;="&amp;EOMONTH($F$2,0))</f>
        <v>6</v>
      </c>
      <c r="G5" s="7">
        <f>SUMIFS(Table1[Quantity],Table1[ProductID_Clean],Table20[[#This Row],[ProductID]],Table1[TransactionDate_Clean],"&gt;"&amp;EOMONTH($G$2,-1),Table1[TransactionDate_Clean],"&lt;="&amp;EOMONTH($G$2,0))</f>
        <v>3</v>
      </c>
      <c r="H5" s="7">
        <f>SUMIFS(Table1[Quantity],Table1[ProductID_Clean],Table20[[#This Row],[ProductID]],Table1[TransactionDate_Clean],"&gt;"&amp;EOMONTH($H$2,-1),Table1[TransactionDate_Clean],"&lt;="&amp;EOMONTH($H$2,0))</f>
        <v>8</v>
      </c>
      <c r="I5" s="7">
        <f>SUM(Table20[[#This Row],[01/01/2025]:[6/1/2025]])</f>
        <v>25</v>
      </c>
      <c r="K5" s="9"/>
      <c r="L5" s="7"/>
      <c r="M5" s="7"/>
      <c r="N5" s="7"/>
      <c r="O5" s="7"/>
      <c r="P5" s="7"/>
      <c r="Q5" s="7"/>
      <c r="R5" s="7"/>
    </row>
    <row r="6" spans="2:18">
      <c r="B6" s="9" t="s">
        <v>432</v>
      </c>
      <c r="C6" s="7">
        <f>SUMIFS(Table1[Quantity],Table1[ProductID_Clean],Table20[[#This Row],[ProductID]],Table1[TransactionDate_Clean],"&gt;="&amp;C$2,Table1[TransactionDate_Clean],"&lt;"&amp;EDATE(C$2,1))</f>
        <v>5</v>
      </c>
      <c r="D6" s="7">
        <f>SUMIFS(Table1[Quantity],Table1[ProductID_Clean],Table20[[#This Row],[ProductID]],Table1[TransactionDate_Clean],"&gt;="&amp;D$2,Table1[TransactionDate_Clean],"&lt;"&amp;EDATE(D$2,1))</f>
        <v>1</v>
      </c>
      <c r="E6" s="7">
        <f>SUMIFS(Table1[Quantity],Table1[ProductID_Clean],Table20[[#This Row],[ProductID]],Table1[TransactionDate_Clean],"&gt;"&amp;EOMONTH($E$2,-1),Table1[TransactionDate_Clean],"&lt;="&amp;EOMONTH($E$2,0))</f>
        <v>4</v>
      </c>
      <c r="F6" s="7">
        <f>SUMIFS(Table1[Quantity],Table1[ProductID_Clean],Table20[[#This Row],[ProductID]],Table1[TransactionDate_Clean],"&gt;"&amp;EOMONTH($F$2,-1),Table1[TransactionDate_Clean],"&lt;="&amp;EOMONTH($F$2,0))</f>
        <v>0</v>
      </c>
      <c r="G6" s="7">
        <f>SUMIFS(Table1[Quantity],Table1[ProductID_Clean],Table20[[#This Row],[ProductID]],Table1[TransactionDate_Clean],"&gt;"&amp;EOMONTH($G$2,-1),Table1[TransactionDate_Clean],"&lt;="&amp;EOMONTH($G$2,0))</f>
        <v>2</v>
      </c>
      <c r="H6" s="7">
        <f>SUMIFS(Table1[Quantity],Table1[ProductID_Clean],Table20[[#This Row],[ProductID]],Table1[TransactionDate_Clean],"&gt;"&amp;EOMONTH($H$2,-1),Table1[TransactionDate_Clean],"&lt;="&amp;EOMONTH($H$2,0))</f>
        <v>4</v>
      </c>
      <c r="I6" s="7">
        <f>SUM(Table20[[#This Row],[01/01/2025]:[6/1/2025]])</f>
        <v>16</v>
      </c>
      <c r="K6" s="9"/>
      <c r="L6" s="7"/>
      <c r="M6" s="7"/>
      <c r="N6" s="7"/>
      <c r="O6" s="7"/>
      <c r="P6" s="7"/>
      <c r="Q6" s="7"/>
      <c r="R6" s="7"/>
    </row>
    <row r="7" spans="2:18">
      <c r="B7" s="9" t="s">
        <v>101</v>
      </c>
      <c r="C7" s="7">
        <f>SUMIFS(Table1[Quantity],Table1[ProductID_Clean],Table20[[#This Row],[ProductID]],Table1[TransactionDate_Clean],"&gt;="&amp;C$2,Table1[TransactionDate_Clean],"&lt;"&amp;EDATE(C$2,1))</f>
        <v>5</v>
      </c>
      <c r="D7" s="7">
        <f>SUMIFS(Table1[Quantity],Table1[ProductID_Clean],Table20[[#This Row],[ProductID]],Table1[TransactionDate_Clean],"&gt;="&amp;D$2,Table1[TransactionDate_Clean],"&lt;"&amp;EDATE(D$2,1))</f>
        <v>3</v>
      </c>
      <c r="E7" s="7">
        <f>SUMIFS(Table1[Quantity],Table1[ProductID_Clean],Table20[[#This Row],[ProductID]],Table1[TransactionDate_Clean],"&gt;"&amp;EOMONTH($E$2,-1),Table1[TransactionDate_Clean],"&lt;="&amp;EOMONTH($E$2,0))</f>
        <v>2</v>
      </c>
      <c r="F7" s="7">
        <f>SUMIFS(Table1[Quantity],Table1[ProductID_Clean],Table20[[#This Row],[ProductID]],Table1[TransactionDate_Clean],"&gt;"&amp;EOMONTH($F$2,-1),Table1[TransactionDate_Clean],"&lt;="&amp;EOMONTH($F$2,0))</f>
        <v>6</v>
      </c>
      <c r="G7" s="7">
        <f>SUMIFS(Table1[Quantity],Table1[ProductID_Clean],Table20[[#This Row],[ProductID]],Table1[TransactionDate_Clean],"&gt;"&amp;EOMONTH($G$2,-1),Table1[TransactionDate_Clean],"&lt;="&amp;EOMONTH($G$2,0))</f>
        <v>9</v>
      </c>
      <c r="H7" s="7">
        <f>SUMIFS(Table1[Quantity],Table1[ProductID_Clean],Table20[[#This Row],[ProductID]],Table1[TransactionDate_Clean],"&gt;"&amp;EOMONTH($H$2,-1),Table1[TransactionDate_Clean],"&lt;="&amp;EOMONTH($H$2,0))</f>
        <v>4</v>
      </c>
      <c r="I7" s="7">
        <f>SUM(Table20[[#This Row],[01/01/2025]:[6/1/2025]])</f>
        <v>29</v>
      </c>
      <c r="K7" s="9"/>
      <c r="L7" s="7"/>
      <c r="M7" s="7"/>
      <c r="N7" s="7"/>
      <c r="O7" s="7"/>
      <c r="P7" s="7"/>
      <c r="Q7" s="7"/>
      <c r="R7" s="7"/>
    </row>
    <row r="8" spans="2:18">
      <c r="B8" s="9" t="s">
        <v>92</v>
      </c>
      <c r="C8" s="7">
        <f>SUMIFS(Table1[Quantity],Table1[ProductID_Clean],Table20[[#This Row],[ProductID]],Table1[TransactionDate_Clean],"&gt;="&amp;C$2,Table1[TransactionDate_Clean],"&lt;"&amp;EDATE(C$2,1))</f>
        <v>6</v>
      </c>
      <c r="D8" s="7">
        <f>SUMIFS(Table1[Quantity],Table1[ProductID_Clean],Table20[[#This Row],[ProductID]],Table1[TransactionDate_Clean],"&gt;="&amp;D$2,Table1[TransactionDate_Clean],"&lt;"&amp;EDATE(D$2,1))</f>
        <v>9</v>
      </c>
      <c r="E8" s="7">
        <f>SUMIFS(Table1[Quantity],Table1[ProductID_Clean],Table20[[#This Row],[ProductID]],Table1[TransactionDate_Clean],"&gt;"&amp;EOMONTH($E$2,-1),Table1[TransactionDate_Clean],"&lt;="&amp;EOMONTH($E$2,0))</f>
        <v>6</v>
      </c>
      <c r="F8" s="7">
        <f>SUMIFS(Table1[Quantity],Table1[ProductID_Clean],Table20[[#This Row],[ProductID]],Table1[TransactionDate_Clean],"&gt;"&amp;EOMONTH($F$2,-1),Table1[TransactionDate_Clean],"&lt;="&amp;EOMONTH($F$2,0))</f>
        <v>4</v>
      </c>
      <c r="G8" s="7">
        <f>SUMIFS(Table1[Quantity],Table1[ProductID_Clean],Table20[[#This Row],[ProductID]],Table1[TransactionDate_Clean],"&gt;"&amp;EOMONTH($G$2,-1),Table1[TransactionDate_Clean],"&lt;="&amp;EOMONTH($G$2,0))</f>
        <v>2</v>
      </c>
      <c r="H8" s="7">
        <f>SUMIFS(Table1[Quantity],Table1[ProductID_Clean],Table20[[#This Row],[ProductID]],Table1[TransactionDate_Clean],"&gt;"&amp;EOMONTH($H$2,-1),Table1[TransactionDate_Clean],"&lt;="&amp;EOMONTH($H$2,0))</f>
        <v>5</v>
      </c>
      <c r="I8" s="7">
        <f>SUM(Table20[[#This Row],[01/01/2025]:[6/1/2025]])</f>
        <v>32</v>
      </c>
      <c r="K8" s="9"/>
      <c r="L8" s="7"/>
      <c r="M8" s="7"/>
      <c r="N8" s="7"/>
      <c r="O8" s="7"/>
      <c r="P8" s="7"/>
      <c r="Q8" s="7"/>
      <c r="R8" s="7"/>
    </row>
    <row r="9" spans="2:18">
      <c r="B9" s="9" t="s">
        <v>68</v>
      </c>
      <c r="C9" s="7">
        <f>SUMIFS(Table1[Quantity],Table1[ProductID_Clean],Table20[[#This Row],[ProductID]],Table1[TransactionDate_Clean],"&gt;="&amp;C$2,Table1[TransactionDate_Clean],"&lt;"&amp;EDATE(C$2,1))</f>
        <v>24</v>
      </c>
      <c r="D9" s="7">
        <f>SUMIFS(Table1[Quantity],Table1[ProductID_Clean],Table20[[#This Row],[ProductID]],Table1[TransactionDate_Clean],"&gt;="&amp;D$2,Table1[TransactionDate_Clean],"&lt;"&amp;EDATE(D$2,1))</f>
        <v>16</v>
      </c>
      <c r="E9" s="7">
        <f>SUMIFS(Table1[Quantity],Table1[ProductID_Clean],Table20[[#This Row],[ProductID]],Table1[TransactionDate_Clean],"&gt;"&amp;EOMONTH($E$2,-1),Table1[TransactionDate_Clean],"&lt;="&amp;EOMONTH($E$2,0))</f>
        <v>16</v>
      </c>
      <c r="F9" s="7">
        <f>SUMIFS(Table1[Quantity],Table1[ProductID_Clean],Table20[[#This Row],[ProductID]],Table1[TransactionDate_Clean],"&gt;"&amp;EOMONTH($F$2,-1),Table1[TransactionDate_Clean],"&lt;="&amp;EOMONTH($F$2,0))</f>
        <v>15</v>
      </c>
      <c r="G9" s="7">
        <f>SUMIFS(Table1[Quantity],Table1[ProductID_Clean],Table20[[#This Row],[ProductID]],Table1[TransactionDate_Clean],"&gt;"&amp;EOMONTH($G$2,-1),Table1[TransactionDate_Clean],"&lt;="&amp;EOMONTH($G$2,0))</f>
        <v>27</v>
      </c>
      <c r="H9" s="7">
        <f>SUMIFS(Table1[Quantity],Table1[ProductID_Clean],Table20[[#This Row],[ProductID]],Table1[TransactionDate_Clean],"&gt;"&amp;EOMONTH($H$2,-1),Table1[TransactionDate_Clean],"&lt;="&amp;EOMONTH($H$2,0))</f>
        <v>25</v>
      </c>
      <c r="I9" s="7">
        <f>SUM(Table20[[#This Row],[01/01/2025]:[6/1/2025]])</f>
        <v>123</v>
      </c>
      <c r="K9" s="9"/>
      <c r="L9" s="7"/>
      <c r="M9" s="7"/>
      <c r="N9" s="7"/>
      <c r="O9" s="7"/>
      <c r="P9" s="7"/>
      <c r="Q9" s="7"/>
      <c r="R9" s="7"/>
    </row>
    <row r="10" spans="2:18">
      <c r="B10" s="9" t="s">
        <v>147</v>
      </c>
      <c r="C10" s="7">
        <f>SUMIFS(Table1[Quantity],Table1[ProductID_Clean],Table20[[#This Row],[ProductID]],Table1[TransactionDate_Clean],"&gt;="&amp;C$2,Table1[TransactionDate_Clean],"&lt;"&amp;EDATE(C$2,1))</f>
        <v>5</v>
      </c>
      <c r="D10" s="7">
        <f>SUMIFS(Table1[Quantity],Table1[ProductID_Clean],Table20[[#This Row],[ProductID]],Table1[TransactionDate_Clean],"&gt;="&amp;D$2,Table1[TransactionDate_Clean],"&lt;"&amp;EDATE(D$2,1))</f>
        <v>3</v>
      </c>
      <c r="E10" s="7">
        <f>SUMIFS(Table1[Quantity],Table1[ProductID_Clean],Table20[[#This Row],[ProductID]],Table1[TransactionDate_Clean],"&gt;"&amp;EOMONTH($E$2,-1),Table1[TransactionDate_Clean],"&lt;="&amp;EOMONTH($E$2,0))</f>
        <v>4</v>
      </c>
      <c r="F10" s="7">
        <f>SUMIFS(Table1[Quantity],Table1[ProductID_Clean],Table20[[#This Row],[ProductID]],Table1[TransactionDate_Clean],"&gt;"&amp;EOMONTH($F$2,-1),Table1[TransactionDate_Clean],"&lt;="&amp;EOMONTH($F$2,0))</f>
        <v>12</v>
      </c>
      <c r="G10" s="7">
        <f>SUMIFS(Table1[Quantity],Table1[ProductID_Clean],Table20[[#This Row],[ProductID]],Table1[TransactionDate_Clean],"&gt;"&amp;EOMONTH($G$2,-1),Table1[TransactionDate_Clean],"&lt;="&amp;EOMONTH($G$2,0))</f>
        <v>10</v>
      </c>
      <c r="H10" s="7">
        <f>SUMIFS(Table1[Quantity],Table1[ProductID_Clean],Table20[[#This Row],[ProductID]],Table1[TransactionDate_Clean],"&gt;"&amp;EOMONTH($H$2,-1),Table1[TransactionDate_Clean],"&lt;="&amp;EOMONTH($H$2,0))</f>
        <v>23</v>
      </c>
      <c r="I10" s="7">
        <f>SUM(Table20[[#This Row],[01/01/2025]:[6/1/2025]])</f>
        <v>57</v>
      </c>
      <c r="K10" s="9"/>
      <c r="L10" s="7"/>
      <c r="M10" s="7"/>
      <c r="N10" s="7"/>
      <c r="O10" s="7"/>
      <c r="P10" s="7"/>
      <c r="Q10" s="7"/>
      <c r="R10" s="7"/>
    </row>
    <row r="11" spans="2:18">
      <c r="B11" s="9" t="s">
        <v>51</v>
      </c>
      <c r="C11" s="7">
        <f>SUMIFS(Table1[Quantity],Table1[ProductID_Clean],Table20[[#This Row],[ProductID]],Table1[TransactionDate_Clean],"&gt;="&amp;C$2,Table1[TransactionDate_Clean],"&lt;"&amp;EDATE(C$2,1))</f>
        <v>7</v>
      </c>
      <c r="D11" s="7">
        <f>SUMIFS(Table1[Quantity],Table1[ProductID_Clean],Table20[[#This Row],[ProductID]],Table1[TransactionDate_Clean],"&gt;="&amp;D$2,Table1[TransactionDate_Clean],"&lt;"&amp;EDATE(D$2,1))</f>
        <v>6</v>
      </c>
      <c r="E11" s="7">
        <f>SUMIFS(Table1[Quantity],Table1[ProductID_Clean],Table20[[#This Row],[ProductID]],Table1[TransactionDate_Clean],"&gt;"&amp;EOMONTH($E$2,-1),Table1[TransactionDate_Clean],"&lt;="&amp;EOMONTH($E$2,0))</f>
        <v>4</v>
      </c>
      <c r="F11" s="7">
        <f>SUMIFS(Table1[Quantity],Table1[ProductID_Clean],Table20[[#This Row],[ProductID]],Table1[TransactionDate_Clean],"&gt;"&amp;EOMONTH($F$2,-1),Table1[TransactionDate_Clean],"&lt;="&amp;EOMONTH($F$2,0))</f>
        <v>14</v>
      </c>
      <c r="G11" s="7">
        <f>SUMIFS(Table1[Quantity],Table1[ProductID_Clean],Table20[[#This Row],[ProductID]],Table1[TransactionDate_Clean],"&gt;"&amp;EOMONTH($G$2,-1),Table1[TransactionDate_Clean],"&lt;="&amp;EOMONTH($G$2,0))</f>
        <v>9</v>
      </c>
      <c r="H11" s="7">
        <f>SUMIFS(Table1[Quantity],Table1[ProductID_Clean],Table20[[#This Row],[ProductID]],Table1[TransactionDate_Clean],"&gt;"&amp;EOMONTH($H$2,-1),Table1[TransactionDate_Clean],"&lt;="&amp;EOMONTH($H$2,0))</f>
        <v>18</v>
      </c>
      <c r="I11" s="7">
        <f>SUM(Table20[[#This Row],[01/01/2025]:[6/1/2025]])</f>
        <v>58</v>
      </c>
      <c r="K11" s="9"/>
      <c r="L11" s="7"/>
      <c r="M11" s="7"/>
      <c r="N11" s="7"/>
      <c r="O11" s="7"/>
      <c r="P11" s="7"/>
      <c r="Q11" s="7"/>
      <c r="R11" s="7"/>
    </row>
    <row r="12" spans="2:18">
      <c r="B12" s="9" t="s">
        <v>86</v>
      </c>
      <c r="C12" s="7">
        <f>SUMIFS(Table1[Quantity],Table1[ProductID_Clean],Table20[[#This Row],[ProductID]],Table1[TransactionDate_Clean],"&gt;="&amp;C$2,Table1[TransactionDate_Clean],"&lt;"&amp;EDATE(C$2,1))</f>
        <v>11</v>
      </c>
      <c r="D12" s="7">
        <f>SUMIFS(Table1[Quantity],Table1[ProductID_Clean],Table20[[#This Row],[ProductID]],Table1[TransactionDate_Clean],"&gt;="&amp;D$2,Table1[TransactionDate_Clean],"&lt;"&amp;EDATE(D$2,1))</f>
        <v>6</v>
      </c>
      <c r="E12" s="7">
        <f>SUMIFS(Table1[Quantity],Table1[ProductID_Clean],Table20[[#This Row],[ProductID]],Table1[TransactionDate_Clean],"&gt;"&amp;EOMONTH($E$2,-1),Table1[TransactionDate_Clean],"&lt;="&amp;EOMONTH($E$2,0))</f>
        <v>13</v>
      </c>
      <c r="F12" s="7">
        <f>SUMIFS(Table1[Quantity],Table1[ProductID_Clean],Table20[[#This Row],[ProductID]],Table1[TransactionDate_Clean],"&gt;"&amp;EOMONTH($F$2,-1),Table1[TransactionDate_Clean],"&lt;="&amp;EOMONTH($F$2,0))</f>
        <v>11</v>
      </c>
      <c r="G12" s="7">
        <f>SUMIFS(Table1[Quantity],Table1[ProductID_Clean],Table20[[#This Row],[ProductID]],Table1[TransactionDate_Clean],"&gt;"&amp;EOMONTH($G$2,-1),Table1[TransactionDate_Clean],"&lt;="&amp;EOMONTH($G$2,0))</f>
        <v>10</v>
      </c>
      <c r="H12" s="7">
        <f>SUMIFS(Table1[Quantity],Table1[ProductID_Clean],Table20[[#This Row],[ProductID]],Table1[TransactionDate_Clean],"&gt;"&amp;EOMONTH($H$2,-1),Table1[TransactionDate_Clean],"&lt;="&amp;EOMONTH($H$2,0))</f>
        <v>14</v>
      </c>
      <c r="I12" s="7">
        <f>SUM(Table20[[#This Row],[01/01/2025]:[6/1/2025]])</f>
        <v>65</v>
      </c>
      <c r="K12" s="9"/>
      <c r="L12" s="7"/>
      <c r="M12" s="7"/>
      <c r="N12" s="7"/>
      <c r="O12" s="7"/>
      <c r="P12" s="7"/>
      <c r="Q12" s="7"/>
      <c r="R12" s="7"/>
    </row>
    <row r="13" spans="2:18">
      <c r="B13" s="9" t="s">
        <v>62</v>
      </c>
      <c r="C13" s="7">
        <f>SUMIFS(Table1[Quantity],Table1[ProductID_Clean],Table20[[#This Row],[ProductID]],Table1[TransactionDate_Clean],"&gt;="&amp;C$2,Table1[TransactionDate_Clean],"&lt;"&amp;EDATE(C$2,1))</f>
        <v>9</v>
      </c>
      <c r="D13" s="7">
        <f>SUMIFS(Table1[Quantity],Table1[ProductID_Clean],Table20[[#This Row],[ProductID]],Table1[TransactionDate_Clean],"&gt;="&amp;D$2,Table1[TransactionDate_Clean],"&lt;"&amp;EDATE(D$2,1))</f>
        <v>4</v>
      </c>
      <c r="E13" s="7">
        <f>SUMIFS(Table1[Quantity],Table1[ProductID_Clean],Table20[[#This Row],[ProductID]],Table1[TransactionDate_Clean],"&gt;"&amp;EOMONTH($E$2,-1),Table1[TransactionDate_Clean],"&lt;="&amp;EOMONTH($E$2,0))</f>
        <v>19</v>
      </c>
      <c r="F13" s="7">
        <f>SUMIFS(Table1[Quantity],Table1[ProductID_Clean],Table20[[#This Row],[ProductID]],Table1[TransactionDate_Clean],"&gt;"&amp;EOMONTH($F$2,-1),Table1[TransactionDate_Clean],"&lt;="&amp;EOMONTH($F$2,0))</f>
        <v>6</v>
      </c>
      <c r="G13" s="7">
        <f>SUMIFS(Table1[Quantity],Table1[ProductID_Clean],Table20[[#This Row],[ProductID]],Table1[TransactionDate_Clean],"&gt;"&amp;EOMONTH($G$2,-1),Table1[TransactionDate_Clean],"&lt;="&amp;EOMONTH($G$2,0))</f>
        <v>1</v>
      </c>
      <c r="H13" s="7">
        <f>SUMIFS(Table1[Quantity],Table1[ProductID_Clean],Table20[[#This Row],[ProductID]],Table1[TransactionDate_Clean],"&gt;"&amp;EOMONTH($H$2,-1),Table1[TransactionDate_Clean],"&lt;="&amp;EOMONTH($H$2,0))</f>
        <v>12</v>
      </c>
      <c r="I13" s="7">
        <f>SUM(Table20[[#This Row],[01/01/2025]:[6/1/2025]])</f>
        <v>51</v>
      </c>
      <c r="K13" s="9"/>
      <c r="L13" s="7"/>
      <c r="M13" s="7"/>
      <c r="N13" s="7"/>
      <c r="O13" s="7"/>
      <c r="P13" s="7"/>
      <c r="Q13" s="7"/>
      <c r="R13" s="7"/>
    </row>
    <row r="14" spans="2:18">
      <c r="B14" s="9" t="s">
        <v>72</v>
      </c>
      <c r="C14" s="7">
        <f>SUMIFS(Table1[Quantity],Table1[ProductID_Clean],Table20[[#This Row],[ProductID]],Table1[TransactionDate_Clean],"&gt;="&amp;C$2,Table1[TransactionDate_Clean],"&lt;"&amp;EDATE(C$2,1))</f>
        <v>93</v>
      </c>
      <c r="D14" s="7">
        <f>SUMIFS(Table1[Quantity],Table1[ProductID_Clean],Table20[[#This Row],[ProductID]],Table1[TransactionDate_Clean],"&gt;="&amp;D$2,Table1[TransactionDate_Clean],"&lt;"&amp;EDATE(D$2,1))</f>
        <v>97</v>
      </c>
      <c r="E14" s="7">
        <f>SUMIFS(Table1[Quantity],Table1[ProductID_Clean],Table20[[#This Row],[ProductID]],Table1[TransactionDate_Clean],"&gt;"&amp;EOMONTH($E$2,-1),Table1[TransactionDate_Clean],"&lt;="&amp;EOMONTH($E$2,0))</f>
        <v>127</v>
      </c>
      <c r="F14" s="7">
        <f>SUMIFS(Table1[Quantity],Table1[ProductID_Clean],Table20[[#This Row],[ProductID]],Table1[TransactionDate_Clean],"&gt;"&amp;EOMONTH($F$2,-1),Table1[TransactionDate_Clean],"&lt;="&amp;EOMONTH($F$2,0))</f>
        <v>126</v>
      </c>
      <c r="G14" s="7">
        <f>SUMIFS(Table1[Quantity],Table1[ProductID_Clean],Table20[[#This Row],[ProductID]],Table1[TransactionDate_Clean],"&gt;"&amp;EOMONTH($G$2,-1),Table1[TransactionDate_Clean],"&lt;="&amp;EOMONTH($G$2,0))</f>
        <v>83</v>
      </c>
      <c r="H14" s="7">
        <f>SUMIFS(Table1[Quantity],Table1[ProductID_Clean],Table20[[#This Row],[ProductID]],Table1[TransactionDate_Clean],"&gt;"&amp;EOMONTH($H$2,-1),Table1[TransactionDate_Clean],"&lt;="&amp;EOMONTH($H$2,0))</f>
        <v>86</v>
      </c>
      <c r="I14" s="7">
        <f>SUM(Table20[[#This Row],[01/01/2025]:[6/1/2025]])</f>
        <v>612</v>
      </c>
      <c r="K14" s="9"/>
      <c r="L14" s="7"/>
      <c r="M14" s="7"/>
      <c r="N14" s="7"/>
      <c r="O14" s="7"/>
      <c r="P14" s="7"/>
      <c r="Q14" s="7"/>
      <c r="R14" s="7"/>
    </row>
    <row r="15" spans="2:18">
      <c r="B15" s="9" t="s">
        <v>31</v>
      </c>
      <c r="C15" s="7">
        <f>SUMIFS(Table1[Quantity],Table1[ProductID_Clean],Table20[[#This Row],[ProductID]],Table1[TransactionDate_Clean],"&gt;="&amp;C$2,Table1[TransactionDate_Clean],"&lt;"&amp;EDATE(C$2,1))</f>
        <v>74</v>
      </c>
      <c r="D15" s="7">
        <f>SUMIFS(Table1[Quantity],Table1[ProductID_Clean],Table20[[#This Row],[ProductID]],Table1[TransactionDate_Clean],"&gt;="&amp;D$2,Table1[TransactionDate_Clean],"&lt;"&amp;EDATE(D$2,1))</f>
        <v>30</v>
      </c>
      <c r="E15" s="7">
        <f>SUMIFS(Table1[Quantity],Table1[ProductID_Clean],Table20[[#This Row],[ProductID]],Table1[TransactionDate_Clean],"&gt;"&amp;EOMONTH($E$2,-1),Table1[TransactionDate_Clean],"&lt;="&amp;EOMONTH($E$2,0))</f>
        <v>54</v>
      </c>
      <c r="F15" s="7">
        <f>SUMIFS(Table1[Quantity],Table1[ProductID_Clean],Table20[[#This Row],[ProductID]],Table1[TransactionDate_Clean],"&gt;"&amp;EOMONTH($F$2,-1),Table1[TransactionDate_Clean],"&lt;="&amp;EOMONTH($F$2,0))</f>
        <v>89</v>
      </c>
      <c r="G15" s="7">
        <f>SUMIFS(Table1[Quantity],Table1[ProductID_Clean],Table20[[#This Row],[ProductID]],Table1[TransactionDate_Clean],"&gt;"&amp;EOMONTH($G$2,-1),Table1[TransactionDate_Clean],"&lt;="&amp;EOMONTH($G$2,0))</f>
        <v>49</v>
      </c>
      <c r="H15" s="7">
        <f>SUMIFS(Table1[Quantity],Table1[ProductID_Clean],Table20[[#This Row],[ProductID]],Table1[TransactionDate_Clean],"&gt;"&amp;EOMONTH($H$2,-1),Table1[TransactionDate_Clean],"&lt;="&amp;EOMONTH($H$2,0))</f>
        <v>100</v>
      </c>
      <c r="I15" s="7">
        <f>SUM(Table20[[#This Row],[01/01/2025]:[6/1/2025]])</f>
        <v>396</v>
      </c>
      <c r="K15" s="9"/>
      <c r="L15" s="7"/>
      <c r="M15" s="7"/>
      <c r="N15" s="7"/>
      <c r="O15" s="7"/>
      <c r="P15" s="7"/>
      <c r="Q15" s="7"/>
      <c r="R15" s="7"/>
    </row>
    <row r="16" spans="2:18">
      <c r="B16" s="9" t="s">
        <v>39</v>
      </c>
      <c r="C16" s="7">
        <f>SUMIFS(Table1[Quantity],Table1[ProductID_Clean],Table20[[#This Row],[ProductID]],Table1[TransactionDate_Clean],"&gt;="&amp;C$2,Table1[TransactionDate_Clean],"&lt;"&amp;EDATE(C$2,1))</f>
        <v>43</v>
      </c>
      <c r="D16" s="7">
        <f>SUMIFS(Table1[Quantity],Table1[ProductID_Clean],Table20[[#This Row],[ProductID]],Table1[TransactionDate_Clean],"&gt;="&amp;D$2,Table1[TransactionDate_Clean],"&lt;"&amp;EDATE(D$2,1))</f>
        <v>54</v>
      </c>
      <c r="E16" s="7">
        <f>SUMIFS(Table1[Quantity],Table1[ProductID_Clean],Table20[[#This Row],[ProductID]],Table1[TransactionDate_Clean],"&gt;"&amp;EOMONTH($E$2,-1),Table1[TransactionDate_Clean],"&lt;="&amp;EOMONTH($E$2,0))</f>
        <v>36</v>
      </c>
      <c r="F16" s="7">
        <f>SUMIFS(Table1[Quantity],Table1[ProductID_Clean],Table20[[#This Row],[ProductID]],Table1[TransactionDate_Clean],"&gt;"&amp;EOMONTH($F$2,-1),Table1[TransactionDate_Clean],"&lt;="&amp;EOMONTH($F$2,0))</f>
        <v>47</v>
      </c>
      <c r="G16" s="7">
        <f>SUMIFS(Table1[Quantity],Table1[ProductID_Clean],Table20[[#This Row],[ProductID]],Table1[TransactionDate_Clean],"&gt;"&amp;EOMONTH($G$2,-1),Table1[TransactionDate_Clean],"&lt;="&amp;EOMONTH($G$2,0))</f>
        <v>60</v>
      </c>
      <c r="H16" s="7">
        <f>SUMIFS(Table1[Quantity],Table1[ProductID_Clean],Table20[[#This Row],[ProductID]],Table1[TransactionDate_Clean],"&gt;"&amp;EOMONTH($H$2,-1),Table1[TransactionDate_Clean],"&lt;="&amp;EOMONTH($H$2,0))</f>
        <v>23</v>
      </c>
      <c r="I16" s="7">
        <f>SUM(Table20[[#This Row],[01/01/2025]:[6/1/2025]])</f>
        <v>263</v>
      </c>
      <c r="K16" s="9"/>
      <c r="L16" s="7"/>
      <c r="M16" s="7"/>
      <c r="N16" s="7"/>
      <c r="O16" s="7"/>
      <c r="P16" s="7"/>
      <c r="Q16" s="7"/>
      <c r="R16" s="7"/>
    </row>
    <row r="17" spans="2:18">
      <c r="B17" s="9" t="s">
        <v>22</v>
      </c>
      <c r="C17" s="7">
        <f>SUMIFS(Table1[Quantity],Table1[ProductID_Clean],Table20[[#This Row],[ProductID]],Table1[TransactionDate_Clean],"&gt;="&amp;C$2,Table1[TransactionDate_Clean],"&lt;"&amp;EDATE(C$2,1))</f>
        <v>14</v>
      </c>
      <c r="D17" s="7">
        <f>SUMIFS(Table1[Quantity],Table1[ProductID_Clean],Table20[[#This Row],[ProductID]],Table1[TransactionDate_Clean],"&gt;="&amp;D$2,Table1[TransactionDate_Clean],"&lt;"&amp;EDATE(D$2,1))</f>
        <v>22</v>
      </c>
      <c r="E17" s="7">
        <f>SUMIFS(Table1[Quantity],Table1[ProductID_Clean],Table20[[#This Row],[ProductID]],Table1[TransactionDate_Clean],"&gt;"&amp;EOMONTH($E$2,-1),Table1[TransactionDate_Clean],"&lt;="&amp;EOMONTH($E$2,0))</f>
        <v>19</v>
      </c>
      <c r="F17" s="7">
        <f>SUMIFS(Table1[Quantity],Table1[ProductID_Clean],Table20[[#This Row],[ProductID]],Table1[TransactionDate_Clean],"&gt;"&amp;EOMONTH($F$2,-1),Table1[TransactionDate_Clean],"&lt;="&amp;EOMONTH($F$2,0))</f>
        <v>46</v>
      </c>
      <c r="G17" s="7">
        <f>SUMIFS(Table1[Quantity],Table1[ProductID_Clean],Table20[[#This Row],[ProductID]],Table1[TransactionDate_Clean],"&gt;"&amp;EOMONTH($G$2,-1),Table1[TransactionDate_Clean],"&lt;="&amp;EOMONTH($G$2,0))</f>
        <v>85</v>
      </c>
      <c r="H17" s="7">
        <f>SUMIFS(Table1[Quantity],Table1[ProductID_Clean],Table20[[#This Row],[ProductID]],Table1[TransactionDate_Clean],"&gt;"&amp;EOMONTH($H$2,-1),Table1[TransactionDate_Clean],"&lt;="&amp;EOMONTH($H$2,0))</f>
        <v>30</v>
      </c>
      <c r="I17" s="7">
        <f>SUM(Table20[[#This Row],[01/01/2025]:[6/1/2025]])</f>
        <v>216</v>
      </c>
      <c r="K17" s="9"/>
      <c r="L17" s="7"/>
      <c r="M17" s="7"/>
      <c r="N17" s="7"/>
      <c r="O17" s="7"/>
      <c r="P17" s="7"/>
      <c r="Q17" s="7"/>
      <c r="R17" s="7"/>
    </row>
    <row r="18" spans="2:18">
      <c r="B18" s="9" t="s">
        <v>57</v>
      </c>
      <c r="C18" s="7">
        <f>SUMIFS(Table1[Quantity],Table1[ProductID_Clean],Table20[[#This Row],[ProductID]],Table1[TransactionDate_Clean],"&gt;="&amp;C$2,Table1[TransactionDate_Clean],"&lt;"&amp;EDATE(C$2,1))</f>
        <v>32</v>
      </c>
      <c r="D18" s="7">
        <f>SUMIFS(Table1[Quantity],Table1[ProductID_Clean],Table20[[#This Row],[ProductID]],Table1[TransactionDate_Clean],"&gt;="&amp;D$2,Table1[TransactionDate_Clean],"&lt;"&amp;EDATE(D$2,1))</f>
        <v>31</v>
      </c>
      <c r="E18" s="7">
        <f>SUMIFS(Table1[Quantity],Table1[ProductID_Clean],Table20[[#This Row],[ProductID]],Table1[TransactionDate_Clean],"&gt;"&amp;EOMONTH($E$2,-1),Table1[TransactionDate_Clean],"&lt;="&amp;EOMONTH($E$2,0))</f>
        <v>36</v>
      </c>
      <c r="F18" s="7">
        <f>SUMIFS(Table1[Quantity],Table1[ProductID_Clean],Table20[[#This Row],[ProductID]],Table1[TransactionDate_Clean],"&gt;"&amp;EOMONTH($F$2,-1),Table1[TransactionDate_Clean],"&lt;="&amp;EOMONTH($F$2,0))</f>
        <v>58</v>
      </c>
      <c r="G18" s="7">
        <f>SUMIFS(Table1[Quantity],Table1[ProductID_Clean],Table20[[#This Row],[ProductID]],Table1[TransactionDate_Clean],"&gt;"&amp;EOMONTH($G$2,-1),Table1[TransactionDate_Clean],"&lt;="&amp;EOMONTH($G$2,0))</f>
        <v>22</v>
      </c>
      <c r="H18" s="7">
        <f>SUMIFS(Table1[Quantity],Table1[ProductID_Clean],Table20[[#This Row],[ProductID]],Table1[TransactionDate_Clean],"&gt;"&amp;EOMONTH($H$2,-1),Table1[TransactionDate_Clean],"&lt;="&amp;EOMONTH($H$2,0))</f>
        <v>80</v>
      </c>
      <c r="I18" s="7">
        <f>SUM(Table20[[#This Row],[01/01/2025]:[6/1/2025]])</f>
        <v>259</v>
      </c>
      <c r="K18" s="9"/>
      <c r="L18" s="7"/>
      <c r="M18" s="7"/>
      <c r="N18" s="7"/>
      <c r="O18" s="7"/>
      <c r="P18" s="7"/>
      <c r="Q18" s="7"/>
      <c r="R18" s="7"/>
    </row>
    <row r="19" spans="2:18">
      <c r="B19" s="9" t="s">
        <v>43</v>
      </c>
      <c r="C19" s="7">
        <f>SUMIFS(Table1[Quantity],Table1[ProductID_Clean],Table20[[#This Row],[ProductID]],Table1[TransactionDate_Clean],"&gt;="&amp;C$2,Table1[TransactionDate_Clean],"&lt;"&amp;EDATE(C$2,1))</f>
        <v>56</v>
      </c>
      <c r="D19" s="7">
        <f>SUMIFS(Table1[Quantity],Table1[ProductID_Clean],Table20[[#This Row],[ProductID]],Table1[TransactionDate_Clean],"&gt;="&amp;D$2,Table1[TransactionDate_Clean],"&lt;"&amp;EDATE(D$2,1))</f>
        <v>93</v>
      </c>
      <c r="E19" s="7">
        <f>SUMIFS(Table1[Quantity],Table1[ProductID_Clean],Table20[[#This Row],[ProductID]],Table1[TransactionDate_Clean],"&gt;"&amp;EOMONTH($E$2,-1),Table1[TransactionDate_Clean],"&lt;="&amp;EOMONTH($E$2,0))</f>
        <v>82</v>
      </c>
      <c r="F19" s="7">
        <f>SUMIFS(Table1[Quantity],Table1[ProductID_Clean],Table20[[#This Row],[ProductID]],Table1[TransactionDate_Clean],"&gt;"&amp;EOMONTH($F$2,-1),Table1[TransactionDate_Clean],"&lt;="&amp;EOMONTH($F$2,0))</f>
        <v>73</v>
      </c>
      <c r="G19" s="7">
        <f>SUMIFS(Table1[Quantity],Table1[ProductID_Clean],Table20[[#This Row],[ProductID]],Table1[TransactionDate_Clean],"&gt;"&amp;EOMONTH($G$2,-1),Table1[TransactionDate_Clean],"&lt;="&amp;EOMONTH($G$2,0))</f>
        <v>92</v>
      </c>
      <c r="H19" s="7">
        <f>SUMIFS(Table1[Quantity],Table1[ProductID_Clean],Table20[[#This Row],[ProductID]],Table1[TransactionDate_Clean],"&gt;"&amp;EOMONTH($H$2,-1),Table1[TransactionDate_Clean],"&lt;="&amp;EOMONTH($H$2,0))</f>
        <v>122</v>
      </c>
      <c r="I19" s="7">
        <f>SUM(Table20[[#This Row],[01/01/2025]:[6/1/2025]])</f>
        <v>518</v>
      </c>
      <c r="K19" s="9"/>
      <c r="L19" s="7"/>
      <c r="M19" s="7"/>
      <c r="N19" s="7"/>
      <c r="O19" s="7"/>
      <c r="P19" s="7"/>
      <c r="Q19" s="7"/>
      <c r="R19" s="7"/>
    </row>
    <row r="20" spans="2:18">
      <c r="B20" s="9" t="s">
        <v>97</v>
      </c>
      <c r="C20" s="7">
        <f>SUMIFS(Table1[Quantity],Table1[ProductID_Clean],Table20[[#This Row],[ProductID]],Table1[TransactionDate_Clean],"&gt;="&amp;C$2,Table1[TransactionDate_Clean],"&lt;"&amp;EDATE(C$2,1))</f>
        <v>41</v>
      </c>
      <c r="D20" s="7">
        <f>SUMIFS(Table1[Quantity],Table1[ProductID_Clean],Table20[[#This Row],[ProductID]],Table1[TransactionDate_Clean],"&gt;="&amp;D$2,Table1[TransactionDate_Clean],"&lt;"&amp;EDATE(D$2,1))</f>
        <v>80</v>
      </c>
      <c r="E20" s="7">
        <f>SUMIFS(Table1[Quantity],Table1[ProductID_Clean],Table20[[#This Row],[ProductID]],Table1[TransactionDate_Clean],"&gt;"&amp;EOMONTH($E$2,-1),Table1[TransactionDate_Clean],"&lt;="&amp;EOMONTH($E$2,0))</f>
        <v>61</v>
      </c>
      <c r="F20" s="7">
        <f>SUMIFS(Table1[Quantity],Table1[ProductID_Clean],Table20[[#This Row],[ProductID]],Table1[TransactionDate_Clean],"&gt;"&amp;EOMONTH($F$2,-1),Table1[TransactionDate_Clean],"&lt;="&amp;EOMONTH($F$2,0))</f>
        <v>75</v>
      </c>
      <c r="G20" s="7">
        <f>SUMIFS(Table1[Quantity],Table1[ProductID_Clean],Table20[[#This Row],[ProductID]],Table1[TransactionDate_Clean],"&gt;"&amp;EOMONTH($G$2,-1),Table1[TransactionDate_Clean],"&lt;="&amp;EOMONTH($G$2,0))</f>
        <v>57</v>
      </c>
      <c r="H20" s="7">
        <f>SUMIFS(Table1[Quantity],Table1[ProductID_Clean],Table20[[#This Row],[ProductID]],Table1[TransactionDate_Clean],"&gt;"&amp;EOMONTH($H$2,-1),Table1[TransactionDate_Clean],"&lt;="&amp;EOMONTH($H$2,0))</f>
        <v>47</v>
      </c>
      <c r="I20" s="7">
        <f>SUM(Table20[[#This Row],[01/01/2025]:[6/1/2025]])</f>
        <v>361</v>
      </c>
      <c r="K20" s="9"/>
      <c r="L20" s="7"/>
      <c r="M20" s="7"/>
      <c r="N20" s="7"/>
      <c r="O20" s="7"/>
      <c r="P20" s="7"/>
      <c r="Q20" s="7"/>
      <c r="R20" s="7"/>
    </row>
    <row r="21" spans="2:18">
      <c r="B21" s="9" t="s">
        <v>152</v>
      </c>
      <c r="C21" s="7">
        <f>SUMIFS(Table1[Quantity],Table1[ProductID_Clean],Table20[[#This Row],[ProductID]],Table1[TransactionDate_Clean],"&gt;="&amp;C$2,Table1[TransactionDate_Clean],"&lt;"&amp;EDATE(C$2,1))</f>
        <v>49</v>
      </c>
      <c r="D21" s="7">
        <f>SUMIFS(Table1[Quantity],Table1[ProductID_Clean],Table20[[#This Row],[ProductID]],Table1[TransactionDate_Clean],"&gt;="&amp;D$2,Table1[TransactionDate_Clean],"&lt;"&amp;EDATE(D$2,1))</f>
        <v>36</v>
      </c>
      <c r="E21" s="7">
        <f>SUMIFS(Table1[Quantity],Table1[ProductID_Clean],Table20[[#This Row],[ProductID]],Table1[TransactionDate_Clean],"&gt;"&amp;EOMONTH($E$2,-1),Table1[TransactionDate_Clean],"&lt;="&amp;EOMONTH($E$2,0))</f>
        <v>73</v>
      </c>
      <c r="F21" s="7">
        <f>SUMIFS(Table1[Quantity],Table1[ProductID_Clean],Table20[[#This Row],[ProductID]],Table1[TransactionDate_Clean],"&gt;"&amp;EOMONTH($F$2,-1),Table1[TransactionDate_Clean],"&lt;="&amp;EOMONTH($F$2,0))</f>
        <v>40</v>
      </c>
      <c r="G21" s="7">
        <f>SUMIFS(Table1[Quantity],Table1[ProductID_Clean],Table20[[#This Row],[ProductID]],Table1[TransactionDate_Clean],"&gt;"&amp;EOMONTH($G$2,-1),Table1[TransactionDate_Clean],"&lt;="&amp;EOMONTH($G$2,0))</f>
        <v>40</v>
      </c>
      <c r="H21" s="7">
        <f>SUMIFS(Table1[Quantity],Table1[ProductID_Clean],Table20[[#This Row],[ProductID]],Table1[TransactionDate_Clean],"&gt;"&amp;EOMONTH($H$2,-1),Table1[TransactionDate_Clean],"&lt;="&amp;EOMONTH($H$2,0))</f>
        <v>50</v>
      </c>
      <c r="I21" s="7">
        <f>SUM(Table20[[#This Row],[01/01/2025]:[6/1/2025]])</f>
        <v>288</v>
      </c>
      <c r="K21" s="9"/>
      <c r="L21" s="7"/>
      <c r="M21" s="7"/>
      <c r="N21" s="7"/>
      <c r="O21" s="7"/>
      <c r="P21" s="7"/>
      <c r="Q21" s="7"/>
      <c r="R21" s="7"/>
    </row>
    <row r="22" spans="2:18">
      <c r="B22" s="9" t="s">
        <v>2597</v>
      </c>
      <c r="C22" s="7"/>
      <c r="D22" s="7"/>
      <c r="E22" s="7"/>
      <c r="F22" s="7"/>
      <c r="G22" s="7"/>
      <c r="H22" s="7"/>
      <c r="I22" s="7">
        <f>SUBTOTAL(109,Table20[H1 Quantity])</f>
        <v>3470</v>
      </c>
      <c r="K22" s="9"/>
      <c r="L22" s="7"/>
      <c r="M22" s="7"/>
      <c r="N22" s="7"/>
      <c r="O22" s="7"/>
      <c r="P22" s="7"/>
      <c r="Q22" s="7"/>
      <c r="R22" s="7"/>
    </row>
    <row r="25" spans="2:18">
      <c r="B25" s="6" t="s">
        <v>4</v>
      </c>
      <c r="C25" s="30" t="s">
        <v>2639</v>
      </c>
      <c r="D25" s="30" t="s">
        <v>2640</v>
      </c>
      <c r="E25" s="30" t="s">
        <v>2641</v>
      </c>
      <c r="F25" s="30" t="s">
        <v>2642</v>
      </c>
      <c r="G25" s="30" t="s">
        <v>2643</v>
      </c>
      <c r="H25" s="30" t="s">
        <v>2644</v>
      </c>
      <c r="I25" s="11" t="s">
        <v>2661</v>
      </c>
    </row>
    <row r="26" spans="2:18">
      <c r="B26" s="9" t="s">
        <v>133</v>
      </c>
      <c r="C26" s="7">
        <f>SUMIFS(Table4[ActualCost_Clean],Table4[ProductID_Clean],Business_Profitability!B3,Table4[Period_Clean],"2025-01",Table4[CostType],"Variable")</f>
        <v>1126.25</v>
      </c>
      <c r="D26" s="7">
        <f>SUMIFS(Table4[ActualCost_Clean],Table4[ProductID_Clean],Table21[[#This Row],[ProductID]],Table4[Period_Clean],"2025-02",Table4[CostType],"Variable")</f>
        <v>1124.28</v>
      </c>
      <c r="E26" s="7">
        <f>SUMIFS(Table4[ActualCost_Clean],Table4[ProductID_Clean],Table21[[#This Row],[ProductID]],Table4[Period_Clean],"2025-03",Table4[CostType],"Variable")</f>
        <v>1108.08</v>
      </c>
      <c r="F26" s="31">
        <f>SUMIFS(Table4[ActualCost_Clean],Table4[ProductID_Clean],Table21[[#This Row],[ProductID]],Table4[Period_Clean],"2025-04",Table4[CostType],"Variable")</f>
        <v>1123.73</v>
      </c>
      <c r="G26" s="7">
        <f>SUMIFS(Table4[ActualCost_Clean],Table4[ProductID_Clean],Table21[[#This Row],[ProductID]],Table4[Period_Clean],"2025-05",Table4[CostType],"Variable")</f>
        <v>1153.56</v>
      </c>
      <c r="H26" s="7">
        <f>SUMIFS(Table4[ActualCost_Clean],Table4[ProductID_Clean],Table21[[#This Row],[ProductID]],Table4[Period_Clean],"2025-06",Table4[CostType],"Variable")</f>
        <v>1118.05</v>
      </c>
      <c r="I26" s="7"/>
    </row>
    <row r="27" spans="2:18">
      <c r="B27" s="9" t="s">
        <v>81</v>
      </c>
      <c r="C27" s="7">
        <f>SUMIFS(Table4[ActualCost_Clean],Table4[ProductID_Clean],Business_Profitability!B4,Table4[Period_Clean],"2025-01",Table4[CostType],"Variable")</f>
        <v>1263.71</v>
      </c>
      <c r="D27" s="7">
        <f>SUMIFS(Table4[ActualCost_Clean],Table4[ProductID_Clean],Table21[[#This Row],[ProductID]],Table4[Period_Clean],"2025-02",Table4[CostType],"Variable")</f>
        <v>1242.76</v>
      </c>
      <c r="E27" s="7">
        <f>SUMIFS(Table4[ActualCost_Clean],Table4[ProductID_Clean],Table21[[#This Row],[ProductID]],Table4[Period_Clean],"2025-03",Table4[CostType],"Variable")</f>
        <v>1218.76</v>
      </c>
      <c r="F27" s="7">
        <f>SUMIFS(Table4[ActualCost_Clean],Table4[ProductID_Clean],Table21[[#This Row],[ProductID]],Table4[Period_Clean],"2025-04",Table4[CostType],"Variable")</f>
        <v>1247.48</v>
      </c>
      <c r="G27" s="7">
        <f>SUMIFS(Table4[ActualCost_Clean],Table4[ProductID_Clean],Table21[[#This Row],[ProductID]],Table4[Period_Clean],"2025-05",Table4[CostType],"Variable")</f>
        <v>1247.2</v>
      </c>
      <c r="H27" s="7">
        <f>SUMIFS(Table4[ActualCost_Clean],Table4[ProductID_Clean],Table21[[#This Row],[ProductID]],Table4[Period_Clean],"2025-06",Table4[CostType],"Variable")</f>
        <v>1271.29</v>
      </c>
      <c r="I27" s="7"/>
    </row>
    <row r="28" spans="2:18">
      <c r="B28" s="9" t="s">
        <v>216</v>
      </c>
      <c r="C28" s="7">
        <f>SUMIFS(Table4[ActualCost_Clean],Table4[ProductID_Clean],Business_Profitability!B5,Table4[Period_Clean],"2025-01",Table4[CostType],"Variable")</f>
        <v>2111.06</v>
      </c>
      <c r="D28" s="7">
        <f>SUMIFS(Table4[ActualCost_Clean],Table4[ProductID_Clean],Table21[[#This Row],[ProductID]],Table4[Period_Clean],"2025-02",Table4[CostType],"Variable")</f>
        <v>2067.25</v>
      </c>
      <c r="E28" s="7">
        <f>SUMIFS(Table4[ActualCost_Clean],Table4[ProductID_Clean],Table21[[#This Row],[ProductID]],Table4[Period_Clean],"2025-03",Table4[CostType],"Variable")</f>
        <v>2105</v>
      </c>
      <c r="F28" s="7">
        <f>SUMIFS(Table4[ActualCost_Clean],Table4[ProductID_Clean],Table21[[#This Row],[ProductID]],Table4[Period_Clean],"2025-04",Table4[CostType],"Variable")</f>
        <v>2112.37</v>
      </c>
      <c r="G28" s="7">
        <f>SUMIFS(Table4[ActualCost_Clean],Table4[ProductID_Clean],Table21[[#This Row],[ProductID]],Table4[Period_Clean],"2025-05",Table4[CostType],"Variable")</f>
        <v>2122.36</v>
      </c>
      <c r="H28" s="7">
        <f>SUMIFS(Table4[ActualCost_Clean],Table4[ProductID_Clean],Table21[[#This Row],[ProductID]],Table4[Period_Clean],"2025-06",Table4[CostType],"Variable")</f>
        <v>2152.2199999999998</v>
      </c>
      <c r="I28" s="7"/>
    </row>
    <row r="29" spans="2:18">
      <c r="B29" s="9" t="s">
        <v>432</v>
      </c>
      <c r="C29" s="7">
        <f>SUMIFS(Table4[ActualCost_Clean],Table4[ProductID_Clean],Business_Profitability!B6,Table4[Period_Clean],"2025-01",Table4[CostType],"Variable")</f>
        <v>2021.96</v>
      </c>
      <c r="D29" s="7">
        <f>SUMIFS(Table4[ActualCost_Clean],Table4[ProductID_Clean],Table21[[#This Row],[ProductID]],Table4[Period_Clean],"2025-02",Table4[CostType],"Variable")</f>
        <v>2067.88</v>
      </c>
      <c r="E29" s="7">
        <f>SUMIFS(Table4[ActualCost_Clean],Table4[ProductID_Clean],Table21[[#This Row],[ProductID]],Table4[Period_Clean],"2025-03",Table4[CostType],"Variable")</f>
        <v>2041.18</v>
      </c>
      <c r="F29" s="7">
        <f>SUMIFS(Table4[ActualCost_Clean],Table4[ProductID_Clean],Table21[[#This Row],[ProductID]],Table4[Period_Clean],"2025-04",Table4[CostType],"Variable")</f>
        <v>2023.48</v>
      </c>
      <c r="G29" s="7">
        <f>SUMIFS(Table4[ActualCost_Clean],Table4[ProductID_Clean],Table21[[#This Row],[ProductID]],Table4[Period_Clean],"2025-05",Table4[CostType],"Variable")</f>
        <v>2070.92</v>
      </c>
      <c r="H29" s="7">
        <f>SUMIFS(Table4[ActualCost_Clean],Table4[ProductID_Clean],Table21[[#This Row],[ProductID]],Table4[Period_Clean],"2025-06",Table4[CostType],"Variable")</f>
        <v>2059.7800000000002</v>
      </c>
      <c r="I29" s="7"/>
    </row>
    <row r="30" spans="2:18">
      <c r="B30" s="9" t="s">
        <v>101</v>
      </c>
      <c r="C30" s="7">
        <f>SUMIFS(Table4[ActualCost_Clean],Table4[ProductID_Clean],Business_Profitability!B7,Table4[Period_Clean],"2025-01",Table4[CostType],"Variable")</f>
        <v>408.11</v>
      </c>
      <c r="D30" s="7">
        <f>SUMIFS(Table4[ActualCost_Clean],Table4[ProductID_Clean],Table21[[#This Row],[ProductID]],Table4[Period_Clean],"2025-02",Table4[CostType],"Variable")</f>
        <v>432.84</v>
      </c>
      <c r="E30" s="7">
        <f>SUMIFS(Table4[ActualCost_Clean],Table4[ProductID_Clean],Table21[[#This Row],[ProductID]],Table4[Period_Clean],"2025-03",Table4[CostType],"Variable")</f>
        <v>436.29</v>
      </c>
      <c r="F30" s="7">
        <f>SUMIFS(Table4[ActualCost_Clean],Table4[ProductID_Clean],Table21[[#This Row],[ProductID]],Table4[Period_Clean],"2025-04",Table4[CostType],"Variable")</f>
        <v>443.31</v>
      </c>
      <c r="G30" s="7">
        <f>SUMIFS(Table4[ActualCost_Clean],Table4[ProductID_Clean],Table21[[#This Row],[ProductID]],Table4[Period_Clean],"2025-05",Table4[CostType],"Variable")</f>
        <v>440.54</v>
      </c>
      <c r="H30" s="7">
        <f>SUMIFS(Table4[ActualCost_Clean],Table4[ProductID_Clean],Table21[[#This Row],[ProductID]],Table4[Period_Clean],"2025-06",Table4[CostType],"Variable")</f>
        <v>410.71</v>
      </c>
      <c r="I30" s="7"/>
    </row>
    <row r="31" spans="2:18">
      <c r="B31" s="9" t="s">
        <v>92</v>
      </c>
      <c r="C31" s="7">
        <f>SUMIFS(Table4[ActualCost_Clean],Table4[ProductID_Clean],Business_Profitability!B8,Table4[Period_Clean],"2025-01",Table4[CostType],"Variable")</f>
        <v>391.05</v>
      </c>
      <c r="D31" s="7">
        <f>SUMIFS(Table4[ActualCost_Clean],Table4[ProductID_Clean],Table21[[#This Row],[ProductID]],Table4[Period_Clean],"2025-02",Table4[CostType],"Variable")</f>
        <v>384.2</v>
      </c>
      <c r="E31" s="7">
        <f>SUMIFS(Table4[ActualCost_Clean],Table4[ProductID_Clean],Table21[[#This Row],[ProductID]],Table4[Period_Clean],"2025-03",Table4[CostType],"Variable")</f>
        <v>394.02</v>
      </c>
      <c r="F31" s="7">
        <f>SUMIFS(Table4[ActualCost_Clean],Table4[ProductID_Clean],Table21[[#This Row],[ProductID]],Table4[Period_Clean],"2025-04",Table4[CostType],"Variable")</f>
        <v>403.88</v>
      </c>
      <c r="G31" s="7">
        <f>SUMIFS(Table4[ActualCost_Clean],Table4[ProductID_Clean],Table21[[#This Row],[ProductID]],Table4[Period_Clean],"2025-05",Table4[CostType],"Variable")</f>
        <v>396.34</v>
      </c>
      <c r="H31" s="7">
        <f>SUMIFS(Table4[ActualCost_Clean],Table4[ProductID_Clean],Table21[[#This Row],[ProductID]],Table4[Period_Clean],"2025-06",Table4[CostType],"Variable")</f>
        <v>380.07</v>
      </c>
      <c r="I31" s="7"/>
    </row>
    <row r="32" spans="2:18">
      <c r="B32" s="9" t="s">
        <v>68</v>
      </c>
      <c r="C32" s="7">
        <f>SUMIFS(Table4[ActualCost_Clean],Table4[ProductID_Clean],Business_Profitability!B9,Table4[Period_Clean],"2025-01",Table4[CostType],"Variable")</f>
        <v>200.94</v>
      </c>
      <c r="D32" s="7">
        <f>SUMIFS(Table4[ActualCost_Clean],Table4[ProductID_Clean],Table21[[#This Row],[ProductID]],Table4[Period_Clean],"2025-02",Table4[CostType],"Variable")</f>
        <v>191.36</v>
      </c>
      <c r="E32" s="7">
        <f>SUMIFS(Table4[ActualCost_Clean],Table4[ProductID_Clean],Table21[[#This Row],[ProductID]],Table4[Period_Clean],"2025-03",Table4[CostType],"Variable")</f>
        <v>190.46</v>
      </c>
      <c r="F32" s="7">
        <f>SUMIFS(Table4[ActualCost_Clean],Table4[ProductID_Clean],Table21[[#This Row],[ProductID]],Table4[Period_Clean],"2025-04",Table4[CostType],"Variable")</f>
        <v>178.94</v>
      </c>
      <c r="G32" s="7">
        <f>SUMIFS(Table4[ActualCost_Clean],Table4[ProductID_Clean],Table21[[#This Row],[ProductID]],Table4[Period_Clean],"2025-05",Table4[CostType],"Variable")</f>
        <v>191.33</v>
      </c>
      <c r="H32" s="7">
        <f>SUMIFS(Table4[ActualCost_Clean],Table4[ProductID_Clean],Table21[[#This Row],[ProductID]],Table4[Period_Clean],"2025-06",Table4[CostType],"Variable")</f>
        <v>183.44</v>
      </c>
      <c r="I32" s="7"/>
    </row>
    <row r="33" spans="2:11">
      <c r="B33" s="9" t="s">
        <v>147</v>
      </c>
      <c r="C33" s="7">
        <f>SUMIFS(Table4[ActualCost_Clean],Table4[ProductID_Clean],Business_Profitability!B10,Table4[Period_Clean],"2025-01",Table4[CostType],"Variable")</f>
        <v>403.51</v>
      </c>
      <c r="D33" s="7">
        <f>SUMIFS(Table4[ActualCost_Clean],Table4[ProductID_Clean],Table21[[#This Row],[ProductID]],Table4[Period_Clean],"2025-02",Table4[CostType],"Variable")</f>
        <v>393.51</v>
      </c>
      <c r="E33" s="7">
        <f>SUMIFS(Table4[ActualCost_Clean],Table4[ProductID_Clean],Table21[[#This Row],[ProductID]],Table4[Period_Clean],"2025-03",Table4[CostType],"Variable")</f>
        <v>392.18</v>
      </c>
      <c r="F33" s="7">
        <f>SUMIFS(Table4[ActualCost_Clean],Table4[ProductID_Clean],Table21[[#This Row],[ProductID]],Table4[Period_Clean],"2025-04",Table4[CostType],"Variable")</f>
        <v>395.9</v>
      </c>
      <c r="G33" s="7">
        <f>SUMIFS(Table4[ActualCost_Clean],Table4[ProductID_Clean],Table21[[#This Row],[ProductID]],Table4[Period_Clean],"2025-05",Table4[CostType],"Variable")</f>
        <v>407.64</v>
      </c>
      <c r="H33" s="7">
        <f>SUMIFS(Table4[ActualCost_Clean],Table4[ProductID_Clean],Table21[[#This Row],[ProductID]],Table4[Period_Clean],"2025-06",Table4[CostType],"Variable")</f>
        <v>403.67</v>
      </c>
      <c r="I33" s="7"/>
    </row>
    <row r="34" spans="2:11">
      <c r="B34" s="9" t="s">
        <v>51</v>
      </c>
      <c r="C34" s="7">
        <f>SUMIFS(Table4[ActualCost_Clean],Table4[ProductID_Clean],Business_Profitability!B11,Table4[Period_Clean],"2025-01",Table4[CostType],"Variable")</f>
        <v>93.7</v>
      </c>
      <c r="D34" s="7">
        <f>SUMIFS(Table4[ActualCost_Clean],Table4[ProductID_Clean],Table21[[#This Row],[ProductID]],Table4[Period_Clean],"2025-02",Table4[CostType],"Variable")</f>
        <v>96.82</v>
      </c>
      <c r="E34" s="7">
        <f>SUMIFS(Table4[ActualCost_Clean],Table4[ProductID_Clean],Table21[[#This Row],[ProductID]],Table4[Period_Clean],"2025-03",Table4[CostType],"Variable")</f>
        <v>102.15</v>
      </c>
      <c r="F34" s="7">
        <f>SUMIFS(Table4[ActualCost_Clean],Table4[ProductID_Clean],Table21[[#This Row],[ProductID]],Table4[Period_Clean],"2025-04",Table4[CostType],"Variable")</f>
        <v>94.46</v>
      </c>
      <c r="G34" s="7">
        <f>SUMIFS(Table4[ActualCost_Clean],Table4[ProductID_Clean],Table21[[#This Row],[ProductID]],Table4[Period_Clean],"2025-05",Table4[CostType],"Variable")</f>
        <v>92.44</v>
      </c>
      <c r="H34" s="7">
        <f>SUMIFS(Table4[ActualCost_Clean],Table4[ProductID_Clean],Table21[[#This Row],[ProductID]],Table4[Period_Clean],"2025-06",Table4[CostType],"Variable")</f>
        <v>95.52</v>
      </c>
      <c r="I34" s="7"/>
    </row>
    <row r="35" spans="2:11">
      <c r="B35" s="9" t="s">
        <v>86</v>
      </c>
      <c r="C35" s="7">
        <f>SUMIFS(Table4[ActualCost_Clean],Table4[ProductID_Clean],Business_Profitability!B12,Table4[Period_Clean],"2025-01",Table4[CostType],"Variable")</f>
        <v>66.33</v>
      </c>
      <c r="D35" s="7">
        <f>SUMIFS(Table4[ActualCost_Clean],Table4[ProductID_Clean],Table21[[#This Row],[ProductID]],Table4[Period_Clean],"2025-02",Table4[CostType],"Variable")</f>
        <v>69.849999999999994</v>
      </c>
      <c r="E35" s="7">
        <f>SUMIFS(Table4[ActualCost_Clean],Table4[ProductID_Clean],Table21[[#This Row],[ProductID]],Table4[Period_Clean],"2025-03",Table4[CostType],"Variable")</f>
        <v>67.67</v>
      </c>
      <c r="F35" s="7">
        <f>SUMIFS(Table4[ActualCost_Clean],Table4[ProductID_Clean],Table21[[#This Row],[ProductID]],Table4[Period_Clean],"2025-04",Table4[CostType],"Variable")</f>
        <v>62.98</v>
      </c>
      <c r="G35" s="7">
        <f>SUMIFS(Table4[ActualCost_Clean],Table4[ProductID_Clean],Table21[[#This Row],[ProductID]],Table4[Period_Clean],"2025-05",Table4[CostType],"Variable")</f>
        <v>64.709999999999994</v>
      </c>
      <c r="H35" s="7">
        <f>SUMIFS(Table4[ActualCost_Clean],Table4[ProductID_Clean],Table21[[#This Row],[ProductID]],Table4[Period_Clean],"2025-06",Table4[CostType],"Variable")</f>
        <v>64.45</v>
      </c>
      <c r="I35" s="7"/>
    </row>
    <row r="36" spans="2:11">
      <c r="B36" s="9" t="s">
        <v>62</v>
      </c>
      <c r="C36" s="7">
        <v>143.6</v>
      </c>
      <c r="D36" s="7">
        <f>SUMIFS(Table4[ActualCost_Clean],Table4[ProductID_Clean],Table21[[#This Row],[ProductID]],Table4[Period_Clean],"2025-02",Table4[CostType],"Variable")</f>
        <v>140.63</v>
      </c>
      <c r="E36" s="7">
        <f>SUMIFS(Table4[ActualCost_Clean],Table4[ProductID_Clean],Table21[[#This Row],[ProductID]],Table4[Period_Clean],"2025-03",Table4[CostType],"Variable")</f>
        <v>146.57</v>
      </c>
      <c r="F36" s="7">
        <f>SUMIFS(Table4[ActualCost_Clean],Table4[ProductID_Clean],Table21[[#This Row],[ProductID]],Table4[Period_Clean],"2025-04",Table4[CostType],"Variable")</f>
        <v>143.72999999999999</v>
      </c>
      <c r="G36" s="7">
        <f>SUMIFS(Table4[ActualCost_Clean],Table4[ProductID_Clean],Table21[[#This Row],[ProductID]],Table4[Period_Clean],"2025-05",Table4[CostType],"Variable")</f>
        <v>146.06</v>
      </c>
      <c r="H36" s="7">
        <f>SUMIFS(Table4[ActualCost_Clean],Table4[ProductID_Clean],Table21[[#This Row],[ProductID]],Table4[Period_Clean],"2025-06",Table4[CostType],"Variable")</f>
        <v>142.15</v>
      </c>
      <c r="I36" s="7"/>
    </row>
    <row r="37" spans="2:11">
      <c r="B37" s="9" t="s">
        <v>72</v>
      </c>
      <c r="C37" s="7">
        <f>SUMIFS(Table4[ActualCost_Clean],Table4[ProductID_Clean],Business_Profitability!B14,Table4[Period_Clean],"2025-01",Table4[CostType],"Variable")</f>
        <v>185.89</v>
      </c>
      <c r="D37" s="7">
        <v>190.57499999999999</v>
      </c>
      <c r="E37" s="7">
        <f>SUMIFS(Table4[ActualCost_Clean],Table4[ProductID_Clean],Table21[[#This Row],[ProductID]],Table4[Period_Clean],"2025-03",Table4[CostType],"Variable")</f>
        <v>195.26</v>
      </c>
      <c r="F37" s="7">
        <f>SUMIFS(Table4[ActualCost_Clean],Table4[ProductID_Clean],Table21[[#This Row],[ProductID]],Table4[Period_Clean],"2025-04",Table4[CostType],"Variable")</f>
        <v>185.52</v>
      </c>
      <c r="G37" s="7">
        <f>SUMIFS(Table4[ActualCost_Clean],Table4[ProductID_Clean],Table21[[#This Row],[ProductID]],Table4[Period_Clean],"2025-05",Table4[CostType],"Variable")</f>
        <v>188.04</v>
      </c>
      <c r="H37" s="7">
        <f>SUMIFS(Table4[ActualCost_Clean],Table4[ProductID_Clean],Table21[[#This Row],[ProductID]],Table4[Period_Clean],"2025-06",Table4[CostType],"Variable")</f>
        <v>181.78</v>
      </c>
      <c r="I37" s="7"/>
    </row>
    <row r="38" spans="2:11">
      <c r="B38" s="9" t="s">
        <v>31</v>
      </c>
      <c r="C38" s="7">
        <f>SUMIFS(Table4[ActualCost_Clean],Table4[ProductID_Clean],Business_Profitability!B15,Table4[Period_Clean],"2025-01",Table4[CostType],"Variable")</f>
        <v>304.11</v>
      </c>
      <c r="D38" s="7">
        <f>SUMIFS(Table4[ActualCost_Clean],Table4[ProductID_Clean],Table21[[#This Row],[ProductID]],Table4[Period_Clean],"2025-02",Table4[CostType],"Variable")</f>
        <v>285.66000000000003</v>
      </c>
      <c r="E38" s="7">
        <f>SUMIFS(Table4[ActualCost_Clean],Table4[ProductID_Clean],Table21[[#This Row],[ProductID]],Table4[Period_Clean],"2025-03",Table4[CostType],"Variable")</f>
        <v>288.19</v>
      </c>
      <c r="F38" s="7">
        <f>SUMIFS(Table4[ActualCost_Clean],Table4[ProductID_Clean],Table21[[#This Row],[ProductID]],Table4[Period_Clean],"2025-04",Table4[CostType],"Variable")</f>
        <v>308.39</v>
      </c>
      <c r="G38" s="7">
        <f>SUMIFS(Table4[ActualCost_Clean],Table4[ProductID_Clean],Table21[[#This Row],[ProductID]],Table4[Period_Clean],"2025-05",Table4[CostType],"Variable")</f>
        <v>312.18</v>
      </c>
      <c r="H38" s="7">
        <f>SUMIFS(Table4[ActualCost_Clean],Table4[ProductID_Clean],Table21[[#This Row],[ProductID]],Table4[Period_Clean],"2025-06",Table4[CostType],"Variable")</f>
        <v>316.85000000000002</v>
      </c>
      <c r="I38" s="7"/>
    </row>
    <row r="39" spans="2:11">
      <c r="B39" s="9" t="s">
        <v>39</v>
      </c>
      <c r="C39" s="7">
        <f>SUMIFS(Table4[ActualCost_Clean],Table4[ProductID_Clean],Business_Profitability!B16,Table4[Period_Clean],"2025-01",Table4[CostType],"Variable")</f>
        <v>794.9</v>
      </c>
      <c r="D39" s="7">
        <f>SUMIFS(Table4[ActualCost_Clean],Table4[ProductID_Clean],Table21[[#This Row],[ProductID]],Table4[Period_Clean],"2025-02",Table4[CostType],"Variable")</f>
        <v>811.01</v>
      </c>
      <c r="E39" s="7">
        <f>SUMIFS(Table4[ActualCost_Clean],Table4[ProductID_Clean],Table21[[#This Row],[ProductID]],Table4[Period_Clean],"2025-03",Table4[CostType],"Variable")</f>
        <v>782.95</v>
      </c>
      <c r="F39" s="7">
        <f>SUMIFS(Table4[ActualCost_Clean],Table4[ProductID_Clean],Table21[[#This Row],[ProductID]],Table4[Period_Clean],"2025-04",Table4[CostType],"Variable")</f>
        <v>784.39</v>
      </c>
      <c r="G39" s="7">
        <f>SUMIFS(Table4[ActualCost_Clean],Table4[ProductID_Clean],Table21[[#This Row],[ProductID]],Table4[Period_Clean],"2025-05",Table4[CostType],"Variable")</f>
        <v>799.24</v>
      </c>
      <c r="H39" s="7">
        <f>SUMIFS(Table4[ActualCost_Clean],Table4[ProductID_Clean],Table21[[#This Row],[ProductID]],Table4[Period_Clean],"2025-06",Table4[CostType],"Variable")</f>
        <v>820.79</v>
      </c>
      <c r="I39" s="7"/>
    </row>
    <row r="40" spans="2:11">
      <c r="B40" s="9" t="s">
        <v>22</v>
      </c>
      <c r="C40" s="7">
        <f>SUMIFS(Table4[ActualCost_Clean],Table4[ProductID_Clean],Business_Profitability!B17,Table4[Period_Clean],"2025-01",Table4[CostType],"Variable")</f>
        <v>1136.02</v>
      </c>
      <c r="D40" s="7">
        <f>SUMIFS(Table4[ActualCost_Clean],Table4[ProductID_Clean],Table21[[#This Row],[ProductID]],Table4[Period_Clean],"2025-02",Table4[CostType],"Variable")</f>
        <v>1134.42</v>
      </c>
      <c r="E40" s="7">
        <f>SUMIFS(Table4[ActualCost_Clean],Table4[ProductID_Clean],Table21[[#This Row],[ProductID]],Table4[Period_Clean],"2025-03",Table4[CostType],"Variable")</f>
        <v>1148.77</v>
      </c>
      <c r="F40" s="7">
        <v>1146.53</v>
      </c>
      <c r="G40" s="7">
        <f>SUMIFS(Table4[ActualCost_Clean],Table4[ProductID_Clean],Table21[[#This Row],[ProductID]],Table4[Period_Clean],"2025-05",Table4[CostType],"Variable")</f>
        <v>1144.29</v>
      </c>
      <c r="H40" s="7">
        <f>SUMIFS(Table4[ActualCost_Clean],Table4[ProductID_Clean],Table21[[#This Row],[ProductID]],Table4[Period_Clean],"2025-06",Table4[CostType],"Variable")</f>
        <v>1179.68</v>
      </c>
      <c r="I40" s="7"/>
    </row>
    <row r="41" spans="2:11">
      <c r="B41" s="9" t="s">
        <v>57</v>
      </c>
      <c r="C41" s="7">
        <f>SUMIFS(Table4[ActualCost_Clean],Table4[ProductID_Clean],Business_Profitability!B18,Table4[Period_Clean],"2025-01",Table4[CostType],"Variable")</f>
        <v>442.85</v>
      </c>
      <c r="D41" s="7">
        <f>SUMIFS(Table4[ActualCost_Clean],Table4[ProductID_Clean],Table21[[#This Row],[ProductID]],Table4[Period_Clean],"2025-02",Table4[CostType],"Variable")</f>
        <v>448.54</v>
      </c>
      <c r="E41" s="7">
        <f>SUMIFS(Table4[ActualCost_Clean],Table4[ProductID_Clean],Table21[[#This Row],[ProductID]],Table4[Period_Clean],"2025-03",Table4[CostType],"Variable")</f>
        <v>432.66</v>
      </c>
      <c r="F41" s="7">
        <f>SUMIFS(Table4[ActualCost_Clean],Table4[ProductID_Clean],Table21[[#This Row],[ProductID]],Table4[Period_Clean],"2025-04",Table4[CostType],"Variable")</f>
        <v>432.36</v>
      </c>
      <c r="G41" s="7">
        <f>SUMIFS(Table4[ActualCost_Clean],Table4[ProductID_Clean],Table21[[#This Row],[ProductID]],Table4[Period_Clean],"2025-05",Table4[CostType],"Variable")</f>
        <v>460.77</v>
      </c>
      <c r="H41" s="7">
        <f>SUMIFS(Table4[ActualCost_Clean],Table4[ProductID_Clean],Table21[[#This Row],[ProductID]],Table4[Period_Clean],"2025-06",Table4[CostType],"Variable")</f>
        <v>430.31</v>
      </c>
      <c r="I41" s="7"/>
    </row>
    <row r="42" spans="2:11">
      <c r="B42" s="9" t="s">
        <v>43</v>
      </c>
      <c r="C42" s="7">
        <f>SUMIFS(Table4[ActualCost_Clean],Table4[ProductID_Clean],Business_Profitability!B19,Table4[Period_Clean],"2025-01",Table4[CostType],"Variable")</f>
        <v>97.08</v>
      </c>
      <c r="D42" s="7">
        <f>SUMIFS(Table4[ActualCost_Clean],Table4[ProductID_Clean],Table21[[#This Row],[ProductID]],Table4[Period_Clean],"2025-02",Table4[CostType],"Variable")</f>
        <v>92.95</v>
      </c>
      <c r="E42" s="7">
        <f>SUMIFS(Table4[ActualCost_Clean],Table4[ProductID_Clean],Table21[[#This Row],[ProductID]],Table4[Period_Clean],"2025-03",Table4[CostType],"Variable")</f>
        <v>95.06</v>
      </c>
      <c r="F42" s="7">
        <f>SUMIFS(Table4[ActualCost_Clean],Table4[ProductID_Clean],Table21[[#This Row],[ProductID]],Table4[Period_Clean],"2025-04",Table4[CostType],"Variable")</f>
        <v>96.12</v>
      </c>
      <c r="G42" s="7">
        <f>SUMIFS(Table4[ActualCost_Clean],Table4[ProductID_Clean],Table21[[#This Row],[ProductID]],Table4[Period_Clean],"2025-05",Table4[CostType],"Variable")</f>
        <v>99.61</v>
      </c>
      <c r="H42" s="7">
        <f>SUMIFS(Table4[ActualCost_Clean],Table4[ProductID_Clean],Table21[[#This Row],[ProductID]],Table4[Period_Clean],"2025-06",Table4[CostType],"Variable")</f>
        <v>91.18</v>
      </c>
      <c r="I42" s="7"/>
    </row>
    <row r="43" spans="2:11">
      <c r="B43" s="9" t="s">
        <v>97</v>
      </c>
      <c r="C43" s="7">
        <f>SUMIFS(Table4[ActualCost_Clean],Table4[ProductID_Clean],Business_Profitability!B20,Table4[Period_Clean],"2025-01",Table4[CostType],"Variable")</f>
        <v>444.44</v>
      </c>
      <c r="D43" s="7">
        <f>SUMIFS(Table4[ActualCost_Clean],Table4[ProductID_Clean],Table21[[#This Row],[ProductID]],Table4[Period_Clean],"2025-02",Table4[CostType],"Variable")</f>
        <v>439.84</v>
      </c>
      <c r="E43" s="7">
        <f>SUMIFS(Table4[ActualCost_Clean],Table4[ProductID_Clean],Table21[[#This Row],[ProductID]],Table4[Period_Clean],"2025-03",Table4[CostType],"Variable")</f>
        <v>439.77</v>
      </c>
      <c r="F43" s="7">
        <f>SUMIFS(Table4[ActualCost_Clean],Table4[ProductID_Clean],Table21[[#This Row],[ProductID]],Table4[Period_Clean],"2025-04",Table4[CostType],"Variable")</f>
        <v>447.5</v>
      </c>
      <c r="G43" s="7">
        <f>SUMIFS(Table4[ActualCost_Clean],Table4[ProductID_Clean],Table21[[#This Row],[ProductID]],Table4[Period_Clean],"2025-05",Table4[CostType],"Variable")</f>
        <v>452.35</v>
      </c>
      <c r="H43" s="7">
        <f>SUMIFS(Table4[ActualCost_Clean],Table4[ProductID_Clean],Table21[[#This Row],[ProductID]],Table4[Period_Clean],"2025-06",Table4[CostType],"Variable")</f>
        <v>458.23</v>
      </c>
      <c r="I43" s="7"/>
    </row>
    <row r="44" spans="2:11">
      <c r="B44" s="9" t="s">
        <v>152</v>
      </c>
      <c r="C44" s="7">
        <f>SUMIFS(Table4[ActualCost_Clean],Table4[ProductID_Clean],Business_Profitability!B21,Table4[Period_Clean],"2025-01",Table4[CostType],"Variable")</f>
        <v>386.6</v>
      </c>
      <c r="D44" s="7">
        <f>SUMIFS(Table4[ActualCost_Clean],Table4[ProductID_Clean],Table21[[#This Row],[ProductID]],Table4[Period_Clean],"2025-02",Table4[CostType],"Variable")</f>
        <v>403.12</v>
      </c>
      <c r="E44" s="7">
        <f>SUMIFS(Table4[ActualCost_Clean],Table4[ProductID_Clean],Table21[[#This Row],[ProductID]],Table4[Period_Clean],"2025-03",Table4[CostType],"Variable")</f>
        <v>375.71</v>
      </c>
      <c r="F44" s="7">
        <f>SUMIFS(Table4[ActualCost_Clean],Table4[ProductID_Clean],Table21[[#This Row],[ProductID]],Table4[Period_Clean],"2025-04",Table4[CostType],"Variable")</f>
        <v>381.31</v>
      </c>
      <c r="G44" s="7">
        <f>SUMIFS(Table4[ActualCost_Clean],Table4[ProductID_Clean],Table21[[#This Row],[ProductID]],Table4[Period_Clean],"2025-05",Table4[CostType],"Variable")</f>
        <v>396.55</v>
      </c>
      <c r="H44" s="7">
        <f>SUMIFS(Table4[ActualCost_Clean],Table4[ProductID_Clean],Table21[[#This Row],[ProductID]],Table4[Period_Clean],"2025-06",Table4[CostType],"Variable")</f>
        <v>408.48</v>
      </c>
      <c r="I44" s="7"/>
    </row>
    <row r="45" spans="2:11">
      <c r="B45" s="12"/>
      <c r="C45" s="7"/>
      <c r="D45" s="7"/>
      <c r="E45" s="7"/>
      <c r="F45" s="7"/>
      <c r="G45" s="7"/>
      <c r="H45" s="7"/>
      <c r="I45" s="7"/>
    </row>
    <row r="46" spans="2:11">
      <c r="B46" t="s">
        <v>2646</v>
      </c>
      <c r="E46" s="7"/>
      <c r="F46" s="7"/>
    </row>
    <row r="48" spans="2:11" ht="30">
      <c r="B48" s="6" t="s">
        <v>4</v>
      </c>
      <c r="C48" s="28" t="s">
        <v>2633</v>
      </c>
      <c r="D48" s="28" t="s">
        <v>2634</v>
      </c>
      <c r="E48" s="28" t="s">
        <v>2635</v>
      </c>
      <c r="F48" s="28" t="s">
        <v>2636</v>
      </c>
      <c r="G48" s="28" t="s">
        <v>2637</v>
      </c>
      <c r="H48" s="28" t="s">
        <v>2638</v>
      </c>
      <c r="I48" s="8" t="s">
        <v>2645</v>
      </c>
      <c r="J48" s="28" t="s">
        <v>2044</v>
      </c>
      <c r="K48" s="28" t="s">
        <v>2658</v>
      </c>
    </row>
    <row r="49" spans="2:23" ht="15" customHeight="1">
      <c r="B49" s="9" t="s">
        <v>133</v>
      </c>
      <c r="C49" s="7">
        <f>Business_Profitability!C3*Business_Profitability!C26</f>
        <v>6757.5</v>
      </c>
      <c r="D49" s="7">
        <f>Business_Profitability!D3*Business_Profitability!D26</f>
        <v>7869.96</v>
      </c>
      <c r="E49" s="7">
        <f>Business_Profitability!E3*Business_Profitability!E26</f>
        <v>11080.8</v>
      </c>
      <c r="F49" s="7">
        <f>Business_Profitability!F3*Business_Profitability!F26</f>
        <v>7866.1100000000006</v>
      </c>
      <c r="G49" s="7">
        <f>Business_Profitability!G3*Business_Profitability!G26</f>
        <v>10382.039999999999</v>
      </c>
      <c r="H49" s="7">
        <f>Business_Profitability!H3*Business_Profitability!H26</f>
        <v>12298.55</v>
      </c>
      <c r="I49" s="7">
        <f>SUM(Tbl_VariableCost[[#This Row],[25-Jan]:[25-Jun]])</f>
        <v>56254.959999999992</v>
      </c>
      <c r="J49" s="7" t="str">
        <f>_xlfn.XLOOKUP(Tbl_VariableCost[[#This Row],[ProductID]],Table3[ProductID],Table3[BU],,0)</f>
        <v>Field Services</v>
      </c>
      <c r="K49" s="7" t="str">
        <f>_xlfn.XLOOKUP(Tbl_VariableCost[[#This Row],[ProductID]],Table3[ProductID],Table3[Category_Clean],,0)</f>
        <v>Services</v>
      </c>
    </row>
    <row r="50" spans="2:23" ht="15" customHeight="1">
      <c r="B50" s="9" t="s">
        <v>81</v>
      </c>
      <c r="C50" s="7">
        <f>Business_Profitability!C4*Business_Profitability!C27</f>
        <v>13900.810000000001</v>
      </c>
      <c r="D50" s="7">
        <f>Business_Profitability!D4*Business_Profitability!D27</f>
        <v>1242.76</v>
      </c>
      <c r="E50" s="7">
        <f>Business_Profitability!E4*Business_Profitability!E27</f>
        <v>8531.32</v>
      </c>
      <c r="F50" s="7">
        <f>Business_Profitability!F4*Business_Profitability!F27</f>
        <v>11227.32</v>
      </c>
      <c r="G50" s="7">
        <f>Business_Profitability!G4*Business_Profitability!G27</f>
        <v>21202.400000000001</v>
      </c>
      <c r="H50" s="7">
        <f>Business_Profitability!H4*Business_Profitability!H27</f>
        <v>7627.74</v>
      </c>
      <c r="I50" s="7">
        <f>SUM(Tbl_VariableCost[[#This Row],[25-Jan]:[25-Jun]])</f>
        <v>63732.35</v>
      </c>
      <c r="J50" s="7" t="str">
        <f>_xlfn.XLOOKUP(Tbl_VariableCost[[#This Row],[ProductID]],Table3[ProductID],Table3[BU],,0)</f>
        <v>Field Services</v>
      </c>
      <c r="K50" s="7" t="str">
        <f>_xlfn.XLOOKUP(Tbl_VariableCost[[#This Row],[ProductID]],Table3[ProductID],Table3[Category_Clean],,0)</f>
        <v>Services</v>
      </c>
    </row>
    <row r="51" spans="2:23" ht="15" customHeight="1">
      <c r="B51" s="9" t="s">
        <v>216</v>
      </c>
      <c r="C51" s="7">
        <f>Business_Profitability!C5*Business_Profitability!C28</f>
        <v>4222.12</v>
      </c>
      <c r="D51" s="7">
        <f>Business_Profitability!D5*Business_Profitability!D28</f>
        <v>0</v>
      </c>
      <c r="E51" s="7">
        <f>Business_Profitability!E5*Business_Profitability!E28</f>
        <v>12630</v>
      </c>
      <c r="F51" s="7">
        <f>Business_Profitability!F5*Business_Profitability!F28</f>
        <v>12674.22</v>
      </c>
      <c r="G51" s="7">
        <f>Business_Profitability!G5*Business_Profitability!G28</f>
        <v>6367.08</v>
      </c>
      <c r="H51" s="7">
        <f>Business_Profitability!H5*Business_Profitability!H28</f>
        <v>17217.759999999998</v>
      </c>
      <c r="I51" s="7">
        <f>SUM(Tbl_VariableCost[[#This Row],[25-Jan]:[25-Jun]])</f>
        <v>53111.179999999993</v>
      </c>
      <c r="J51" s="7" t="str">
        <f>_xlfn.XLOOKUP(Tbl_VariableCost[[#This Row],[ProductID]],Table3[ProductID],Table3[BU],,0)</f>
        <v>Field Services</v>
      </c>
      <c r="K51" s="7" t="str">
        <f>_xlfn.XLOOKUP(Tbl_VariableCost[[#This Row],[ProductID]],Table3[ProductID],Table3[Category_Clean],,0)</f>
        <v>Services</v>
      </c>
      <c r="P51" s="6" t="s">
        <v>2608</v>
      </c>
      <c r="Q51" s="8" t="s">
        <v>2647</v>
      </c>
      <c r="R51" s="8" t="s">
        <v>2645</v>
      </c>
      <c r="S51" s="8" t="s">
        <v>2649</v>
      </c>
      <c r="T51" s="8" t="s">
        <v>2650</v>
      </c>
      <c r="U51" s="8" t="s">
        <v>2651</v>
      </c>
      <c r="V51" s="8" t="s">
        <v>2652</v>
      </c>
      <c r="W51" s="8" t="s">
        <v>2653</v>
      </c>
    </row>
    <row r="52" spans="2:23" ht="15.75" customHeight="1">
      <c r="B52" s="9" t="s">
        <v>432</v>
      </c>
      <c r="C52" s="7">
        <f>Business_Profitability!C6*Business_Profitability!C29</f>
        <v>10109.799999999999</v>
      </c>
      <c r="D52" s="7">
        <f>Business_Profitability!D6*Business_Profitability!D29</f>
        <v>2067.88</v>
      </c>
      <c r="E52" s="7">
        <f>Business_Profitability!E6*Business_Profitability!E29</f>
        <v>8164.72</v>
      </c>
      <c r="F52" s="7">
        <f>Business_Profitability!F6*Business_Profitability!F29</f>
        <v>0</v>
      </c>
      <c r="G52" s="7">
        <f>Business_Profitability!G6*Business_Profitability!G29</f>
        <v>4141.84</v>
      </c>
      <c r="H52" s="7">
        <f>Business_Profitability!H6*Business_Profitability!H29</f>
        <v>8239.1200000000008</v>
      </c>
      <c r="I52" s="7">
        <f>SUM(Tbl_VariableCost[[#This Row],[25-Jan]:[25-Jun]])</f>
        <v>32723.360000000001</v>
      </c>
      <c r="J52" s="7" t="str">
        <f>_xlfn.XLOOKUP(Tbl_VariableCost[[#This Row],[ProductID]],Table3[ProductID],Table3[BU],,0)</f>
        <v>Field Services</v>
      </c>
      <c r="K52" s="7" t="str">
        <f>_xlfn.XLOOKUP(Tbl_VariableCost[[#This Row],[ProductID]],Table3[ProductID],Table3[Category_Clean],,0)</f>
        <v>Services</v>
      </c>
      <c r="P52" s="9" t="s">
        <v>2049</v>
      </c>
      <c r="Q52" s="7"/>
      <c r="R52" s="7"/>
      <c r="S52" s="7"/>
      <c r="T52" s="7"/>
      <c r="U52" s="7"/>
      <c r="V52" s="7"/>
      <c r="W52" s="7"/>
    </row>
    <row r="53" spans="2:23" ht="15" customHeight="1">
      <c r="B53" s="9" t="s">
        <v>101</v>
      </c>
      <c r="C53" s="7">
        <f>Business_Profitability!C7*Business_Profitability!C30</f>
        <v>2040.5500000000002</v>
      </c>
      <c r="D53" s="7">
        <f>Business_Profitability!D7*Business_Profitability!D30</f>
        <v>1298.52</v>
      </c>
      <c r="E53" s="7">
        <f>Business_Profitability!E7*Business_Profitability!E30</f>
        <v>872.58</v>
      </c>
      <c r="F53" s="7">
        <f>Business_Profitability!F7*Business_Profitability!F30</f>
        <v>2659.86</v>
      </c>
      <c r="G53" s="7">
        <f>Business_Profitability!G7*Business_Profitability!G30</f>
        <v>3964.86</v>
      </c>
      <c r="H53" s="7">
        <f>Business_Profitability!H7*Business_Profitability!H30</f>
        <v>1642.84</v>
      </c>
      <c r="I53" s="7">
        <f>SUM(Tbl_VariableCost[[#This Row],[25-Jan]:[25-Jun]])</f>
        <v>12479.210000000001</v>
      </c>
      <c r="J53" s="7" t="str">
        <f>_xlfn.XLOOKUP(Tbl_VariableCost[[#This Row],[ProductID]],Table3[ProductID],Table3[BU],,0)</f>
        <v>Field Services</v>
      </c>
      <c r="K53" s="7" t="str">
        <f>_xlfn.XLOOKUP(Tbl_VariableCost[[#This Row],[ProductID]],Table3[ProductID],Table3[Category_Clean],,0)</f>
        <v>Services</v>
      </c>
      <c r="P53" s="9" t="s">
        <v>2064</v>
      </c>
      <c r="Q53" s="7"/>
      <c r="R53" s="7"/>
      <c r="S53" s="7"/>
      <c r="T53" s="7"/>
      <c r="U53" s="7"/>
      <c r="V53" s="7"/>
      <c r="W53" s="7"/>
    </row>
    <row r="54" spans="2:23" ht="15" customHeight="1">
      <c r="B54" s="9" t="s">
        <v>92</v>
      </c>
      <c r="C54" s="7">
        <f>Business_Profitability!C8*Business_Profitability!C31</f>
        <v>2346.3000000000002</v>
      </c>
      <c r="D54" s="7">
        <f>Business_Profitability!D8*Business_Profitability!D31</f>
        <v>3457.7999999999997</v>
      </c>
      <c r="E54" s="7">
        <f>Business_Profitability!E8*Business_Profitability!E31</f>
        <v>2364.12</v>
      </c>
      <c r="F54" s="7">
        <f>Business_Profitability!F8*Business_Profitability!F31</f>
        <v>1615.52</v>
      </c>
      <c r="G54" s="7">
        <f>Business_Profitability!G8*Business_Profitability!G31</f>
        <v>792.68</v>
      </c>
      <c r="H54" s="7">
        <f>Business_Profitability!H8*Business_Profitability!H31</f>
        <v>1900.35</v>
      </c>
      <c r="I54" s="7">
        <f>SUM(Tbl_VariableCost[[#This Row],[25-Jan]:[25-Jun]])</f>
        <v>12476.77</v>
      </c>
      <c r="J54" s="7" t="str">
        <f>_xlfn.XLOOKUP(Tbl_VariableCost[[#This Row],[ProductID]],Table3[ProductID],Table3[BU],,0)</f>
        <v>Field Services</v>
      </c>
      <c r="K54" s="7" t="str">
        <f>_xlfn.XLOOKUP(Tbl_VariableCost[[#This Row],[ProductID]],Table3[ProductID],Table3[Category_Clean],,0)</f>
        <v>Services</v>
      </c>
      <c r="P54" s="9" t="s">
        <v>2076</v>
      </c>
      <c r="Q54" s="7"/>
      <c r="R54" s="7"/>
      <c r="S54" s="7"/>
      <c r="T54" s="7"/>
      <c r="U54" s="7"/>
      <c r="V54" s="7"/>
      <c r="W54" s="7"/>
    </row>
    <row r="55" spans="2:23" ht="15" customHeight="1">
      <c r="B55" s="9" t="s">
        <v>68</v>
      </c>
      <c r="C55" s="7">
        <f>Business_Profitability!C9*Business_Profitability!C32</f>
        <v>4822.5599999999995</v>
      </c>
      <c r="D55" s="7">
        <f>Business_Profitability!D9*Business_Profitability!D32</f>
        <v>3061.76</v>
      </c>
      <c r="E55" s="7">
        <f>Business_Profitability!E9*Business_Profitability!E32</f>
        <v>3047.36</v>
      </c>
      <c r="F55" s="7">
        <f>Business_Profitability!F9*Business_Profitability!F32</f>
        <v>2684.1</v>
      </c>
      <c r="G55" s="7">
        <f>Business_Profitability!G9*Business_Profitability!G32</f>
        <v>5165.9100000000008</v>
      </c>
      <c r="H55" s="7">
        <f>Business_Profitability!H9*Business_Profitability!H32</f>
        <v>4586</v>
      </c>
      <c r="I55" s="7">
        <f>SUM(Tbl_VariableCost[[#This Row],[25-Jan]:[25-Jun]])</f>
        <v>23367.690000000002</v>
      </c>
      <c r="J55" s="7" t="str">
        <f>_xlfn.XLOOKUP(Tbl_VariableCost[[#This Row],[ProductID]],Table3[ProductID],Table3[BU],,0)</f>
        <v>Software &amp; Analytics</v>
      </c>
      <c r="K55" s="7" t="str">
        <f>_xlfn.XLOOKUP(Tbl_VariableCost[[#This Row],[ProductID]],Table3[ProductID],Table3[Category_Clean],,0)</f>
        <v>Software</v>
      </c>
      <c r="P55" s="9" t="s">
        <v>2081</v>
      </c>
      <c r="Q55" s="7"/>
      <c r="R55" s="7"/>
      <c r="S55" s="7"/>
      <c r="T55" s="7"/>
      <c r="U55" s="7"/>
      <c r="V55" s="7"/>
      <c r="W55" s="7"/>
    </row>
    <row r="56" spans="2:23" ht="15.75" customHeight="1">
      <c r="B56" s="9" t="s">
        <v>147</v>
      </c>
      <c r="C56" s="7">
        <f>Business_Profitability!C10*Business_Profitability!C33</f>
        <v>2017.55</v>
      </c>
      <c r="D56" s="7">
        <f>Business_Profitability!D10*Business_Profitability!D33</f>
        <v>1180.53</v>
      </c>
      <c r="E56" s="7">
        <f>Business_Profitability!E10*Business_Profitability!E33</f>
        <v>1568.72</v>
      </c>
      <c r="F56" s="7">
        <f>Business_Profitability!F10*Business_Profitability!F33</f>
        <v>4750.7999999999993</v>
      </c>
      <c r="G56" s="7">
        <f>Business_Profitability!G10*Business_Profitability!G33</f>
        <v>4076.3999999999996</v>
      </c>
      <c r="H56" s="7">
        <f>Business_Profitability!H10*Business_Profitability!H33</f>
        <v>9284.41</v>
      </c>
      <c r="I56" s="7">
        <f>SUM(Tbl_VariableCost[[#This Row],[25-Jan]:[25-Jun]])</f>
        <v>22878.409999999996</v>
      </c>
      <c r="J56" s="7" t="str">
        <f>_xlfn.XLOOKUP(Tbl_VariableCost[[#This Row],[ProductID]],Table3[ProductID],Table3[BU],,0)</f>
        <v>Software &amp; Analytics</v>
      </c>
      <c r="K56" s="7" t="str">
        <f>_xlfn.XLOOKUP(Tbl_VariableCost[[#This Row],[ProductID]],Table3[ProductID],Table3[Category_Clean],,0)</f>
        <v>Software</v>
      </c>
      <c r="P56" s="9" t="s">
        <v>2088</v>
      </c>
      <c r="Q56" s="7"/>
      <c r="R56" s="7"/>
      <c r="S56" s="7"/>
      <c r="T56" s="7"/>
      <c r="U56" s="7"/>
      <c r="V56" s="7"/>
      <c r="W56" s="7"/>
    </row>
    <row r="57" spans="2:23" ht="15" customHeight="1">
      <c r="B57" s="9" t="s">
        <v>51</v>
      </c>
      <c r="C57" s="7">
        <f>Business_Profitability!C11*Business_Profitability!C34</f>
        <v>655.9</v>
      </c>
      <c r="D57" s="7">
        <f>Business_Profitability!D11*Business_Profitability!D34</f>
        <v>580.91999999999996</v>
      </c>
      <c r="E57" s="7">
        <f>Business_Profitability!E11*Business_Profitability!E34</f>
        <v>408.6</v>
      </c>
      <c r="F57" s="7">
        <f>Business_Profitability!F11*Business_Profitability!F34</f>
        <v>1322.4399999999998</v>
      </c>
      <c r="G57" s="7">
        <f>Business_Profitability!G11*Business_Profitability!G34</f>
        <v>831.96</v>
      </c>
      <c r="H57" s="7">
        <f>Business_Profitability!H11*Business_Profitability!H34</f>
        <v>1719.36</v>
      </c>
      <c r="I57" s="7">
        <f>SUM(Tbl_VariableCost[[#This Row],[25-Jan]:[25-Jun]])</f>
        <v>5519.1799999999994</v>
      </c>
      <c r="J57" s="7" t="str">
        <f>_xlfn.XLOOKUP(Tbl_VariableCost[[#This Row],[ProductID]],Table3[ProductID],Table3[BU],,0)</f>
        <v>Software &amp; Analytics</v>
      </c>
      <c r="K57" s="7" t="str">
        <f>_xlfn.XLOOKUP(Tbl_VariableCost[[#This Row],[ProductID]],Table3[ProductID],Table3[Category_Clean],,0)</f>
        <v>Software</v>
      </c>
      <c r="P57" s="12"/>
      <c r="Q57" s="7"/>
      <c r="R57" s="7"/>
      <c r="S57" s="7"/>
      <c r="T57" s="7"/>
      <c r="U57" s="7"/>
      <c r="V57" s="7"/>
      <c r="W57" s="7"/>
    </row>
    <row r="58" spans="2:23" ht="15" customHeight="1">
      <c r="B58" s="9" t="s">
        <v>86</v>
      </c>
      <c r="C58" s="7">
        <f>Business_Profitability!C12*Business_Profitability!C35</f>
        <v>729.63</v>
      </c>
      <c r="D58" s="7">
        <f>Business_Profitability!D12*Business_Profitability!D35</f>
        <v>419.09999999999997</v>
      </c>
      <c r="E58" s="7">
        <f>Business_Profitability!E12*Business_Profitability!E35</f>
        <v>879.71</v>
      </c>
      <c r="F58" s="7">
        <f>Business_Profitability!F12*Business_Profitability!F35</f>
        <v>692.78</v>
      </c>
      <c r="G58" s="7">
        <f>Business_Profitability!G12*Business_Profitability!G35</f>
        <v>647.09999999999991</v>
      </c>
      <c r="H58" s="7">
        <f>Business_Profitability!H12*Business_Profitability!H35</f>
        <v>902.30000000000007</v>
      </c>
      <c r="I58" s="7">
        <f>SUM(Tbl_VariableCost[[#This Row],[25-Jan]:[25-Jun]])</f>
        <v>4270.62</v>
      </c>
      <c r="J58" s="7" t="str">
        <f>_xlfn.XLOOKUP(Tbl_VariableCost[[#This Row],[ProductID]],Table3[ProductID],Table3[BU],,0)</f>
        <v>Software &amp; Analytics</v>
      </c>
      <c r="K58" s="7" t="str">
        <f>_xlfn.XLOOKUP(Tbl_VariableCost[[#This Row],[ProductID]],Table3[ProductID],Table3[Category_Clean],,0)</f>
        <v>Software</v>
      </c>
    </row>
    <row r="59" spans="2:23" ht="15" customHeight="1">
      <c r="B59" s="9" t="s">
        <v>62</v>
      </c>
      <c r="C59" s="7">
        <f>Business_Profitability!C13*Business_Profitability!C36</f>
        <v>1292.3999999999999</v>
      </c>
      <c r="D59" s="7">
        <f>Business_Profitability!D13*Business_Profitability!D36</f>
        <v>562.52</v>
      </c>
      <c r="E59" s="7">
        <f>Business_Profitability!E13*Business_Profitability!E36</f>
        <v>2784.83</v>
      </c>
      <c r="F59" s="7">
        <f>Business_Profitability!F13*Business_Profitability!F36</f>
        <v>862.37999999999988</v>
      </c>
      <c r="G59" s="7">
        <f>Business_Profitability!G13*Business_Profitability!G36</f>
        <v>146.06</v>
      </c>
      <c r="H59" s="7">
        <f>Business_Profitability!H13*Business_Profitability!H36</f>
        <v>1705.8000000000002</v>
      </c>
      <c r="I59" s="7">
        <f>SUM(Tbl_VariableCost[[#This Row],[25-Jan]:[25-Jun]])</f>
        <v>7353.9900000000007</v>
      </c>
      <c r="J59" s="7" t="str">
        <f>_xlfn.XLOOKUP(Tbl_VariableCost[[#This Row],[ProductID]],Table3[ProductID],Table3[BU],,0)</f>
        <v>Software &amp; Analytics</v>
      </c>
      <c r="K59" s="7" t="str">
        <f>_xlfn.XLOOKUP(Tbl_VariableCost[[#This Row],[ProductID]],Table3[ProductID],Table3[Category_Clean],,0)</f>
        <v>Software / Integration</v>
      </c>
    </row>
    <row r="60" spans="2:23" ht="15" customHeight="1">
      <c r="B60" s="9" t="s">
        <v>72</v>
      </c>
      <c r="C60" s="7">
        <f>Business_Profitability!C14*Business_Profitability!C37</f>
        <v>17287.77</v>
      </c>
      <c r="D60" s="7">
        <f>Business_Profitability!D14*Business_Profitability!D37</f>
        <v>18485.774999999998</v>
      </c>
      <c r="E60" s="7">
        <f>Business_Profitability!E14*Business_Profitability!E37</f>
        <v>24798.02</v>
      </c>
      <c r="F60" s="7">
        <f>Business_Profitability!F14*Business_Profitability!F37</f>
        <v>23375.52</v>
      </c>
      <c r="G60" s="7">
        <f>Business_Profitability!G14*Business_Profitability!G37</f>
        <v>15607.32</v>
      </c>
      <c r="H60" s="7">
        <f>Business_Profitability!H14*Business_Profitability!H37</f>
        <v>15633.08</v>
      </c>
      <c r="I60" s="7">
        <f>SUM(Tbl_VariableCost[[#This Row],[25-Jan]:[25-Jun]])</f>
        <v>115187.485</v>
      </c>
      <c r="J60" s="7" t="str">
        <f>_xlfn.XLOOKUP(Tbl_VariableCost[[#This Row],[ProductID]],Table3[ProductID],Table3[BU],,0)</f>
        <v>Sensors &amp; Instruments</v>
      </c>
      <c r="K60" s="7" t="str">
        <f>_xlfn.XLOOKUP(Tbl_VariableCost[[#This Row],[ProductID]],Table3[ProductID],Table3[Category_Clean],,0)</f>
        <v>Sensors</v>
      </c>
    </row>
    <row r="61" spans="2:23" ht="15" customHeight="1">
      <c r="B61" s="9" t="s">
        <v>31</v>
      </c>
      <c r="C61" s="7">
        <f>Business_Profitability!C15*Business_Profitability!C38</f>
        <v>22504.14</v>
      </c>
      <c r="D61" s="7">
        <f>Business_Profitability!D15*Business_Profitability!D38</f>
        <v>8569.8000000000011</v>
      </c>
      <c r="E61" s="7">
        <f>Business_Profitability!E15*Business_Profitability!E38</f>
        <v>15562.26</v>
      </c>
      <c r="F61" s="7">
        <f>Business_Profitability!F15*Business_Profitability!F38</f>
        <v>27446.71</v>
      </c>
      <c r="G61" s="7">
        <f>Business_Profitability!G15*Business_Profitability!G38</f>
        <v>15296.82</v>
      </c>
      <c r="H61" s="7">
        <f>Business_Profitability!H15*Business_Profitability!H38</f>
        <v>31685.000000000004</v>
      </c>
      <c r="I61" s="7">
        <f>SUM(Tbl_VariableCost[[#This Row],[25-Jan]:[25-Jun]])</f>
        <v>121064.73000000001</v>
      </c>
      <c r="J61" s="7" t="str">
        <f>_xlfn.XLOOKUP(Tbl_VariableCost[[#This Row],[ProductID]],Table3[ProductID],Table3[BU],,0)</f>
        <v>Sensors &amp; Instruments</v>
      </c>
      <c r="K61" s="7" t="str">
        <f>_xlfn.XLOOKUP(Tbl_VariableCost[[#This Row],[ProductID]],Table3[ProductID],Table3[Category_Clean],,0)</f>
        <v>Sensors</v>
      </c>
    </row>
    <row r="62" spans="2:23" ht="15" customHeight="1">
      <c r="B62" s="9" t="s">
        <v>39</v>
      </c>
      <c r="C62" s="7">
        <f>Business_Profitability!C16*Business_Profitability!C39</f>
        <v>34180.699999999997</v>
      </c>
      <c r="D62" s="7">
        <f>Business_Profitability!D16*Business_Profitability!D39</f>
        <v>43794.54</v>
      </c>
      <c r="E62" s="7">
        <f>Business_Profitability!E16*Business_Profitability!E39</f>
        <v>28186.2</v>
      </c>
      <c r="F62" s="7">
        <f>Business_Profitability!F16*Business_Profitability!F39</f>
        <v>36866.33</v>
      </c>
      <c r="G62" s="7">
        <f>Business_Profitability!G16*Business_Profitability!G39</f>
        <v>47954.400000000001</v>
      </c>
      <c r="H62" s="7">
        <f>Business_Profitability!H16*Business_Profitability!H39</f>
        <v>18878.169999999998</v>
      </c>
      <c r="I62" s="7">
        <f>SUM(Tbl_VariableCost[[#This Row],[25-Jan]:[25-Jun]])</f>
        <v>209860.33999999997</v>
      </c>
      <c r="J62" s="7" t="str">
        <f>_xlfn.XLOOKUP(Tbl_VariableCost[[#This Row],[ProductID]],Table3[ProductID],Table3[BU],,0)</f>
        <v>Sensors &amp; Instruments</v>
      </c>
      <c r="K62" s="7" t="str">
        <f>_xlfn.XLOOKUP(Tbl_VariableCost[[#This Row],[ProductID]],Table3[ProductID],Table3[Category_Clean],,0)</f>
        <v>Instruments</v>
      </c>
    </row>
    <row r="63" spans="2:23" ht="13.5" customHeight="1">
      <c r="B63" s="9" t="s">
        <v>22</v>
      </c>
      <c r="C63" s="7">
        <f>Business_Profitability!C17*Business_Profitability!C40</f>
        <v>15904.279999999999</v>
      </c>
      <c r="D63" s="7">
        <f>Business_Profitability!D17*Business_Profitability!D40</f>
        <v>24957.24</v>
      </c>
      <c r="E63" s="7">
        <f>Business_Profitability!E17*Business_Profitability!E40</f>
        <v>21826.63</v>
      </c>
      <c r="F63" s="7">
        <f>Business_Profitability!F17*Business_Profitability!F40</f>
        <v>52740.38</v>
      </c>
      <c r="G63" s="7">
        <f>Business_Profitability!G17*Business_Profitability!G40</f>
        <v>97264.65</v>
      </c>
      <c r="H63" s="7">
        <f>Business_Profitability!H17*Business_Profitability!H40</f>
        <v>35390.400000000001</v>
      </c>
      <c r="I63" s="7">
        <f>SUM(Tbl_VariableCost[[#This Row],[25-Jan]:[25-Jun]])</f>
        <v>248083.58</v>
      </c>
      <c r="J63" s="7" t="str">
        <f>_xlfn.XLOOKUP(Tbl_VariableCost[[#This Row],[ProductID]],Table3[ProductID],Table3[BU],,0)</f>
        <v>Sensors &amp; Instruments</v>
      </c>
      <c r="K63" s="7" t="str">
        <f>_xlfn.XLOOKUP(Tbl_VariableCost[[#This Row],[ProductID]],Table3[ProductID],Table3[Category_Clean],,0)</f>
        <v>Instruments</v>
      </c>
    </row>
    <row r="64" spans="2:23" ht="15" customHeight="1">
      <c r="B64" s="9" t="s">
        <v>57</v>
      </c>
      <c r="C64" s="7">
        <f>Business_Profitability!C18*Business_Profitability!C41</f>
        <v>14171.2</v>
      </c>
      <c r="D64" s="7">
        <f>Business_Profitability!D18*Business_Profitability!D41</f>
        <v>13904.74</v>
      </c>
      <c r="E64" s="7">
        <f>Business_Profitability!E18*Business_Profitability!E41</f>
        <v>15575.76</v>
      </c>
      <c r="F64" s="7">
        <f>Business_Profitability!F18*Business_Profitability!F41</f>
        <v>25076.880000000001</v>
      </c>
      <c r="G64" s="7">
        <f>Business_Profitability!G18*Business_Profitability!G41</f>
        <v>10136.939999999999</v>
      </c>
      <c r="H64" s="7">
        <f>Business_Profitability!H18*Business_Profitability!H41</f>
        <v>34424.800000000003</v>
      </c>
      <c r="I64" s="7">
        <f>SUM(Tbl_VariableCost[[#This Row],[25-Jan]:[25-Jun]])</f>
        <v>113290.32</v>
      </c>
      <c r="J64" s="7" t="str">
        <f>_xlfn.XLOOKUP(Tbl_VariableCost[[#This Row],[ProductID]],Table3[ProductID],Table3[BU],,0)</f>
        <v>Sensors &amp; Instruments</v>
      </c>
      <c r="K64" s="7" t="str">
        <f>_xlfn.XLOOKUP(Tbl_VariableCost[[#This Row],[ProductID]],Table3[ProductID],Table3[Category_Clean],,0)</f>
        <v>Sensors</v>
      </c>
    </row>
    <row r="65" spans="2:11" ht="15" customHeight="1">
      <c r="B65" s="9" t="s">
        <v>43</v>
      </c>
      <c r="C65" s="7">
        <f>Business_Profitability!C19*Business_Profitability!C42</f>
        <v>5436.48</v>
      </c>
      <c r="D65" s="7">
        <f>Business_Profitability!D19*Business_Profitability!D42</f>
        <v>8644.35</v>
      </c>
      <c r="E65" s="7">
        <f>Business_Profitability!E19*Business_Profitability!E42</f>
        <v>7794.92</v>
      </c>
      <c r="F65" s="7">
        <f>Business_Profitability!F19*Business_Profitability!F42</f>
        <v>7016.76</v>
      </c>
      <c r="G65" s="7">
        <f>Business_Profitability!G19*Business_Profitability!G42</f>
        <v>9164.1200000000008</v>
      </c>
      <c r="H65" s="7">
        <f>Business_Profitability!H19*Business_Profitability!H42</f>
        <v>11123.960000000001</v>
      </c>
      <c r="I65" s="7">
        <f>SUM(Tbl_VariableCost[[#This Row],[25-Jan]:[25-Jun]])</f>
        <v>49180.590000000004</v>
      </c>
      <c r="J65" s="7" t="str">
        <f>_xlfn.XLOOKUP(Tbl_VariableCost[[#This Row],[ProductID]],Table3[ProductID],Table3[BU],,0)</f>
        <v>Sensors &amp; Instruments</v>
      </c>
      <c r="K65" s="7" t="str">
        <f>_xlfn.XLOOKUP(Tbl_VariableCost[[#This Row],[ProductID]],Table3[ProductID],Table3[Category_Clean],,0)</f>
        <v>Sensors</v>
      </c>
    </row>
    <row r="66" spans="2:11" ht="15" customHeight="1">
      <c r="B66" s="9" t="s">
        <v>97</v>
      </c>
      <c r="C66" s="7">
        <f>Business_Profitability!C20*Business_Profitability!C43</f>
        <v>18222.04</v>
      </c>
      <c r="D66" s="7">
        <f>Business_Profitability!D20*Business_Profitability!D43</f>
        <v>35187.199999999997</v>
      </c>
      <c r="E66" s="7">
        <f>Business_Profitability!E20*Business_Profitability!E43</f>
        <v>26825.969999999998</v>
      </c>
      <c r="F66" s="7">
        <f>Business_Profitability!F20*Business_Profitability!F43</f>
        <v>33562.5</v>
      </c>
      <c r="G66" s="7">
        <f>Business_Profitability!G20*Business_Profitability!G43</f>
        <v>25783.95</v>
      </c>
      <c r="H66" s="7">
        <f>Business_Profitability!H20*Business_Profitability!H43</f>
        <v>21536.81</v>
      </c>
      <c r="I66" s="7">
        <f>SUM(Tbl_VariableCost[[#This Row],[25-Jan]:[25-Jun]])</f>
        <v>161118.47</v>
      </c>
      <c r="J66" s="7" t="str">
        <f>_xlfn.XLOOKUP(Tbl_VariableCost[[#This Row],[ProductID]],Table3[ProductID],Table3[BU],,0)</f>
        <v>Sensors &amp; Instruments</v>
      </c>
      <c r="K66" s="7" t="str">
        <f>_xlfn.XLOOKUP(Tbl_VariableCost[[#This Row],[ProductID]],Table3[ProductID],Table3[Category_Clean],,0)</f>
        <v>Sensors</v>
      </c>
    </row>
    <row r="67" spans="2:11" ht="15" customHeight="1">
      <c r="B67" s="9" t="s">
        <v>152</v>
      </c>
      <c r="C67" s="7">
        <f>Business_Profitability!C21*Business_Profitability!C44</f>
        <v>18943.400000000001</v>
      </c>
      <c r="D67" s="7">
        <f>Business_Profitability!D21*Business_Profitability!D44</f>
        <v>14512.32</v>
      </c>
      <c r="E67" s="7">
        <f>Business_Profitability!E21*Business_Profitability!E44</f>
        <v>27426.829999999998</v>
      </c>
      <c r="F67" s="7">
        <f>Business_Profitability!F21*Business_Profitability!F44</f>
        <v>15252.4</v>
      </c>
      <c r="G67" s="7">
        <f>Business_Profitability!G21*Business_Profitability!G44</f>
        <v>15862</v>
      </c>
      <c r="H67" s="7">
        <f>Business_Profitability!H21*Business_Profitability!H44</f>
        <v>20424</v>
      </c>
      <c r="I67" s="7">
        <f>SUM(Tbl_VariableCost[[#This Row],[25-Jan]:[25-Jun]])</f>
        <v>112420.95</v>
      </c>
      <c r="J67" s="7" t="str">
        <f>_xlfn.XLOOKUP(Tbl_VariableCost[[#This Row],[ProductID]],Table3[ProductID],Table3[BU],,0)</f>
        <v>Sensors &amp; Instruments</v>
      </c>
      <c r="K67" s="7" t="str">
        <f>_xlfn.XLOOKUP(Tbl_VariableCost[[#This Row],[ProductID]],Table3[ProductID],Table3[Category_Clean],,0)</f>
        <v>Instruments</v>
      </c>
    </row>
    <row r="68" spans="2:11">
      <c r="B68" s="9" t="s">
        <v>2597</v>
      </c>
      <c r="C68" s="7">
        <f>SUBTOTAL(109,Tbl_VariableCost[25-Jan])</f>
        <v>195545.13000000003</v>
      </c>
      <c r="D68" s="7">
        <f>SUBTOTAL(109,Tbl_VariableCost[25-Feb])</f>
        <v>189797.71500000003</v>
      </c>
      <c r="E68" s="7">
        <f>SUBTOTAL(109,Tbl_VariableCost[25-Mar])</f>
        <v>220329.35</v>
      </c>
      <c r="F68" s="7">
        <f>SUBTOTAL(109,Tbl_VariableCost[25-Apr])</f>
        <v>267693.01</v>
      </c>
      <c r="G68" s="7">
        <f>SUBTOTAL(109,Tbl_VariableCost[25-May])</f>
        <v>294788.52999999997</v>
      </c>
      <c r="H68" s="7">
        <f>SUBTOTAL(109,Tbl_VariableCost[25-Jun])</f>
        <v>256220.44999999998</v>
      </c>
      <c r="I68" s="7">
        <f>SUBTOTAL(109,Tbl_VariableCost[H1 Actual Variable Cost])</f>
        <v>1424374.1849999998</v>
      </c>
      <c r="J68" s="7"/>
      <c r="K68" s="7"/>
    </row>
    <row r="71" spans="2:11" ht="15" customHeight="1">
      <c r="B71" s="6" t="s">
        <v>2599</v>
      </c>
      <c r="C71" s="8" t="s">
        <v>2645</v>
      </c>
      <c r="D71" s="8" t="s">
        <v>2647</v>
      </c>
      <c r="E71" s="8" t="s">
        <v>2648</v>
      </c>
    </row>
    <row r="72" spans="2:11">
      <c r="B72" s="12" t="s">
        <v>82</v>
      </c>
      <c r="C72" s="7">
        <f>SUMIF(Tbl_VariableCost[BU],Table23[[#This Row],[Business Unit]],Tbl_VariableCost[H1 Actual Variable Cost])</f>
        <v>230777.82999999996</v>
      </c>
      <c r="D72" s="7">
        <f>_xlfn.XLOOKUP(Table23[[#This Row],[Business Unit]],Business_Unit_Valid_Product_Revenue[Business Unit],Business_Unit_Valid_Product_Revenue[Net Revenue])</f>
        <v>372058.61</v>
      </c>
      <c r="E72" s="10">
        <f>Table23[[#This Row],[H1 Actual Variable Cost]]/Table23[[#This Row],[H1 Net Revenue]]</f>
        <v>0.62027278444113942</v>
      </c>
    </row>
    <row r="73" spans="2:11">
      <c r="B73" s="12" t="s">
        <v>53</v>
      </c>
      <c r="C73" s="7">
        <f>SUMIF(Tbl_VariableCost[BU],Table23[[#This Row],[Business Unit]],Tbl_VariableCost[H1 Actual Variable Cost])</f>
        <v>63389.89</v>
      </c>
      <c r="D73" s="7">
        <f>_xlfn.XLOOKUP(Table23[[#This Row],[Business Unit]],Business_Unit_Valid_Product_Revenue[Business Unit],Business_Unit_Valid_Product_Revenue[Net Revenue])</f>
        <v>1288952.28</v>
      </c>
      <c r="E73" s="10">
        <f>Table23[[#This Row],[H1 Actual Variable Cost]]/Table23[[#This Row],[H1 Net Revenue]]</f>
        <v>4.9179392428709619E-2</v>
      </c>
    </row>
    <row r="74" spans="2:11">
      <c r="B74" s="12" t="s">
        <v>24</v>
      </c>
      <c r="C74" s="7">
        <f>SUMIF(Tbl_VariableCost[BU],Table23[[#This Row],[Business Unit]],Tbl_VariableCost[H1 Actual Variable Cost])</f>
        <v>1130206.4650000001</v>
      </c>
      <c r="D74" s="7">
        <f>_xlfn.XLOOKUP(Table23[[#This Row],[Business Unit]],Business_Unit_Valid_Product_Revenue[Business Unit],Business_Unit_Valid_Product_Revenue[Net Revenue])</f>
        <v>2252749.5499999998</v>
      </c>
      <c r="E74" s="10">
        <f>Table23[[#This Row],[H1 Actual Variable Cost]]/Table23[[#This Row],[H1 Net Revenue]]</f>
        <v>0.50170089480208757</v>
      </c>
    </row>
    <row r="75" spans="2:11">
      <c r="B75" s="12" t="s">
        <v>2597</v>
      </c>
      <c r="C75" s="7">
        <f>SUBTOTAL(109,Table23[H1 Actual Variable Cost])</f>
        <v>1424374.1850000001</v>
      </c>
      <c r="D75" s="7">
        <f>SUBTOTAL(109,Table23[H1 Net Revenue])</f>
        <v>3913760.44</v>
      </c>
      <c r="E75" s="10"/>
    </row>
    <row r="76" spans="2:11">
      <c r="B76" s="12"/>
      <c r="C76" s="7"/>
      <c r="D76" s="7"/>
      <c r="E76" s="7"/>
    </row>
    <row r="78" spans="2:11" ht="15" customHeight="1">
      <c r="B78" s="12" t="s">
        <v>2599</v>
      </c>
      <c r="C78" s="12" t="s">
        <v>2647</v>
      </c>
      <c r="D78" s="12" t="s">
        <v>2645</v>
      </c>
      <c r="E78" s="12" t="s">
        <v>2649</v>
      </c>
      <c r="F78" s="12" t="s">
        <v>2650</v>
      </c>
    </row>
    <row r="79" spans="2:11">
      <c r="B79" s="9" t="s">
        <v>82</v>
      </c>
      <c r="C79" s="7">
        <f>_xlfn.XLOOKUP(Contribution_profit_BU[[#This Row],[Business Unit]],Business_Unit_Valid_Product_Revenue[Business Unit],Business_Unit_Valid_Product_Revenue[Net Revenue])</f>
        <v>372058.61</v>
      </c>
      <c r="D79" s="7">
        <f>_xlfn.XLOOKUP(Contribution_profit_BU[[#This Row],[Business Unit]],Table23[Business Unit],Table23[H1 Actual Variable Cost])</f>
        <v>230777.82999999996</v>
      </c>
      <c r="E79" s="7">
        <f>Contribution_profit_BU[[#This Row],[H1 Net Revenue]]-Contribution_profit_BU[[#This Row],[H1 Actual Variable Cost]]</f>
        <v>141280.78000000003</v>
      </c>
      <c r="F79" s="10">
        <f>Contribution_profit_BU[[#This Row],[Contribution Profit]]/Contribution_profit_BU[[#This Row],[H1 Net Revenue]]</f>
        <v>0.37972721555886058</v>
      </c>
    </row>
    <row r="80" spans="2:11">
      <c r="B80" s="9" t="s">
        <v>53</v>
      </c>
      <c r="C80" s="7">
        <f>_xlfn.XLOOKUP(Contribution_profit_BU[[#This Row],[Business Unit]],Business_Unit_Valid_Product_Revenue[Business Unit],Business_Unit_Valid_Product_Revenue[Net Revenue])</f>
        <v>1288952.28</v>
      </c>
      <c r="D80" s="7">
        <f>_xlfn.XLOOKUP(Contribution_profit_BU[[#This Row],[Business Unit]],Table23[Business Unit],Table23[H1 Actual Variable Cost])</f>
        <v>63389.89</v>
      </c>
      <c r="E80" s="7">
        <f>Contribution_profit_BU[[#This Row],[H1 Net Revenue]]-Contribution_profit_BU[[#This Row],[H1 Actual Variable Cost]]</f>
        <v>1225562.3900000001</v>
      </c>
      <c r="F80" s="10">
        <f>Contribution_profit_BU[[#This Row],[Contribution Profit]]/Contribution_profit_BU[[#This Row],[H1 Net Revenue]]</f>
        <v>0.9508206075712905</v>
      </c>
    </row>
    <row r="81" spans="2:8">
      <c r="B81" s="9" t="s">
        <v>24</v>
      </c>
      <c r="C81" s="7">
        <f>_xlfn.XLOOKUP(Contribution_profit_BU[[#This Row],[Business Unit]],Business_Unit_Valid_Product_Revenue[Business Unit],Business_Unit_Valid_Product_Revenue[Net Revenue])</f>
        <v>2252749.5499999998</v>
      </c>
      <c r="D81" s="7">
        <f>_xlfn.XLOOKUP(Contribution_profit_BU[[#This Row],[Business Unit]],Table23[Business Unit],Table23[H1 Actual Variable Cost])</f>
        <v>1130206.4650000001</v>
      </c>
      <c r="E81" s="7">
        <f>Contribution_profit_BU[[#This Row],[H1 Net Revenue]]-Contribution_profit_BU[[#This Row],[H1 Actual Variable Cost]]</f>
        <v>1122543.0849999997</v>
      </c>
      <c r="F81" s="10">
        <f>Contribution_profit_BU[[#This Row],[Contribution Profit]]/Contribution_profit_BU[[#This Row],[H1 Net Revenue]]</f>
        <v>0.49829910519791243</v>
      </c>
    </row>
    <row r="82" spans="2:8">
      <c r="B82" s="9" t="s">
        <v>2597</v>
      </c>
      <c r="C82" s="7">
        <f>SUBTOTAL(109,Contribution_profit_BU[H1 Net Revenue])</f>
        <v>3913760.44</v>
      </c>
      <c r="D82" s="7">
        <f>SUBTOTAL(109,Contribution_profit_BU[H1 Actual Variable Cost])</f>
        <v>1424374.1850000001</v>
      </c>
      <c r="E82" s="7">
        <f>SUBTOTAL(109,Contribution_profit_BU[Contribution Profit])</f>
        <v>2489386.2549999999</v>
      </c>
      <c r="F82" s="7"/>
    </row>
    <row r="85" spans="2:8">
      <c r="B85" s="36" t="s">
        <v>4</v>
      </c>
      <c r="C85" s="37" t="s">
        <v>2639</v>
      </c>
      <c r="D85" s="37" t="s">
        <v>2640</v>
      </c>
      <c r="E85" s="37" t="s">
        <v>2641</v>
      </c>
      <c r="F85" s="37" t="s">
        <v>2642</v>
      </c>
      <c r="G85" s="37" t="s">
        <v>2643</v>
      </c>
      <c r="H85" s="37" t="s">
        <v>2644</v>
      </c>
    </row>
    <row r="86" spans="2:8">
      <c r="B86" s="34" t="s">
        <v>133</v>
      </c>
      <c r="C86" s="32">
        <f>_xlfn.XLOOKUP(B86,Table3[ProductID],Table3[StdFixedAlloc])</f>
        <v>220</v>
      </c>
      <c r="D86" s="32">
        <f>_xlfn.XLOOKUP(B86,Table3[ProductID],Table3[StdFixedAlloc])</f>
        <v>220</v>
      </c>
      <c r="E86" s="32">
        <f>_xlfn.XLOOKUP(B86,Table3[ProductID],Table3[StdFixedAlloc])</f>
        <v>220</v>
      </c>
      <c r="F86" s="33">
        <f>_xlfn.XLOOKUP(B86,Table3[ProductID],Table3[StdFixedAlloc])</f>
        <v>220</v>
      </c>
      <c r="G86" s="32">
        <f>_xlfn.XLOOKUP(B86,Table3[ProductID],Table3[StdFixedAlloc])</f>
        <v>220</v>
      </c>
      <c r="H86" s="32">
        <f>_xlfn.XLOOKUP(B86,Table3[ProductID],Table3[StdFixedAlloc])</f>
        <v>220</v>
      </c>
    </row>
    <row r="87" spans="2:8">
      <c r="B87" s="35" t="s">
        <v>81</v>
      </c>
      <c r="C87" s="32">
        <f>_xlfn.XLOOKUP(B87,Table3[ProductID],Table3[StdFixedAlloc])</f>
        <v>280</v>
      </c>
      <c r="D87" s="32">
        <f>_xlfn.XLOOKUP(B87,Table3[ProductID],Table3[StdFixedAlloc])</f>
        <v>280</v>
      </c>
      <c r="E87" s="32">
        <f>_xlfn.XLOOKUP(B87,Table3[ProductID],Table3[StdFixedAlloc])</f>
        <v>280</v>
      </c>
      <c r="F87" s="33">
        <f>_xlfn.XLOOKUP(B87,Table3[ProductID],Table3[StdFixedAlloc])</f>
        <v>280</v>
      </c>
      <c r="G87" s="32">
        <f>_xlfn.XLOOKUP(B87,Table3[ProductID],Table3[StdFixedAlloc])</f>
        <v>280</v>
      </c>
      <c r="H87" s="32">
        <f>_xlfn.XLOOKUP(B87,Table3[ProductID],Table3[StdFixedAlloc])</f>
        <v>280</v>
      </c>
    </row>
    <row r="88" spans="2:8">
      <c r="B88" s="34" t="s">
        <v>216</v>
      </c>
      <c r="C88" s="32">
        <f>_xlfn.XLOOKUP(B88,Table3[ProductID],Table3[StdFixedAlloc])</f>
        <v>410</v>
      </c>
      <c r="D88" s="32">
        <f>_xlfn.XLOOKUP(B88,Table3[ProductID],Table3[StdFixedAlloc])</f>
        <v>410</v>
      </c>
      <c r="E88" s="32">
        <f>_xlfn.XLOOKUP(B88,Table3[ProductID],Table3[StdFixedAlloc])</f>
        <v>410</v>
      </c>
      <c r="F88" s="33">
        <f>_xlfn.XLOOKUP(B88,Table3[ProductID],Table3[StdFixedAlloc])</f>
        <v>410</v>
      </c>
      <c r="G88" s="32">
        <f>_xlfn.XLOOKUP(B88,Table3[ProductID],Table3[StdFixedAlloc])</f>
        <v>410</v>
      </c>
      <c r="H88" s="32">
        <f>_xlfn.XLOOKUP(B88,Table3[ProductID],Table3[StdFixedAlloc])</f>
        <v>410</v>
      </c>
    </row>
    <row r="89" spans="2:8">
      <c r="B89" s="35" t="s">
        <v>432</v>
      </c>
      <c r="C89" s="32">
        <f>_xlfn.XLOOKUP(B89,Table3[ProductID],Table3[StdFixedAlloc])</f>
        <v>350</v>
      </c>
      <c r="D89" s="32">
        <f>_xlfn.XLOOKUP(B89,Table3[ProductID],Table3[StdFixedAlloc])</f>
        <v>350</v>
      </c>
      <c r="E89" s="32">
        <f>_xlfn.XLOOKUP(B89,Table3[ProductID],Table3[StdFixedAlloc])</f>
        <v>350</v>
      </c>
      <c r="F89" s="33">
        <f>_xlfn.XLOOKUP(B89,Table3[ProductID],Table3[StdFixedAlloc])</f>
        <v>350</v>
      </c>
      <c r="G89" s="32">
        <f>_xlfn.XLOOKUP(B89,Table3[ProductID],Table3[StdFixedAlloc])</f>
        <v>350</v>
      </c>
      <c r="H89" s="32">
        <f>_xlfn.XLOOKUP(B89,Table3[ProductID],Table3[StdFixedAlloc])</f>
        <v>350</v>
      </c>
    </row>
    <row r="90" spans="2:8">
      <c r="B90" s="34" t="s">
        <v>101</v>
      </c>
      <c r="C90" s="32">
        <f>_xlfn.XLOOKUP(B90,Table3[ProductID],Table3[StdFixedAlloc])</f>
        <v>95</v>
      </c>
      <c r="D90" s="32">
        <f>_xlfn.XLOOKUP(B90,Table3[ProductID],Table3[StdFixedAlloc])</f>
        <v>95</v>
      </c>
      <c r="E90" s="32">
        <f>_xlfn.XLOOKUP(B90,Table3[ProductID],Table3[StdFixedAlloc])</f>
        <v>95</v>
      </c>
      <c r="F90" s="33">
        <f>_xlfn.XLOOKUP(B90,Table3[ProductID],Table3[StdFixedAlloc])</f>
        <v>95</v>
      </c>
      <c r="G90" s="32">
        <f>_xlfn.XLOOKUP(B90,Table3[ProductID],Table3[StdFixedAlloc])</f>
        <v>95</v>
      </c>
      <c r="H90" s="32">
        <f>_xlfn.XLOOKUP(B90,Table3[ProductID],Table3[StdFixedAlloc])</f>
        <v>95</v>
      </c>
    </row>
    <row r="91" spans="2:8">
      <c r="B91" s="35" t="s">
        <v>92</v>
      </c>
      <c r="C91" s="32">
        <f>_xlfn.XLOOKUP(B91,Table3[ProductID],Table3[StdFixedAlloc])</f>
        <v>175</v>
      </c>
      <c r="D91" s="32">
        <f>_xlfn.XLOOKUP(B91,Table3[ProductID],Table3[StdFixedAlloc])</f>
        <v>175</v>
      </c>
      <c r="E91" s="32">
        <f>_xlfn.XLOOKUP(B91,Table3[ProductID],Table3[StdFixedAlloc])</f>
        <v>175</v>
      </c>
      <c r="F91" s="33">
        <f>_xlfn.XLOOKUP(B91,Table3[ProductID],Table3[StdFixedAlloc])</f>
        <v>175</v>
      </c>
      <c r="G91" s="32">
        <f>_xlfn.XLOOKUP(B91,Table3[ProductID],Table3[StdFixedAlloc])</f>
        <v>175</v>
      </c>
      <c r="H91" s="32">
        <f>_xlfn.XLOOKUP(B91,Table3[ProductID],Table3[StdFixedAlloc])</f>
        <v>175</v>
      </c>
    </row>
    <row r="92" spans="2:8">
      <c r="B92" s="34" t="s">
        <v>68</v>
      </c>
      <c r="C92" s="32">
        <f>_xlfn.XLOOKUP(B92,Table3[ProductID],Table3[StdFixedAlloc])</f>
        <v>310</v>
      </c>
      <c r="D92" s="32">
        <f>_xlfn.XLOOKUP(B92,Table3[ProductID],Table3[StdFixedAlloc])</f>
        <v>310</v>
      </c>
      <c r="E92" s="32">
        <f>_xlfn.XLOOKUP(B92,Table3[ProductID],Table3[StdFixedAlloc])</f>
        <v>310</v>
      </c>
      <c r="F92" s="33">
        <f>_xlfn.XLOOKUP(B92,Table3[ProductID],Table3[StdFixedAlloc])</f>
        <v>310</v>
      </c>
      <c r="G92" s="32">
        <f>_xlfn.XLOOKUP(B92,Table3[ProductID],Table3[StdFixedAlloc])</f>
        <v>310</v>
      </c>
      <c r="H92" s="32">
        <f>_xlfn.XLOOKUP(B92,Table3[ProductID],Table3[StdFixedAlloc])</f>
        <v>310</v>
      </c>
    </row>
    <row r="93" spans="2:8">
      <c r="B93" s="35" t="s">
        <v>147</v>
      </c>
      <c r="C93" s="32">
        <f>_xlfn.XLOOKUP(B93,Table3[ProductID],Table3[StdFixedAlloc])</f>
        <v>680</v>
      </c>
      <c r="D93" s="32">
        <f>_xlfn.XLOOKUP(B93,Table3[ProductID],Table3[StdFixedAlloc])</f>
        <v>680</v>
      </c>
      <c r="E93" s="32">
        <f>_xlfn.XLOOKUP(B93,Table3[ProductID],Table3[StdFixedAlloc])</f>
        <v>680</v>
      </c>
      <c r="F93" s="33">
        <f>_xlfn.XLOOKUP(B93,Table3[ProductID],Table3[StdFixedAlloc])</f>
        <v>680</v>
      </c>
      <c r="G93" s="32">
        <f>_xlfn.XLOOKUP(B93,Table3[ProductID],Table3[StdFixedAlloc])</f>
        <v>680</v>
      </c>
      <c r="H93" s="32">
        <f>_xlfn.XLOOKUP(B93,Table3[ProductID],Table3[StdFixedAlloc])</f>
        <v>680</v>
      </c>
    </row>
    <row r="94" spans="2:8">
      <c r="B94" s="34" t="s">
        <v>51</v>
      </c>
      <c r="C94" s="32">
        <f>_xlfn.XLOOKUP(B94,Table3[ProductID],Table3[StdFixedAlloc])</f>
        <v>210</v>
      </c>
      <c r="D94" s="32">
        <f>_xlfn.XLOOKUP(B94,Table3[ProductID],Table3[StdFixedAlloc])</f>
        <v>210</v>
      </c>
      <c r="E94" s="32">
        <f>_xlfn.XLOOKUP(B94,Table3[ProductID],Table3[StdFixedAlloc])</f>
        <v>210</v>
      </c>
      <c r="F94" s="33">
        <f>_xlfn.XLOOKUP(B94,Table3[ProductID],Table3[StdFixedAlloc])</f>
        <v>210</v>
      </c>
      <c r="G94" s="32">
        <f>_xlfn.XLOOKUP(B94,Table3[ProductID],Table3[StdFixedAlloc])</f>
        <v>210</v>
      </c>
      <c r="H94" s="32">
        <f>_xlfn.XLOOKUP(B94,Table3[ProductID],Table3[StdFixedAlloc])</f>
        <v>210</v>
      </c>
    </row>
    <row r="95" spans="2:8">
      <c r="B95" s="35" t="s">
        <v>86</v>
      </c>
      <c r="C95" s="32">
        <f>_xlfn.XLOOKUP(B95,Table3[ProductID],Table3[StdFixedAlloc])</f>
        <v>145</v>
      </c>
      <c r="D95" s="32">
        <f>_xlfn.XLOOKUP(B95,Table3[ProductID],Table3[StdFixedAlloc])</f>
        <v>145</v>
      </c>
      <c r="E95" s="32">
        <f>_xlfn.XLOOKUP(B95,Table3[ProductID],Table3[StdFixedAlloc])</f>
        <v>145</v>
      </c>
      <c r="F95" s="33">
        <f>_xlfn.XLOOKUP(B95,Table3[ProductID],Table3[StdFixedAlloc])</f>
        <v>145</v>
      </c>
      <c r="G95" s="32">
        <f>_xlfn.XLOOKUP(B95,Table3[ProductID],Table3[StdFixedAlloc])</f>
        <v>145</v>
      </c>
      <c r="H95" s="32">
        <f>_xlfn.XLOOKUP(B95,Table3[ProductID],Table3[StdFixedAlloc])</f>
        <v>145</v>
      </c>
    </row>
    <row r="96" spans="2:8">
      <c r="B96" s="34" t="s">
        <v>62</v>
      </c>
      <c r="C96" s="32">
        <f>_xlfn.XLOOKUP(B96,Table3[ProductID],Table3[StdFixedAlloc])</f>
        <v>255</v>
      </c>
      <c r="D96" s="32">
        <f>_xlfn.XLOOKUP(B96,Table3[ProductID],Table3[StdFixedAlloc])</f>
        <v>255</v>
      </c>
      <c r="E96" s="32">
        <f>_xlfn.XLOOKUP(B96,Table3[ProductID],Table3[StdFixedAlloc])</f>
        <v>255</v>
      </c>
      <c r="F96" s="33">
        <f>_xlfn.XLOOKUP(B96,Table3[ProductID],Table3[StdFixedAlloc])</f>
        <v>255</v>
      </c>
      <c r="G96" s="32">
        <f>_xlfn.XLOOKUP(B96,Table3[ProductID],Table3[StdFixedAlloc])</f>
        <v>255</v>
      </c>
      <c r="H96" s="32">
        <f>_xlfn.XLOOKUP(B96,Table3[ProductID],Table3[StdFixedAlloc])</f>
        <v>255</v>
      </c>
    </row>
    <row r="97" spans="2:8">
      <c r="B97" s="35" t="s">
        <v>72</v>
      </c>
      <c r="C97" s="32">
        <f>_xlfn.XLOOKUP(B97,Table3[ProductID],Table3[StdFixedAlloc])</f>
        <v>42</v>
      </c>
      <c r="D97" s="32">
        <f>_xlfn.XLOOKUP(B97,Table3[ProductID],Table3[StdFixedAlloc])</f>
        <v>42</v>
      </c>
      <c r="E97" s="32">
        <f>_xlfn.XLOOKUP(B97,Table3[ProductID],Table3[StdFixedAlloc])</f>
        <v>42</v>
      </c>
      <c r="F97" s="33">
        <f>_xlfn.XLOOKUP(B97,Table3[ProductID],Table3[StdFixedAlloc])</f>
        <v>42</v>
      </c>
      <c r="G97" s="32">
        <f>_xlfn.XLOOKUP(B97,Table3[ProductID],Table3[StdFixedAlloc])</f>
        <v>42</v>
      </c>
      <c r="H97" s="32">
        <f>_xlfn.XLOOKUP(B97,Table3[ProductID],Table3[StdFixedAlloc])</f>
        <v>42</v>
      </c>
    </row>
    <row r="98" spans="2:8">
      <c r="B98" s="34" t="s">
        <v>31</v>
      </c>
      <c r="C98" s="32">
        <f>_xlfn.XLOOKUP(B98,Table3[ProductID],Table3[StdFixedAlloc])</f>
        <v>55</v>
      </c>
      <c r="D98" s="32">
        <f>_xlfn.XLOOKUP(B98,Table3[ProductID],Table3[StdFixedAlloc])</f>
        <v>55</v>
      </c>
      <c r="E98" s="32">
        <f>_xlfn.XLOOKUP(B98,Table3[ProductID],Table3[StdFixedAlloc])</f>
        <v>55</v>
      </c>
      <c r="F98" s="33">
        <f>_xlfn.XLOOKUP(B98,Table3[ProductID],Table3[StdFixedAlloc])</f>
        <v>55</v>
      </c>
      <c r="G98" s="32">
        <f>_xlfn.XLOOKUP(B98,Table3[ProductID],Table3[StdFixedAlloc])</f>
        <v>55</v>
      </c>
      <c r="H98" s="32">
        <f>_xlfn.XLOOKUP(B98,Table3[ProductID],Table3[StdFixedAlloc])</f>
        <v>55</v>
      </c>
    </row>
    <row r="99" spans="2:8">
      <c r="B99" s="35" t="s">
        <v>39</v>
      </c>
      <c r="C99" s="32">
        <f>_xlfn.XLOOKUP(B99,Table3[ProductID],Table3[StdFixedAlloc])</f>
        <v>125</v>
      </c>
      <c r="D99" s="32">
        <f>_xlfn.XLOOKUP(B99,Table3[ProductID],Table3[StdFixedAlloc])</f>
        <v>125</v>
      </c>
      <c r="E99" s="32">
        <f>_xlfn.XLOOKUP(B99,Table3[ProductID],Table3[StdFixedAlloc])</f>
        <v>125</v>
      </c>
      <c r="F99" s="33">
        <f>_xlfn.XLOOKUP(B99,Table3[ProductID],Table3[StdFixedAlloc])</f>
        <v>125</v>
      </c>
      <c r="G99" s="32">
        <f>_xlfn.XLOOKUP(B99,Table3[ProductID],Table3[StdFixedAlloc])</f>
        <v>125</v>
      </c>
      <c r="H99" s="32">
        <f>_xlfn.XLOOKUP(B99,Table3[ProductID],Table3[StdFixedAlloc])</f>
        <v>125</v>
      </c>
    </row>
    <row r="100" spans="2:8">
      <c r="B100" s="34" t="s">
        <v>22</v>
      </c>
      <c r="C100" s="32">
        <f>_xlfn.XLOOKUP(B100,Table3[ProductID],Table3[StdFixedAlloc])</f>
        <v>145</v>
      </c>
      <c r="D100" s="32">
        <f>_xlfn.XLOOKUP(B100,Table3[ProductID],Table3[StdFixedAlloc])</f>
        <v>145</v>
      </c>
      <c r="E100" s="32">
        <f>_xlfn.XLOOKUP(B100,Table3[ProductID],Table3[StdFixedAlloc])</f>
        <v>145</v>
      </c>
      <c r="F100" s="33">
        <f>_xlfn.XLOOKUP(B100,Table3[ProductID],Table3[StdFixedAlloc])</f>
        <v>145</v>
      </c>
      <c r="G100" s="32">
        <f>_xlfn.XLOOKUP(B100,Table3[ProductID],Table3[StdFixedAlloc])</f>
        <v>145</v>
      </c>
      <c r="H100" s="32">
        <f>_xlfn.XLOOKUP(B100,Table3[ProductID],Table3[StdFixedAlloc])</f>
        <v>145</v>
      </c>
    </row>
    <row r="101" spans="2:8">
      <c r="B101" s="35" t="s">
        <v>57</v>
      </c>
      <c r="C101" s="32">
        <f>_xlfn.XLOOKUP(B101,Table3[ProductID],Table3[StdFixedAlloc])</f>
        <v>78</v>
      </c>
      <c r="D101" s="32">
        <f>_xlfn.XLOOKUP(B101,Table3[ProductID],Table3[StdFixedAlloc])</f>
        <v>78</v>
      </c>
      <c r="E101" s="32">
        <f>_xlfn.XLOOKUP(B101,Table3[ProductID],Table3[StdFixedAlloc])</f>
        <v>78</v>
      </c>
      <c r="F101" s="33">
        <f>_xlfn.XLOOKUP(B101,Table3[ProductID],Table3[StdFixedAlloc])</f>
        <v>78</v>
      </c>
      <c r="G101" s="32">
        <f>_xlfn.XLOOKUP(B101,Table3[ProductID],Table3[StdFixedAlloc])</f>
        <v>78</v>
      </c>
      <c r="H101" s="32">
        <f>_xlfn.XLOOKUP(B101,Table3[ProductID],Table3[StdFixedAlloc])</f>
        <v>78</v>
      </c>
    </row>
    <row r="102" spans="2:8">
      <c r="B102" s="34" t="s">
        <v>43</v>
      </c>
      <c r="C102" s="32">
        <f>_xlfn.XLOOKUP(B102,Table3[ProductID],Table3[StdFixedAlloc])</f>
        <v>28</v>
      </c>
      <c r="D102" s="32">
        <f>_xlfn.XLOOKUP(B102,Table3[ProductID],Table3[StdFixedAlloc])</f>
        <v>28</v>
      </c>
      <c r="E102" s="32">
        <f>_xlfn.XLOOKUP(B102,Table3[ProductID],Table3[StdFixedAlloc])</f>
        <v>28</v>
      </c>
      <c r="F102" s="33">
        <f>_xlfn.XLOOKUP(B102,Table3[ProductID],Table3[StdFixedAlloc])</f>
        <v>28</v>
      </c>
      <c r="G102" s="32">
        <f>_xlfn.XLOOKUP(B102,Table3[ProductID],Table3[StdFixedAlloc])</f>
        <v>28</v>
      </c>
      <c r="H102" s="32">
        <f>_xlfn.XLOOKUP(B102,Table3[ProductID],Table3[StdFixedAlloc])</f>
        <v>28</v>
      </c>
    </row>
    <row r="103" spans="2:8">
      <c r="B103" s="35" t="s">
        <v>97</v>
      </c>
      <c r="C103" s="32">
        <f>_xlfn.XLOOKUP(B103,Table3[ProductID],Table3[StdFixedAlloc])</f>
        <v>68</v>
      </c>
      <c r="D103" s="32">
        <f>_xlfn.XLOOKUP(B103,Table3[ProductID],Table3[StdFixedAlloc])</f>
        <v>68</v>
      </c>
      <c r="E103" s="32">
        <f>_xlfn.XLOOKUP(B103,Table3[ProductID],Table3[StdFixedAlloc])</f>
        <v>68</v>
      </c>
      <c r="F103" s="33">
        <f>_xlfn.XLOOKUP(B103,Table3[ProductID],Table3[StdFixedAlloc])</f>
        <v>68</v>
      </c>
      <c r="G103" s="32">
        <f>_xlfn.XLOOKUP(B103,Table3[ProductID],Table3[StdFixedAlloc])</f>
        <v>68</v>
      </c>
      <c r="H103" s="32">
        <f>_xlfn.XLOOKUP(B103,Table3[ProductID],Table3[StdFixedAlloc])</f>
        <v>68</v>
      </c>
    </row>
    <row r="104" spans="2:8">
      <c r="B104" s="38" t="s">
        <v>152</v>
      </c>
      <c r="C104" s="39">
        <f>_xlfn.XLOOKUP(B104,Table3[ProductID],Table3[StdFixedAlloc])</f>
        <v>72</v>
      </c>
      <c r="D104" s="32">
        <f>_xlfn.XLOOKUP(B104,Table3[ProductID],Table3[StdFixedAlloc])</f>
        <v>72</v>
      </c>
      <c r="E104" s="32">
        <f>_xlfn.XLOOKUP(B104,Table3[ProductID],Table3[StdFixedAlloc])</f>
        <v>72</v>
      </c>
      <c r="F104" s="33">
        <f>_xlfn.XLOOKUP(B104,Table3[ProductID],Table3[StdFixedAlloc])</f>
        <v>72</v>
      </c>
      <c r="G104" s="32">
        <f>_xlfn.XLOOKUP(B104,Table3[ProductID],Table3[StdFixedAlloc])</f>
        <v>72</v>
      </c>
      <c r="H104" s="32">
        <f>_xlfn.XLOOKUP(B104,Table3[ProductID],Table3[StdFixedAlloc])</f>
        <v>72</v>
      </c>
    </row>
    <row r="106" spans="2:8">
      <c r="B106" t="s">
        <v>4</v>
      </c>
      <c r="C106" s="40" t="s">
        <v>2633</v>
      </c>
      <c r="D106" s="40" t="s">
        <v>2634</v>
      </c>
      <c r="E106" s="40" t="s">
        <v>2635</v>
      </c>
      <c r="F106" s="40" t="s">
        <v>2636</v>
      </c>
      <c r="G106" s="40" t="s">
        <v>2637</v>
      </c>
      <c r="H106" s="40" t="s">
        <v>2638</v>
      </c>
    </row>
    <row r="107" spans="2:8">
      <c r="B107" t="s">
        <v>133</v>
      </c>
      <c r="C107">
        <f>C86*Business_Profitability!C3</f>
        <v>1320</v>
      </c>
      <c r="D107">
        <f>D86*Business_Profitability!D3</f>
        <v>1540</v>
      </c>
      <c r="E107">
        <f>E86*Business_Profitability!E3</f>
        <v>2200</v>
      </c>
      <c r="F107">
        <f>F86*Business_Profitability!F3</f>
        <v>1540</v>
      </c>
      <c r="G107">
        <f>G86*Business_Profitability!G3</f>
        <v>1980</v>
      </c>
      <c r="H107">
        <f>H86*Business_Profitability!H3</f>
        <v>2420</v>
      </c>
    </row>
    <row r="108" spans="2:8">
      <c r="B108" t="s">
        <v>81</v>
      </c>
      <c r="C108">
        <f>C87*Business_Profitability!C4</f>
        <v>3080</v>
      </c>
      <c r="D108">
        <f>D87*Business_Profitability!D4</f>
        <v>280</v>
      </c>
      <c r="E108">
        <f>E87*Business_Profitability!E4</f>
        <v>1960</v>
      </c>
      <c r="F108">
        <f>F87*Business_Profitability!F4</f>
        <v>2520</v>
      </c>
      <c r="G108">
        <f>G87*Business_Profitability!G4</f>
        <v>4760</v>
      </c>
      <c r="H108">
        <f>H87*Business_Profitability!H4</f>
        <v>1680</v>
      </c>
    </row>
    <row r="109" spans="2:8">
      <c r="B109" t="s">
        <v>216</v>
      </c>
      <c r="C109">
        <f>C88*Business_Profitability!C5</f>
        <v>820</v>
      </c>
      <c r="D109">
        <f>D88*Business_Profitability!D5</f>
        <v>0</v>
      </c>
      <c r="E109">
        <f>E88*Business_Profitability!E5</f>
        <v>2460</v>
      </c>
      <c r="F109">
        <f>F88*Business_Profitability!F5</f>
        <v>2460</v>
      </c>
      <c r="G109">
        <f>G88*Business_Profitability!G5</f>
        <v>1230</v>
      </c>
      <c r="H109">
        <f>H88*Business_Profitability!H5</f>
        <v>3280</v>
      </c>
    </row>
    <row r="110" spans="2:8">
      <c r="B110" t="s">
        <v>432</v>
      </c>
      <c r="C110">
        <f>C89*Business_Profitability!C6</f>
        <v>1750</v>
      </c>
      <c r="D110">
        <f>D89*Business_Profitability!D6</f>
        <v>350</v>
      </c>
      <c r="E110">
        <f>E89*Business_Profitability!E6</f>
        <v>1400</v>
      </c>
      <c r="F110">
        <f>F89*Business_Profitability!F6</f>
        <v>0</v>
      </c>
      <c r="G110">
        <f>G89*Business_Profitability!G6</f>
        <v>700</v>
      </c>
      <c r="H110">
        <f>H89*Business_Profitability!H6</f>
        <v>1400</v>
      </c>
    </row>
    <row r="111" spans="2:8">
      <c r="B111" t="s">
        <v>101</v>
      </c>
      <c r="C111">
        <f>C90*Business_Profitability!C7</f>
        <v>475</v>
      </c>
      <c r="D111">
        <f>D90*Business_Profitability!D7</f>
        <v>285</v>
      </c>
      <c r="E111">
        <f>E90*Business_Profitability!E7</f>
        <v>190</v>
      </c>
      <c r="F111">
        <f>F90*Business_Profitability!F7</f>
        <v>570</v>
      </c>
      <c r="G111">
        <f>G90*Business_Profitability!G7</f>
        <v>855</v>
      </c>
      <c r="H111">
        <f>H90*Business_Profitability!H7</f>
        <v>380</v>
      </c>
    </row>
    <row r="112" spans="2:8">
      <c r="B112" t="s">
        <v>92</v>
      </c>
      <c r="C112">
        <f>C91*Business_Profitability!C8</f>
        <v>1050</v>
      </c>
      <c r="D112">
        <f>D91*Business_Profitability!D8</f>
        <v>1575</v>
      </c>
      <c r="E112">
        <f>E91*Business_Profitability!E8</f>
        <v>1050</v>
      </c>
      <c r="F112">
        <f>F91*Business_Profitability!F8</f>
        <v>700</v>
      </c>
      <c r="G112">
        <f>G91*Business_Profitability!G8</f>
        <v>350</v>
      </c>
      <c r="H112">
        <f>H91*Business_Profitability!H8</f>
        <v>875</v>
      </c>
    </row>
    <row r="113" spans="2:11">
      <c r="B113" t="s">
        <v>68</v>
      </c>
      <c r="C113">
        <f>C92*Business_Profitability!C9</f>
        <v>7440</v>
      </c>
      <c r="D113">
        <f>D92*Business_Profitability!D9</f>
        <v>4960</v>
      </c>
      <c r="E113">
        <f>E92*Business_Profitability!E9</f>
        <v>4960</v>
      </c>
      <c r="F113">
        <f>F92*Business_Profitability!F9</f>
        <v>4650</v>
      </c>
      <c r="G113">
        <f>G92*Business_Profitability!G9</f>
        <v>8370</v>
      </c>
      <c r="H113">
        <f>H92*Business_Profitability!H9</f>
        <v>7750</v>
      </c>
    </row>
    <row r="114" spans="2:11">
      <c r="B114" t="s">
        <v>147</v>
      </c>
      <c r="C114">
        <f>C93*Business_Profitability!C10</f>
        <v>3400</v>
      </c>
      <c r="D114">
        <f>D93*Business_Profitability!D10</f>
        <v>2040</v>
      </c>
      <c r="E114">
        <f>E93*Business_Profitability!E10</f>
        <v>2720</v>
      </c>
      <c r="F114">
        <f>F93*Business_Profitability!F10</f>
        <v>8160</v>
      </c>
      <c r="G114">
        <f>G93*Business_Profitability!G10</f>
        <v>6800</v>
      </c>
      <c r="H114">
        <f>H93*Business_Profitability!H10</f>
        <v>15640</v>
      </c>
    </row>
    <row r="115" spans="2:11">
      <c r="B115" t="s">
        <v>51</v>
      </c>
      <c r="C115">
        <f>C94*Business_Profitability!C11</f>
        <v>1470</v>
      </c>
      <c r="D115">
        <f>D94*Business_Profitability!D11</f>
        <v>1260</v>
      </c>
      <c r="E115">
        <f>E94*Business_Profitability!E11</f>
        <v>840</v>
      </c>
      <c r="F115">
        <f>F94*Business_Profitability!F11</f>
        <v>2940</v>
      </c>
      <c r="G115">
        <f>G94*Business_Profitability!G11</f>
        <v>1890</v>
      </c>
      <c r="H115">
        <f>H94*Business_Profitability!H11</f>
        <v>3780</v>
      </c>
    </row>
    <row r="116" spans="2:11">
      <c r="B116" t="s">
        <v>86</v>
      </c>
      <c r="C116">
        <f>C95*Business_Profitability!C12</f>
        <v>1595</v>
      </c>
      <c r="D116">
        <f>D95*Business_Profitability!D12</f>
        <v>870</v>
      </c>
      <c r="E116">
        <f>E95*Business_Profitability!E12</f>
        <v>1885</v>
      </c>
      <c r="F116">
        <f>F95*Business_Profitability!F12</f>
        <v>1595</v>
      </c>
      <c r="G116">
        <f>G95*Business_Profitability!G12</f>
        <v>1450</v>
      </c>
      <c r="H116">
        <f>H95*Business_Profitability!H12</f>
        <v>2030</v>
      </c>
    </row>
    <row r="117" spans="2:11">
      <c r="B117" t="s">
        <v>62</v>
      </c>
      <c r="C117">
        <f>C96*Business_Profitability!C13</f>
        <v>2295</v>
      </c>
      <c r="D117">
        <f>D96*Business_Profitability!D13</f>
        <v>1020</v>
      </c>
      <c r="E117">
        <f>E96*Business_Profitability!E13</f>
        <v>4845</v>
      </c>
      <c r="F117">
        <f>F96*Business_Profitability!F13</f>
        <v>1530</v>
      </c>
      <c r="G117">
        <f>G96*Business_Profitability!G13</f>
        <v>255</v>
      </c>
      <c r="H117">
        <f>H96*Business_Profitability!H13</f>
        <v>3060</v>
      </c>
    </row>
    <row r="118" spans="2:11">
      <c r="B118" t="s">
        <v>72</v>
      </c>
      <c r="C118">
        <f>C97*Business_Profitability!C14</f>
        <v>3906</v>
      </c>
      <c r="D118">
        <f>D97*Business_Profitability!D14</f>
        <v>4074</v>
      </c>
      <c r="E118">
        <f>E97*Business_Profitability!E14</f>
        <v>5334</v>
      </c>
      <c r="F118">
        <f>F97*Business_Profitability!F14</f>
        <v>5292</v>
      </c>
      <c r="G118">
        <f>G97*Business_Profitability!G14</f>
        <v>3486</v>
      </c>
      <c r="H118">
        <f>H97*Business_Profitability!H14</f>
        <v>3612</v>
      </c>
    </row>
    <row r="119" spans="2:11">
      <c r="B119" t="s">
        <v>31</v>
      </c>
      <c r="C119">
        <f>C98*Business_Profitability!C15</f>
        <v>4070</v>
      </c>
      <c r="D119">
        <f>D98*Business_Profitability!D15</f>
        <v>1650</v>
      </c>
      <c r="E119">
        <f>E98*Business_Profitability!E15</f>
        <v>2970</v>
      </c>
      <c r="F119">
        <f>F98*Business_Profitability!F15</f>
        <v>4895</v>
      </c>
      <c r="G119">
        <f>G98*Business_Profitability!G15</f>
        <v>2695</v>
      </c>
      <c r="H119">
        <f>H98*Business_Profitability!H15</f>
        <v>5500</v>
      </c>
    </row>
    <row r="120" spans="2:11">
      <c r="B120" t="s">
        <v>39</v>
      </c>
      <c r="C120">
        <f>C99*Business_Profitability!C16</f>
        <v>5375</v>
      </c>
      <c r="D120">
        <f>D99*Business_Profitability!D16</f>
        <v>6750</v>
      </c>
      <c r="E120">
        <f>E99*Business_Profitability!E16</f>
        <v>4500</v>
      </c>
      <c r="F120">
        <f>F99*Business_Profitability!F16</f>
        <v>5875</v>
      </c>
      <c r="G120">
        <f>G99*Business_Profitability!G16</f>
        <v>7500</v>
      </c>
      <c r="H120">
        <f>H99*Business_Profitability!H16</f>
        <v>2875</v>
      </c>
    </row>
    <row r="121" spans="2:11">
      <c r="B121" t="s">
        <v>22</v>
      </c>
      <c r="C121">
        <f>C100*Business_Profitability!C17</f>
        <v>2030</v>
      </c>
      <c r="D121">
        <f>D100*Business_Profitability!D17</f>
        <v>3190</v>
      </c>
      <c r="E121">
        <f>E100*Business_Profitability!E17</f>
        <v>2755</v>
      </c>
      <c r="F121">
        <f>F100*Business_Profitability!F17</f>
        <v>6670</v>
      </c>
      <c r="G121">
        <f>G100*Business_Profitability!G17</f>
        <v>12325</v>
      </c>
      <c r="H121">
        <f>H100*Business_Profitability!H17</f>
        <v>4350</v>
      </c>
    </row>
    <row r="122" spans="2:11">
      <c r="B122" t="s">
        <v>57</v>
      </c>
      <c r="C122">
        <f>C101*Business_Profitability!C18</f>
        <v>2496</v>
      </c>
      <c r="D122">
        <f>D101*Business_Profitability!D18</f>
        <v>2418</v>
      </c>
      <c r="E122">
        <f>E101*Business_Profitability!E18</f>
        <v>2808</v>
      </c>
      <c r="F122">
        <f>F101*Business_Profitability!F18</f>
        <v>4524</v>
      </c>
      <c r="G122">
        <f>G101*Business_Profitability!G18</f>
        <v>1716</v>
      </c>
      <c r="H122">
        <f>H101*Business_Profitability!H18</f>
        <v>6240</v>
      </c>
    </row>
    <row r="123" spans="2:11">
      <c r="B123" t="s">
        <v>43</v>
      </c>
      <c r="C123">
        <f>C102*Business_Profitability!C19</f>
        <v>1568</v>
      </c>
      <c r="D123">
        <f>D102*Business_Profitability!D19</f>
        <v>2604</v>
      </c>
      <c r="E123">
        <f>E102*Business_Profitability!E19</f>
        <v>2296</v>
      </c>
      <c r="F123">
        <f>F102*Business_Profitability!F19</f>
        <v>2044</v>
      </c>
      <c r="G123">
        <f>G102*Business_Profitability!G19</f>
        <v>2576</v>
      </c>
      <c r="H123">
        <f>H102*Business_Profitability!H19</f>
        <v>3416</v>
      </c>
    </row>
    <row r="124" spans="2:11">
      <c r="B124" t="s">
        <v>97</v>
      </c>
      <c r="C124">
        <f>C103*Business_Profitability!C20</f>
        <v>2788</v>
      </c>
      <c r="D124">
        <f>D103*Business_Profitability!D20</f>
        <v>5440</v>
      </c>
      <c r="E124">
        <f>E103*Business_Profitability!E20</f>
        <v>4148</v>
      </c>
      <c r="F124">
        <f>F103*Business_Profitability!F20</f>
        <v>5100</v>
      </c>
      <c r="G124">
        <f>G103*Business_Profitability!G20</f>
        <v>3876</v>
      </c>
      <c r="H124">
        <f>H103*Business_Profitability!H20</f>
        <v>3196</v>
      </c>
    </row>
    <row r="125" spans="2:11">
      <c r="B125" t="s">
        <v>152</v>
      </c>
      <c r="C125">
        <f>C104*Business_Profitability!C21</f>
        <v>3528</v>
      </c>
      <c r="D125">
        <f>D104*Business_Profitability!D21</f>
        <v>2592</v>
      </c>
      <c r="E125">
        <f>E104*Business_Profitability!E21</f>
        <v>5256</v>
      </c>
      <c r="F125">
        <f>F104*Business_Profitability!F21</f>
        <v>2880</v>
      </c>
      <c r="G125">
        <f>G104*Business_Profitability!G21</f>
        <v>2880</v>
      </c>
      <c r="H125">
        <f>H104*Business_Profitability!H21</f>
        <v>3600</v>
      </c>
    </row>
    <row r="127" spans="2:11">
      <c r="B127" s="11" t="s">
        <v>4</v>
      </c>
      <c r="C127" s="41" t="s">
        <v>2633</v>
      </c>
      <c r="D127" s="41" t="s">
        <v>2634</v>
      </c>
      <c r="E127" s="41" t="s">
        <v>2635</v>
      </c>
      <c r="F127" s="41" t="s">
        <v>2636</v>
      </c>
      <c r="G127" s="41" t="s">
        <v>2637</v>
      </c>
      <c r="H127" s="41" t="s">
        <v>2638</v>
      </c>
      <c r="I127" s="11" t="s">
        <v>2651</v>
      </c>
      <c r="J127" s="41" t="s">
        <v>2044</v>
      </c>
      <c r="K127" s="41" t="s">
        <v>2659</v>
      </c>
    </row>
    <row r="128" spans="2:11">
      <c r="B128" s="9" t="s">
        <v>133</v>
      </c>
      <c r="C128" s="7">
        <f>C107+Business_Profitability!C49</f>
        <v>8077.5</v>
      </c>
      <c r="D128" s="7">
        <f>D107+Business_Profitability!D49</f>
        <v>9409.9599999999991</v>
      </c>
      <c r="E128" s="7">
        <f>E107+Business_Profitability!E49</f>
        <v>13280.8</v>
      </c>
      <c r="F128" s="7">
        <f>F107+Business_Profitability!F49</f>
        <v>9406.11</v>
      </c>
      <c r="G128" s="7">
        <f>G107+Business_Profitability!G49</f>
        <v>12362.039999999999</v>
      </c>
      <c r="H128" s="7">
        <f>H107+Business_Profitability!H49</f>
        <v>14718.55</v>
      </c>
      <c r="I128" s="7">
        <f>SUM(Product_Monthly_COGS[[#This Row],[25-Jan]:[25-Jun]])</f>
        <v>67254.959999999992</v>
      </c>
      <c r="J128" s="7" t="str">
        <f>_xlfn.XLOOKUP(Product_Monthly_COGS[[#This Row],[ProductID]],Table3[ProductID],Table3[BU])</f>
        <v>Field Services</v>
      </c>
      <c r="K128" s="7" t="str">
        <f>_xlfn.XLOOKUP(Product_Monthly_COGS[[#This Row],[ProductID]],Table3[ProductID],Table3[Category_Clean],,0)</f>
        <v>Services</v>
      </c>
    </row>
    <row r="129" spans="2:11">
      <c r="B129" s="9" t="s">
        <v>81</v>
      </c>
      <c r="C129" s="7">
        <f>C108+Business_Profitability!C50</f>
        <v>16980.810000000001</v>
      </c>
      <c r="D129" s="7">
        <f>D108+Business_Profitability!D50</f>
        <v>1522.76</v>
      </c>
      <c r="E129" s="7">
        <f>E108+Business_Profitability!E50</f>
        <v>10491.32</v>
      </c>
      <c r="F129" s="7">
        <f>F108+Business_Profitability!F50</f>
        <v>13747.32</v>
      </c>
      <c r="G129" s="7">
        <f>G108+Business_Profitability!G50</f>
        <v>25962.400000000001</v>
      </c>
      <c r="H129" s="7">
        <f>H108+Business_Profitability!H50</f>
        <v>9307.74</v>
      </c>
      <c r="I129" s="7">
        <f>SUM(Product_Monthly_COGS[[#This Row],[25-Jan]:[25-Jun]])</f>
        <v>78012.350000000006</v>
      </c>
      <c r="J129" s="7" t="str">
        <f>_xlfn.XLOOKUP(Product_Monthly_COGS[[#This Row],[ProductID]],Table3[ProductID],Table3[BU])</f>
        <v>Field Services</v>
      </c>
      <c r="K129" s="7" t="str">
        <f>_xlfn.XLOOKUP(Product_Monthly_COGS[[#This Row],[ProductID]],Table3[ProductID],Table3[Category_Clean],,0)</f>
        <v>Services</v>
      </c>
    </row>
    <row r="130" spans="2:11">
      <c r="B130" s="9" t="s">
        <v>216</v>
      </c>
      <c r="C130" s="7">
        <f>C109+Business_Profitability!C51</f>
        <v>5042.12</v>
      </c>
      <c r="D130" s="7">
        <f>D109+Business_Profitability!D51</f>
        <v>0</v>
      </c>
      <c r="E130" s="7">
        <f>E109+Business_Profitability!E51</f>
        <v>15090</v>
      </c>
      <c r="F130" s="7">
        <f>F109+Business_Profitability!F51</f>
        <v>15134.22</v>
      </c>
      <c r="G130" s="7">
        <f>G109+Business_Profitability!G51</f>
        <v>7597.08</v>
      </c>
      <c r="H130" s="7">
        <f>H109+Business_Profitability!H51</f>
        <v>20497.759999999998</v>
      </c>
      <c r="I130" s="7">
        <f>SUM(Product_Monthly_COGS[[#This Row],[25-Jan]:[25-Jun]])</f>
        <v>63361.179999999993</v>
      </c>
      <c r="J130" s="7" t="str">
        <f>_xlfn.XLOOKUP(Product_Monthly_COGS[[#This Row],[ProductID]],Table3[ProductID],Table3[BU])</f>
        <v>Field Services</v>
      </c>
      <c r="K130" s="7" t="str">
        <f>_xlfn.XLOOKUP(Product_Monthly_COGS[[#This Row],[ProductID]],Table3[ProductID],Table3[Category_Clean],,0)</f>
        <v>Services</v>
      </c>
    </row>
    <row r="131" spans="2:11">
      <c r="B131" s="9" t="s">
        <v>432</v>
      </c>
      <c r="C131" s="7">
        <f>C110+Business_Profitability!C52</f>
        <v>11859.8</v>
      </c>
      <c r="D131" s="7">
        <f>D110+Business_Profitability!D52</f>
        <v>2417.88</v>
      </c>
      <c r="E131" s="7">
        <f>E110+Business_Profitability!E52</f>
        <v>9564.7200000000012</v>
      </c>
      <c r="F131" s="7">
        <f>F110+Business_Profitability!F52</f>
        <v>0</v>
      </c>
      <c r="G131" s="7">
        <f>G110+Business_Profitability!G52</f>
        <v>4841.84</v>
      </c>
      <c r="H131" s="7">
        <f>H110+Business_Profitability!H52</f>
        <v>9639.1200000000008</v>
      </c>
      <c r="I131" s="7">
        <f>SUM(Product_Monthly_COGS[[#This Row],[25-Jan]:[25-Jun]])</f>
        <v>38323.360000000001</v>
      </c>
      <c r="J131" s="7" t="str">
        <f>_xlfn.XLOOKUP(Product_Monthly_COGS[[#This Row],[ProductID]],Table3[ProductID],Table3[BU])</f>
        <v>Field Services</v>
      </c>
      <c r="K131" s="7" t="str">
        <f>_xlfn.XLOOKUP(Product_Monthly_COGS[[#This Row],[ProductID]],Table3[ProductID],Table3[Category_Clean],,0)</f>
        <v>Services</v>
      </c>
    </row>
    <row r="132" spans="2:11">
      <c r="B132" s="9" t="s">
        <v>101</v>
      </c>
      <c r="C132" s="7">
        <f>C111+Business_Profitability!C53</f>
        <v>2515.5500000000002</v>
      </c>
      <c r="D132" s="7">
        <f>D111+Business_Profitability!D53</f>
        <v>1583.52</v>
      </c>
      <c r="E132" s="7">
        <f>E111+Business_Profitability!E53</f>
        <v>1062.58</v>
      </c>
      <c r="F132" s="7">
        <f>F111+Business_Profitability!F53</f>
        <v>3229.86</v>
      </c>
      <c r="G132" s="7">
        <f>G111+Business_Profitability!G53</f>
        <v>4819.8600000000006</v>
      </c>
      <c r="H132" s="7">
        <f>H111+Business_Profitability!H53</f>
        <v>2022.84</v>
      </c>
      <c r="I132" s="7">
        <f>SUM(Product_Monthly_COGS[[#This Row],[25-Jan]:[25-Jun]])</f>
        <v>15234.210000000001</v>
      </c>
      <c r="J132" s="7" t="str">
        <f>_xlfn.XLOOKUP(Product_Monthly_COGS[[#This Row],[ProductID]],Table3[ProductID],Table3[BU])</f>
        <v>Field Services</v>
      </c>
      <c r="K132" s="7" t="str">
        <f>_xlfn.XLOOKUP(Product_Monthly_COGS[[#This Row],[ProductID]],Table3[ProductID],Table3[Category_Clean],,0)</f>
        <v>Services</v>
      </c>
    </row>
    <row r="133" spans="2:11">
      <c r="B133" s="9" t="s">
        <v>92</v>
      </c>
      <c r="C133" s="7">
        <f>C112+Business_Profitability!C54</f>
        <v>3396.3</v>
      </c>
      <c r="D133" s="7">
        <f>D112+Business_Profitability!D54</f>
        <v>5032.7999999999993</v>
      </c>
      <c r="E133" s="7">
        <f>E112+Business_Profitability!E54</f>
        <v>3414.12</v>
      </c>
      <c r="F133" s="7">
        <f>F112+Business_Profitability!F54</f>
        <v>2315.52</v>
      </c>
      <c r="G133" s="7">
        <f>G112+Business_Profitability!G54</f>
        <v>1142.6799999999998</v>
      </c>
      <c r="H133" s="7">
        <f>H112+Business_Profitability!H54</f>
        <v>2775.35</v>
      </c>
      <c r="I133" s="7">
        <f>SUM(Product_Monthly_COGS[[#This Row],[25-Jan]:[25-Jun]])</f>
        <v>18076.769999999997</v>
      </c>
      <c r="J133" s="7" t="str">
        <f>_xlfn.XLOOKUP(Product_Monthly_COGS[[#This Row],[ProductID]],Table3[ProductID],Table3[BU])</f>
        <v>Field Services</v>
      </c>
      <c r="K133" s="7" t="str">
        <f>_xlfn.XLOOKUP(Product_Monthly_COGS[[#This Row],[ProductID]],Table3[ProductID],Table3[Category_Clean],,0)</f>
        <v>Services</v>
      </c>
    </row>
    <row r="134" spans="2:11">
      <c r="B134" s="9" t="s">
        <v>68</v>
      </c>
      <c r="C134" s="7">
        <f>C113+Business_Profitability!C55</f>
        <v>12262.56</v>
      </c>
      <c r="D134" s="7">
        <f>D113+Business_Profitability!D55</f>
        <v>8021.76</v>
      </c>
      <c r="E134" s="7">
        <f>E113+Business_Profitability!E55</f>
        <v>8007.3600000000006</v>
      </c>
      <c r="F134" s="7">
        <f>F113+Business_Profitability!F55</f>
        <v>7334.1</v>
      </c>
      <c r="G134" s="7">
        <f>G113+Business_Profitability!G55</f>
        <v>13535.91</v>
      </c>
      <c r="H134" s="7">
        <f>H113+Business_Profitability!H55</f>
        <v>12336</v>
      </c>
      <c r="I134" s="7">
        <f>SUM(Product_Monthly_COGS[[#This Row],[25-Jan]:[25-Jun]])</f>
        <v>61497.69</v>
      </c>
      <c r="J134" s="7" t="str">
        <f>_xlfn.XLOOKUP(Product_Monthly_COGS[[#This Row],[ProductID]],Table3[ProductID],Table3[BU])</f>
        <v>Software &amp; Analytics</v>
      </c>
      <c r="K134" s="7" t="str">
        <f>_xlfn.XLOOKUP(Product_Monthly_COGS[[#This Row],[ProductID]],Table3[ProductID],Table3[Category_Clean],,0)</f>
        <v>Software</v>
      </c>
    </row>
    <row r="135" spans="2:11">
      <c r="B135" s="9" t="s">
        <v>147</v>
      </c>
      <c r="C135" s="7">
        <f>C114+Business_Profitability!C56</f>
        <v>5417.55</v>
      </c>
      <c r="D135" s="7">
        <f>D114+Business_Profitability!D56</f>
        <v>3220.5299999999997</v>
      </c>
      <c r="E135" s="7">
        <f>E114+Business_Profitability!E56</f>
        <v>4288.72</v>
      </c>
      <c r="F135" s="7">
        <f>F114+Business_Profitability!F56</f>
        <v>12910.8</v>
      </c>
      <c r="G135" s="7">
        <f>G114+Business_Profitability!G56</f>
        <v>10876.4</v>
      </c>
      <c r="H135" s="7">
        <f>H114+Business_Profitability!H56</f>
        <v>24924.41</v>
      </c>
      <c r="I135" s="7">
        <f>SUM(Product_Monthly_COGS[[#This Row],[25-Jan]:[25-Jun]])</f>
        <v>61638.41</v>
      </c>
      <c r="J135" s="7" t="str">
        <f>_xlfn.XLOOKUP(Product_Monthly_COGS[[#This Row],[ProductID]],Table3[ProductID],Table3[BU])</f>
        <v>Software &amp; Analytics</v>
      </c>
      <c r="K135" s="7" t="str">
        <f>_xlfn.XLOOKUP(Product_Monthly_COGS[[#This Row],[ProductID]],Table3[ProductID],Table3[Category_Clean],,0)</f>
        <v>Software</v>
      </c>
    </row>
    <row r="136" spans="2:11">
      <c r="B136" s="9" t="s">
        <v>51</v>
      </c>
      <c r="C136" s="7">
        <f>C115+Business_Profitability!C57</f>
        <v>2125.9</v>
      </c>
      <c r="D136" s="7">
        <f>D115+Business_Profitability!D57</f>
        <v>1840.92</v>
      </c>
      <c r="E136" s="7">
        <f>E115+Business_Profitability!E57</f>
        <v>1248.5999999999999</v>
      </c>
      <c r="F136" s="7">
        <f>F115+Business_Profitability!F57</f>
        <v>4262.4399999999996</v>
      </c>
      <c r="G136" s="7">
        <f>G115+Business_Profitability!G57</f>
        <v>2721.96</v>
      </c>
      <c r="H136" s="7">
        <f>H115+Business_Profitability!H57</f>
        <v>5499.36</v>
      </c>
      <c r="I136" s="7">
        <f>SUM(Product_Monthly_COGS[[#This Row],[25-Jan]:[25-Jun]])</f>
        <v>17699.18</v>
      </c>
      <c r="J136" s="7" t="str">
        <f>_xlfn.XLOOKUP(Product_Monthly_COGS[[#This Row],[ProductID]],Table3[ProductID],Table3[BU])</f>
        <v>Software &amp; Analytics</v>
      </c>
      <c r="K136" s="7" t="str">
        <f>_xlfn.XLOOKUP(Product_Monthly_COGS[[#This Row],[ProductID]],Table3[ProductID],Table3[Category_Clean],,0)</f>
        <v>Software</v>
      </c>
    </row>
    <row r="137" spans="2:11">
      <c r="B137" s="9" t="s">
        <v>86</v>
      </c>
      <c r="C137" s="7">
        <f>C116+Business_Profitability!C58</f>
        <v>2324.63</v>
      </c>
      <c r="D137" s="7">
        <f>D116+Business_Profitability!D58</f>
        <v>1289.0999999999999</v>
      </c>
      <c r="E137" s="7">
        <f>E116+Business_Profitability!E58</f>
        <v>2764.71</v>
      </c>
      <c r="F137" s="7">
        <f>F116+Business_Profitability!F58</f>
        <v>2287.7799999999997</v>
      </c>
      <c r="G137" s="7">
        <f>G116+Business_Profitability!G58</f>
        <v>2097.1</v>
      </c>
      <c r="H137" s="7">
        <f>H116+Business_Profitability!H58</f>
        <v>2932.3</v>
      </c>
      <c r="I137" s="7">
        <f>SUM(Product_Monthly_COGS[[#This Row],[25-Jan]:[25-Jun]])</f>
        <v>13695.620000000003</v>
      </c>
      <c r="J137" s="7" t="str">
        <f>_xlfn.XLOOKUP(Product_Monthly_COGS[[#This Row],[ProductID]],Table3[ProductID],Table3[BU])</f>
        <v>Software &amp; Analytics</v>
      </c>
      <c r="K137" s="7" t="str">
        <f>_xlfn.XLOOKUP(Product_Monthly_COGS[[#This Row],[ProductID]],Table3[ProductID],Table3[Category_Clean],,0)</f>
        <v>Software</v>
      </c>
    </row>
    <row r="138" spans="2:11" ht="15" customHeight="1">
      <c r="B138" s="9" t="s">
        <v>62</v>
      </c>
      <c r="C138" s="7">
        <f>C117+Business_Profitability!C59</f>
        <v>3587.3999999999996</v>
      </c>
      <c r="D138" s="7">
        <f>D117+Business_Profitability!D59</f>
        <v>1582.52</v>
      </c>
      <c r="E138" s="7">
        <f>E117+Business_Profitability!E59</f>
        <v>7629.83</v>
      </c>
      <c r="F138" s="7">
        <f>F117+Business_Profitability!F59</f>
        <v>2392.38</v>
      </c>
      <c r="G138" s="7">
        <f>G117+Business_Profitability!G59</f>
        <v>401.06</v>
      </c>
      <c r="H138" s="7">
        <f>H117+Business_Profitability!H59</f>
        <v>4765.8</v>
      </c>
      <c r="I138" s="7">
        <f>SUM(Product_Monthly_COGS[[#This Row],[25-Jan]:[25-Jun]])</f>
        <v>20358.990000000002</v>
      </c>
      <c r="J138" s="7" t="str">
        <f>_xlfn.XLOOKUP(Product_Monthly_COGS[[#This Row],[ProductID]],Table3[ProductID],Table3[BU])</f>
        <v>Software &amp; Analytics</v>
      </c>
      <c r="K138" s="7" t="str">
        <f>_xlfn.XLOOKUP(Product_Monthly_COGS[[#This Row],[ProductID]],Table3[ProductID],Table3[Category_Clean],,0)</f>
        <v>Software / Integration</v>
      </c>
    </row>
    <row r="139" spans="2:11" ht="15" customHeight="1">
      <c r="B139" s="9" t="s">
        <v>72</v>
      </c>
      <c r="C139" s="7">
        <f>C118+Business_Profitability!C60</f>
        <v>21193.77</v>
      </c>
      <c r="D139" s="7">
        <f>D118+Business_Profitability!D60</f>
        <v>22559.774999999998</v>
      </c>
      <c r="E139" s="7">
        <f>E118+Business_Profitability!E60</f>
        <v>30132.02</v>
      </c>
      <c r="F139" s="7">
        <f>F118+Business_Profitability!F60</f>
        <v>28667.52</v>
      </c>
      <c r="G139" s="7">
        <f>G118+Business_Profitability!G60</f>
        <v>19093.32</v>
      </c>
      <c r="H139" s="7">
        <f>H118+Business_Profitability!H60</f>
        <v>19245.080000000002</v>
      </c>
      <c r="I139" s="7">
        <f>SUM(Product_Monthly_COGS[[#This Row],[25-Jan]:[25-Jun]])</f>
        <v>140891.48499999999</v>
      </c>
      <c r="J139" s="7" t="str">
        <f>_xlfn.XLOOKUP(Product_Monthly_COGS[[#This Row],[ProductID]],Table3[ProductID],Table3[BU])</f>
        <v>Sensors &amp; Instruments</v>
      </c>
      <c r="K139" s="7" t="str">
        <f>_xlfn.XLOOKUP(Product_Monthly_COGS[[#This Row],[ProductID]],Table3[ProductID],Table3[Category_Clean],,0)</f>
        <v>Sensors</v>
      </c>
    </row>
    <row r="140" spans="2:11" ht="15" customHeight="1">
      <c r="B140" s="9" t="s">
        <v>31</v>
      </c>
      <c r="C140" s="7">
        <f>C119+Business_Profitability!C61</f>
        <v>26574.14</v>
      </c>
      <c r="D140" s="7">
        <f>D119+Business_Profitability!D61</f>
        <v>10219.800000000001</v>
      </c>
      <c r="E140" s="7">
        <f>E119+Business_Profitability!E61</f>
        <v>18532.260000000002</v>
      </c>
      <c r="F140" s="7">
        <f>F119+Business_Profitability!F61</f>
        <v>32341.71</v>
      </c>
      <c r="G140" s="7">
        <f>G119+Business_Profitability!G61</f>
        <v>17991.82</v>
      </c>
      <c r="H140" s="7">
        <f>H119+Business_Profitability!H61</f>
        <v>37185</v>
      </c>
      <c r="I140" s="7">
        <f>SUM(Product_Monthly_COGS[[#This Row],[25-Jan]:[25-Jun]])</f>
        <v>142844.73000000001</v>
      </c>
      <c r="J140" s="7" t="str">
        <f>_xlfn.XLOOKUP(Product_Monthly_COGS[[#This Row],[ProductID]],Table3[ProductID],Table3[BU])</f>
        <v>Sensors &amp; Instruments</v>
      </c>
      <c r="K140" s="7" t="str">
        <f>_xlfn.XLOOKUP(Product_Monthly_COGS[[#This Row],[ProductID]],Table3[ProductID],Table3[Category_Clean],,0)</f>
        <v>Sensors</v>
      </c>
    </row>
    <row r="141" spans="2:11" ht="15" customHeight="1">
      <c r="B141" s="9" t="s">
        <v>39</v>
      </c>
      <c r="C141" s="7">
        <f>C120+Business_Profitability!C62</f>
        <v>39555.699999999997</v>
      </c>
      <c r="D141" s="7">
        <f>D120+Business_Profitability!D62</f>
        <v>50544.54</v>
      </c>
      <c r="E141" s="7">
        <f>E120+Business_Profitability!E62</f>
        <v>32686.2</v>
      </c>
      <c r="F141" s="7">
        <f>F120+Business_Profitability!F62</f>
        <v>42741.33</v>
      </c>
      <c r="G141" s="7">
        <f>G120+Business_Profitability!G62</f>
        <v>55454.400000000001</v>
      </c>
      <c r="H141" s="7">
        <f>H120+Business_Profitability!H62</f>
        <v>21753.17</v>
      </c>
      <c r="I141" s="7">
        <f>SUM(Product_Monthly_COGS[[#This Row],[25-Jan]:[25-Jun]])</f>
        <v>242735.33999999997</v>
      </c>
      <c r="J141" s="7" t="str">
        <f>_xlfn.XLOOKUP(Product_Monthly_COGS[[#This Row],[ProductID]],Table3[ProductID],Table3[BU])</f>
        <v>Sensors &amp; Instruments</v>
      </c>
      <c r="K141" s="7" t="str">
        <f>_xlfn.XLOOKUP(Product_Monthly_COGS[[#This Row],[ProductID]],Table3[ProductID],Table3[Category_Clean],,0)</f>
        <v>Instruments</v>
      </c>
    </row>
    <row r="142" spans="2:11" ht="15" customHeight="1">
      <c r="B142" s="9" t="s">
        <v>22</v>
      </c>
      <c r="C142" s="7">
        <f>C121+Business_Profitability!C63</f>
        <v>17934.28</v>
      </c>
      <c r="D142" s="7">
        <f>D121+Business_Profitability!D63</f>
        <v>28147.24</v>
      </c>
      <c r="E142" s="7">
        <f>E121+Business_Profitability!E63</f>
        <v>24581.63</v>
      </c>
      <c r="F142" s="7">
        <f>F121+Business_Profitability!F63</f>
        <v>59410.38</v>
      </c>
      <c r="G142" s="7">
        <f>G121+Business_Profitability!G63</f>
        <v>109589.65</v>
      </c>
      <c r="H142" s="7">
        <f>H121+Business_Profitability!H63</f>
        <v>39740.400000000001</v>
      </c>
      <c r="I142" s="7">
        <f>SUM(Product_Monthly_COGS[[#This Row],[25-Jan]:[25-Jun]])</f>
        <v>279403.58</v>
      </c>
      <c r="J142" s="7" t="str">
        <f>_xlfn.XLOOKUP(Product_Monthly_COGS[[#This Row],[ProductID]],Table3[ProductID],Table3[BU])</f>
        <v>Sensors &amp; Instruments</v>
      </c>
      <c r="K142" s="7" t="str">
        <f>_xlfn.XLOOKUP(Product_Monthly_COGS[[#This Row],[ProductID]],Table3[ProductID],Table3[Category_Clean],,0)</f>
        <v>Instruments</v>
      </c>
    </row>
    <row r="143" spans="2:11" ht="15" customHeight="1">
      <c r="B143" s="9" t="s">
        <v>57</v>
      </c>
      <c r="C143" s="7">
        <f>C122+Business_Profitability!C64</f>
        <v>16667.2</v>
      </c>
      <c r="D143" s="7">
        <f>D122+Business_Profitability!D64</f>
        <v>16322.74</v>
      </c>
      <c r="E143" s="7">
        <f>E122+Business_Profitability!E64</f>
        <v>18383.760000000002</v>
      </c>
      <c r="F143" s="7">
        <f>F122+Business_Profitability!F64</f>
        <v>29600.880000000001</v>
      </c>
      <c r="G143" s="7">
        <f>G122+Business_Profitability!G64</f>
        <v>11852.939999999999</v>
      </c>
      <c r="H143" s="7">
        <f>H122+Business_Profitability!H64</f>
        <v>40664.800000000003</v>
      </c>
      <c r="I143" s="7">
        <f>SUM(Product_Monthly_COGS[[#This Row],[25-Jan]:[25-Jun]])</f>
        <v>133492.32</v>
      </c>
      <c r="J143" s="7" t="str">
        <f>_xlfn.XLOOKUP(Product_Monthly_COGS[[#This Row],[ProductID]],Table3[ProductID],Table3[BU])</f>
        <v>Sensors &amp; Instruments</v>
      </c>
      <c r="K143" s="7" t="str">
        <f>_xlfn.XLOOKUP(Product_Monthly_COGS[[#This Row],[ProductID]],Table3[ProductID],Table3[Category_Clean],,0)</f>
        <v>Sensors</v>
      </c>
    </row>
    <row r="144" spans="2:11" ht="15" customHeight="1">
      <c r="B144" s="9" t="s">
        <v>43</v>
      </c>
      <c r="C144" s="7">
        <f>C123+Business_Profitability!C65</f>
        <v>7004.48</v>
      </c>
      <c r="D144" s="7">
        <f>D123+Business_Profitability!D65</f>
        <v>11248.35</v>
      </c>
      <c r="E144" s="7">
        <f>E123+Business_Profitability!E65</f>
        <v>10090.92</v>
      </c>
      <c r="F144" s="7">
        <f>F123+Business_Profitability!F65</f>
        <v>9060.76</v>
      </c>
      <c r="G144" s="7">
        <f>G123+Business_Profitability!G65</f>
        <v>11740.12</v>
      </c>
      <c r="H144" s="7">
        <f>H123+Business_Profitability!H65</f>
        <v>14539.960000000001</v>
      </c>
      <c r="I144" s="7">
        <f>SUM(Product_Monthly_COGS[[#This Row],[25-Jan]:[25-Jun]])</f>
        <v>63684.590000000004</v>
      </c>
      <c r="J144" s="7" t="str">
        <f>_xlfn.XLOOKUP(Product_Monthly_COGS[[#This Row],[ProductID]],Table3[ProductID],Table3[BU])</f>
        <v>Sensors &amp; Instruments</v>
      </c>
      <c r="K144" s="7" t="str">
        <f>_xlfn.XLOOKUP(Product_Monthly_COGS[[#This Row],[ProductID]],Table3[ProductID],Table3[Category_Clean],,0)</f>
        <v>Sensors</v>
      </c>
    </row>
    <row r="145" spans="2:11" ht="15" customHeight="1">
      <c r="B145" s="9" t="s">
        <v>97</v>
      </c>
      <c r="C145" s="7">
        <f>C124+Business_Profitability!C66</f>
        <v>21010.04</v>
      </c>
      <c r="D145" s="7">
        <f>D124+Business_Profitability!D66</f>
        <v>40627.199999999997</v>
      </c>
      <c r="E145" s="7">
        <f>E124+Business_Profitability!E66</f>
        <v>30973.969999999998</v>
      </c>
      <c r="F145" s="7">
        <f>F124+Business_Profitability!F66</f>
        <v>38662.5</v>
      </c>
      <c r="G145" s="7">
        <f>G124+Business_Profitability!G66</f>
        <v>29659.95</v>
      </c>
      <c r="H145" s="7">
        <f>H124+Business_Profitability!H66</f>
        <v>24732.81</v>
      </c>
      <c r="I145" s="7">
        <f>SUM(Product_Monthly_COGS[[#This Row],[25-Jan]:[25-Jun]])</f>
        <v>185666.47</v>
      </c>
      <c r="J145" s="7" t="str">
        <f>_xlfn.XLOOKUP(Product_Monthly_COGS[[#This Row],[ProductID]],Table3[ProductID],Table3[BU])</f>
        <v>Sensors &amp; Instruments</v>
      </c>
      <c r="K145" s="7" t="str">
        <f>_xlfn.XLOOKUP(Product_Monthly_COGS[[#This Row],[ProductID]],Table3[ProductID],Table3[Category_Clean],,0)</f>
        <v>Sensors</v>
      </c>
    </row>
    <row r="146" spans="2:11" ht="15" customHeight="1">
      <c r="B146" s="9" t="s">
        <v>152</v>
      </c>
      <c r="C146" s="7">
        <f>C125+Business_Profitability!C67</f>
        <v>22471.4</v>
      </c>
      <c r="D146" s="7">
        <f>D125+Business_Profitability!D67</f>
        <v>17104.32</v>
      </c>
      <c r="E146" s="7">
        <f>E125+Business_Profitability!E67</f>
        <v>32682.829999999998</v>
      </c>
      <c r="F146" s="7">
        <f>F125+Business_Profitability!F67</f>
        <v>18132.400000000001</v>
      </c>
      <c r="G146" s="7">
        <f>G125+Business_Profitability!G67</f>
        <v>18742</v>
      </c>
      <c r="H146" s="7">
        <f>H125+Business_Profitability!H67</f>
        <v>24024</v>
      </c>
      <c r="I146" s="7">
        <f>SUM(Product_Monthly_COGS[[#This Row],[25-Jan]:[25-Jun]])</f>
        <v>133156.95000000001</v>
      </c>
      <c r="J146" s="7" t="str">
        <f>_xlfn.XLOOKUP(Product_Monthly_COGS[[#This Row],[ProductID]],Table3[ProductID],Table3[BU])</f>
        <v>Sensors &amp; Instruments</v>
      </c>
      <c r="K146" s="7" t="str">
        <f>_xlfn.XLOOKUP(Product_Monthly_COGS[[#This Row],[ProductID]],Table3[ProductID],Table3[Category_Clean],,0)</f>
        <v>Instruments</v>
      </c>
    </row>
    <row r="147" spans="2:11">
      <c r="B147" s="9" t="s">
        <v>2597</v>
      </c>
      <c r="C147" s="7"/>
      <c r="D147" s="7"/>
      <c r="E147" s="7"/>
      <c r="F147" s="7"/>
      <c r="G147" s="7"/>
      <c r="H147" s="7"/>
      <c r="I147" s="7">
        <f>SUBTOTAL(109,Product_Monthly_COGS[H1 COGS])</f>
        <v>1777028.1850000001</v>
      </c>
      <c r="J147" s="7"/>
      <c r="K147" s="7"/>
    </row>
    <row r="148" spans="2:11">
      <c r="B148" s="12"/>
      <c r="C148" s="7"/>
      <c r="D148" s="7"/>
      <c r="E148" s="7"/>
      <c r="F148" s="7"/>
      <c r="G148" s="7"/>
      <c r="H148" s="7"/>
      <c r="I148" s="7"/>
    </row>
    <row r="149" spans="2:11">
      <c r="B149" s="6" t="s">
        <v>2599</v>
      </c>
      <c r="C149" s="6" t="s">
        <v>2647</v>
      </c>
      <c r="D149" s="6" t="s">
        <v>2651</v>
      </c>
      <c r="E149" s="6" t="s">
        <v>2652</v>
      </c>
      <c r="F149" s="6" t="s">
        <v>2653</v>
      </c>
    </row>
    <row r="150" spans="2:11">
      <c r="B150" s="9" t="s">
        <v>82</v>
      </c>
      <c r="C150" s="7">
        <f>Business_Profitability!D72</f>
        <v>372058.61</v>
      </c>
      <c r="D150" s="7">
        <f>SUMIF(Product_Monthly_COGS[BU],Table30[[#This Row],[Business Unit]],Product_Monthly_COGS[H1 COGS])</f>
        <v>280262.83</v>
      </c>
      <c r="E150" s="7">
        <f>Table30[[#This Row],[H1 Net Revenue]]-Table30[[#This Row],[H1 COGS]]</f>
        <v>91795.77999999997</v>
      </c>
      <c r="F150" s="10">
        <f>Table30[[#This Row],[Gross Profit]]/Table30[[#This Row],[H1 Net Revenue]]</f>
        <v>0.2467239771712311</v>
      </c>
    </row>
    <row r="151" spans="2:11">
      <c r="B151" s="9" t="s">
        <v>53</v>
      </c>
      <c r="C151" s="7">
        <f>Business_Profitability!D73</f>
        <v>1288952.28</v>
      </c>
      <c r="D151" s="7">
        <f>SUMIF(Product_Monthly_COGS[BU],Table30[[#This Row],[Business Unit]],Product_Monthly_COGS[H1 COGS])</f>
        <v>174889.88999999998</v>
      </c>
      <c r="E151" s="7">
        <f>Table30[[#This Row],[H1 Net Revenue]]-Table30[[#This Row],[H1 COGS]]</f>
        <v>1114062.3900000001</v>
      </c>
      <c r="F151" s="10">
        <f>Table30[[#This Row],[Gross Profit]]/Table30[[#This Row],[H1 Net Revenue]]</f>
        <v>0.86431624140499608</v>
      </c>
    </row>
    <row r="152" spans="2:11">
      <c r="B152" s="9" t="s">
        <v>24</v>
      </c>
      <c r="C152" s="7">
        <f>Business_Profitability!D74</f>
        <v>2252749.5499999998</v>
      </c>
      <c r="D152" s="7">
        <f>SUMIF(Product_Monthly_COGS[BU],Table30[[#This Row],[Business Unit]],Product_Monthly_COGS[H1 COGS])</f>
        <v>1321875.4650000001</v>
      </c>
      <c r="E152" s="7">
        <f>Table30[[#This Row],[H1 Net Revenue]]-Table30[[#This Row],[H1 COGS]]</f>
        <v>930874.08499999973</v>
      </c>
      <c r="F152" s="10">
        <f>Table30[[#This Row],[Gross Profit]]/Table30[[#This Row],[H1 Net Revenue]]</f>
        <v>0.41321685537568958</v>
      </c>
    </row>
    <row r="153" spans="2:11">
      <c r="B153" s="9" t="s">
        <v>2597</v>
      </c>
      <c r="C153" s="7">
        <f>SUBTOTAL(109,Table30[H1 Net Revenue])</f>
        <v>3913760.44</v>
      </c>
      <c r="D153" s="7">
        <f>SUBTOTAL(109,Table30[H1 COGS])</f>
        <v>1777028.1850000001</v>
      </c>
      <c r="E153" s="7">
        <f>SUBTOTAL(109,Table30[Gross Profit])</f>
        <v>2136732.2549999999</v>
      </c>
      <c r="F153" s="7"/>
    </row>
    <row r="154" spans="2:11">
      <c r="B154" s="12"/>
      <c r="C154" s="7"/>
      <c r="D154" s="7"/>
      <c r="E154" s="7"/>
      <c r="F154" s="7"/>
    </row>
    <row r="158" spans="2:11">
      <c r="B158" s="12" t="s">
        <v>4</v>
      </c>
      <c r="C158" s="12" t="s">
        <v>23</v>
      </c>
      <c r="D158" s="12" t="s">
        <v>47</v>
      </c>
      <c r="E158" s="12" t="s">
        <v>58</v>
      </c>
      <c r="F158" s="12" t="s">
        <v>32</v>
      </c>
      <c r="G158" s="12" t="s">
        <v>2655</v>
      </c>
    </row>
    <row r="159" spans="2:11">
      <c r="B159" s="9" t="s">
        <v>133</v>
      </c>
      <c r="C159" s="7">
        <f>SUMIFS(Table1[Quantity],Table1[ProductID_Clean],Product_Region_Quantity[[#This Row],[ProductID]],Table1[RegionClean_],Product_Region_Quantity[[#Headers],[N. AMERICA]])</f>
        <v>18</v>
      </c>
      <c r="D159" s="7">
        <f>SUMIFS(Table1[Quantity],Table1[ProductID_Clean],Product_Region_Quantity[[#This Row],[ProductID]],Table1[RegionClean_],Product_Region_Quantity[[#Headers],[EMEA]])</f>
        <v>16</v>
      </c>
      <c r="E159" s="7">
        <f>SUMIFS(Table1[Quantity],Table1[ProductID_Clean],Product_Region_Quantity[[#This Row],[ProductID]],Table1[RegionClean_],Product_Region_Quantity[[#Headers],[APAC]])</f>
        <v>8</v>
      </c>
      <c r="F159" s="7">
        <f>SUMIFS(Table1[Quantity],Table1[ProductID_Clean],Product_Region_Quantity[[#This Row],[ProductID]],Table1[RegionClean_],Product_Region_Quantity[[#Headers],[LATIN AMERICA]])</f>
        <v>8</v>
      </c>
      <c r="G159" s="7">
        <f>SUM(Product_Region_Quantity[[#This Row],[N. AMERICA]:[LATIN AMERICA]])</f>
        <v>50</v>
      </c>
    </row>
    <row r="160" spans="2:11">
      <c r="B160" s="9" t="s">
        <v>81</v>
      </c>
      <c r="C160" s="7">
        <f>SUMIFS(Table1[Quantity],Table1[ProductID_Clean],Product_Region_Quantity[[#This Row],[ProductID]],Table1[RegionClean_],Product_Region_Quantity[[#Headers],[N. AMERICA]])</f>
        <v>20</v>
      </c>
      <c r="D160" s="7">
        <f>SUMIFS(Table1[Quantity],Table1[ProductID_Clean],Product_Region_Quantity[[#This Row],[ProductID]],Table1[RegionClean_],Product_Region_Quantity[[#Headers],[EMEA]])</f>
        <v>14</v>
      </c>
      <c r="E160" s="7">
        <f>SUMIFS(Table1[Quantity],Table1[ProductID_Clean],Product_Region_Quantity[[#This Row],[ProductID]],Table1[RegionClean_],Product_Region_Quantity[[#Headers],[APAC]])</f>
        <v>13</v>
      </c>
      <c r="F160" s="7">
        <f>SUMIFS(Table1[Quantity],Table1[ProductID_Clean],Product_Region_Quantity[[#This Row],[ProductID]],Table1[RegionClean_],Product_Region_Quantity[[#Headers],[LATIN AMERICA]])</f>
        <v>4</v>
      </c>
      <c r="G160" s="7">
        <f>SUM(Product_Region_Quantity[[#This Row],[N. AMERICA]:[LATIN AMERICA]])</f>
        <v>51</v>
      </c>
    </row>
    <row r="161" spans="2:7">
      <c r="B161" s="9" t="s">
        <v>216</v>
      </c>
      <c r="C161" s="7">
        <f>SUMIFS(Table1[Quantity],Table1[ProductID_Clean],Product_Region_Quantity[[#This Row],[ProductID]],Table1[RegionClean_],Product_Region_Quantity[[#Headers],[N. AMERICA]])</f>
        <v>10</v>
      </c>
      <c r="D161" s="7">
        <f>SUMIFS(Table1[Quantity],Table1[ProductID_Clean],Product_Region_Quantity[[#This Row],[ProductID]],Table1[RegionClean_],Product_Region_Quantity[[#Headers],[EMEA]])</f>
        <v>7</v>
      </c>
      <c r="E161" s="7">
        <f>SUMIFS(Table1[Quantity],Table1[ProductID_Clean],Product_Region_Quantity[[#This Row],[ProductID]],Table1[RegionClean_],Product_Region_Quantity[[#Headers],[APAC]])</f>
        <v>7</v>
      </c>
      <c r="F161" s="7">
        <f>SUMIFS(Table1[Quantity],Table1[ProductID_Clean],Product_Region_Quantity[[#This Row],[ProductID]],Table1[RegionClean_],Product_Region_Quantity[[#Headers],[LATIN AMERICA]])</f>
        <v>1</v>
      </c>
      <c r="G161" s="7">
        <f>SUM(Product_Region_Quantity[[#This Row],[N. AMERICA]:[LATIN AMERICA]])</f>
        <v>25</v>
      </c>
    </row>
    <row r="162" spans="2:7">
      <c r="B162" s="9" t="s">
        <v>432</v>
      </c>
      <c r="C162" s="7">
        <f>SUMIFS(Table1[Quantity],Table1[ProductID_Clean],Product_Region_Quantity[[#This Row],[ProductID]],Table1[RegionClean_],Product_Region_Quantity[[#Headers],[N. AMERICA]])</f>
        <v>12</v>
      </c>
      <c r="D162" s="7">
        <f>SUMIFS(Table1[Quantity],Table1[ProductID_Clean],Product_Region_Quantity[[#This Row],[ProductID]],Table1[RegionClean_],Product_Region_Quantity[[#Headers],[EMEA]])</f>
        <v>3</v>
      </c>
      <c r="E162" s="7">
        <f>SUMIFS(Table1[Quantity],Table1[ProductID_Clean],Product_Region_Quantity[[#This Row],[ProductID]],Table1[RegionClean_],Product_Region_Quantity[[#Headers],[APAC]])</f>
        <v>1</v>
      </c>
      <c r="F162" s="7">
        <f>SUMIFS(Table1[Quantity],Table1[ProductID_Clean],Product_Region_Quantity[[#This Row],[ProductID]],Table1[RegionClean_],Product_Region_Quantity[[#Headers],[LATIN AMERICA]])</f>
        <v>0</v>
      </c>
      <c r="G162" s="7">
        <f>SUM(Product_Region_Quantity[[#This Row],[N. AMERICA]:[LATIN AMERICA]])</f>
        <v>16</v>
      </c>
    </row>
    <row r="163" spans="2:7">
      <c r="B163" s="9" t="s">
        <v>101</v>
      </c>
      <c r="C163" s="7">
        <f>SUMIFS(Table1[Quantity],Table1[ProductID_Clean],Product_Region_Quantity[[#This Row],[ProductID]],Table1[RegionClean_],Product_Region_Quantity[[#Headers],[N. AMERICA]])</f>
        <v>6</v>
      </c>
      <c r="D163" s="7">
        <f>SUMIFS(Table1[Quantity],Table1[ProductID_Clean],Product_Region_Quantity[[#This Row],[ProductID]],Table1[RegionClean_],Product_Region_Quantity[[#Headers],[EMEA]])</f>
        <v>11</v>
      </c>
      <c r="E163" s="7">
        <f>SUMIFS(Table1[Quantity],Table1[ProductID_Clean],Product_Region_Quantity[[#This Row],[ProductID]],Table1[RegionClean_],Product_Region_Quantity[[#Headers],[APAC]])</f>
        <v>7</v>
      </c>
      <c r="F163" s="7">
        <f>SUMIFS(Table1[Quantity],Table1[ProductID_Clean],Product_Region_Quantity[[#This Row],[ProductID]],Table1[RegionClean_],Product_Region_Quantity[[#Headers],[LATIN AMERICA]])</f>
        <v>5</v>
      </c>
      <c r="G163" s="7">
        <f>SUM(Product_Region_Quantity[[#This Row],[N. AMERICA]:[LATIN AMERICA]])</f>
        <v>29</v>
      </c>
    </row>
    <row r="164" spans="2:7">
      <c r="B164" s="9" t="s">
        <v>92</v>
      </c>
      <c r="C164" s="7">
        <f>SUMIFS(Table1[Quantity],Table1[ProductID_Clean],Product_Region_Quantity[[#This Row],[ProductID]],Table1[RegionClean_],Product_Region_Quantity[[#Headers],[N. AMERICA]])</f>
        <v>18</v>
      </c>
      <c r="D164" s="7">
        <f>SUMIFS(Table1[Quantity],Table1[ProductID_Clean],Product_Region_Quantity[[#This Row],[ProductID]],Table1[RegionClean_],Product_Region_Quantity[[#Headers],[EMEA]])</f>
        <v>7</v>
      </c>
      <c r="E164" s="7">
        <f>SUMIFS(Table1[Quantity],Table1[ProductID_Clean],Product_Region_Quantity[[#This Row],[ProductID]],Table1[RegionClean_],Product_Region_Quantity[[#Headers],[APAC]])</f>
        <v>7</v>
      </c>
      <c r="F164" s="7">
        <f>SUMIFS(Table1[Quantity],Table1[ProductID_Clean],Product_Region_Quantity[[#This Row],[ProductID]],Table1[RegionClean_],Product_Region_Quantity[[#Headers],[LATIN AMERICA]])</f>
        <v>0</v>
      </c>
      <c r="G164" s="7">
        <f>SUM(Product_Region_Quantity[[#This Row],[N. AMERICA]:[LATIN AMERICA]])</f>
        <v>32</v>
      </c>
    </row>
    <row r="165" spans="2:7">
      <c r="B165" s="9" t="s">
        <v>68</v>
      </c>
      <c r="C165" s="7">
        <f>SUMIFS(Table1[Quantity],Table1[ProductID_Clean],Product_Region_Quantity[[#This Row],[ProductID]],Table1[RegionClean_],Product_Region_Quantity[[#Headers],[N. AMERICA]])</f>
        <v>52</v>
      </c>
      <c r="D165" s="7">
        <f>SUMIFS(Table1[Quantity],Table1[ProductID_Clean],Product_Region_Quantity[[#This Row],[ProductID]],Table1[RegionClean_],Product_Region_Quantity[[#Headers],[EMEA]])</f>
        <v>39</v>
      </c>
      <c r="E165" s="7">
        <f>SUMIFS(Table1[Quantity],Table1[ProductID_Clean],Product_Region_Quantity[[#This Row],[ProductID]],Table1[RegionClean_],Product_Region_Quantity[[#Headers],[APAC]])</f>
        <v>28</v>
      </c>
      <c r="F165" s="7">
        <f>SUMIFS(Table1[Quantity],Table1[ProductID_Clean],Product_Region_Quantity[[#This Row],[ProductID]],Table1[RegionClean_],Product_Region_Quantity[[#Headers],[LATIN AMERICA]])</f>
        <v>4</v>
      </c>
      <c r="G165" s="7">
        <f>SUM(Product_Region_Quantity[[#This Row],[N. AMERICA]:[LATIN AMERICA]])</f>
        <v>123</v>
      </c>
    </row>
    <row r="166" spans="2:7">
      <c r="B166" s="9" t="s">
        <v>147</v>
      </c>
      <c r="C166" s="7">
        <f>SUMIFS(Table1[Quantity],Table1[ProductID_Clean],Product_Region_Quantity[[#This Row],[ProductID]],Table1[RegionClean_],Product_Region_Quantity[[#Headers],[N. AMERICA]])</f>
        <v>25</v>
      </c>
      <c r="D166" s="7">
        <f>SUMIFS(Table1[Quantity],Table1[ProductID_Clean],Product_Region_Quantity[[#This Row],[ProductID]],Table1[RegionClean_],Product_Region_Quantity[[#Headers],[EMEA]])</f>
        <v>17</v>
      </c>
      <c r="E166" s="7">
        <f>SUMIFS(Table1[Quantity],Table1[ProductID_Clean],Product_Region_Quantity[[#This Row],[ProductID]],Table1[RegionClean_],Product_Region_Quantity[[#Headers],[APAC]])</f>
        <v>6</v>
      </c>
      <c r="F166" s="7">
        <f>SUMIFS(Table1[Quantity],Table1[ProductID_Clean],Product_Region_Quantity[[#This Row],[ProductID]],Table1[RegionClean_],Product_Region_Quantity[[#Headers],[LATIN AMERICA]])</f>
        <v>9</v>
      </c>
      <c r="G166" s="7">
        <f>SUM(Product_Region_Quantity[[#This Row],[N. AMERICA]:[LATIN AMERICA]])</f>
        <v>57</v>
      </c>
    </row>
    <row r="167" spans="2:7">
      <c r="B167" s="9" t="s">
        <v>51</v>
      </c>
      <c r="C167" s="7">
        <f>SUMIFS(Table1[Quantity],Table1[ProductID_Clean],Product_Region_Quantity[[#This Row],[ProductID]],Table1[RegionClean_],Product_Region_Quantity[[#Headers],[N. AMERICA]])</f>
        <v>20</v>
      </c>
      <c r="D167" s="7">
        <f>SUMIFS(Table1[Quantity],Table1[ProductID_Clean],Product_Region_Quantity[[#This Row],[ProductID]],Table1[RegionClean_],Product_Region_Quantity[[#Headers],[EMEA]])</f>
        <v>18</v>
      </c>
      <c r="E167" s="7">
        <f>SUMIFS(Table1[Quantity],Table1[ProductID_Clean],Product_Region_Quantity[[#This Row],[ProductID]],Table1[RegionClean_],Product_Region_Quantity[[#Headers],[APAC]])</f>
        <v>14</v>
      </c>
      <c r="F167" s="7">
        <f>SUMIFS(Table1[Quantity],Table1[ProductID_Clean],Product_Region_Quantity[[#This Row],[ProductID]],Table1[RegionClean_],Product_Region_Quantity[[#Headers],[LATIN AMERICA]])</f>
        <v>6</v>
      </c>
      <c r="G167" s="7">
        <f>SUM(Product_Region_Quantity[[#This Row],[N. AMERICA]:[LATIN AMERICA]])</f>
        <v>58</v>
      </c>
    </row>
    <row r="168" spans="2:7">
      <c r="B168" s="9" t="s">
        <v>86</v>
      </c>
      <c r="C168" s="7">
        <f>SUMIFS(Table1[Quantity],Table1[ProductID_Clean],Product_Region_Quantity[[#This Row],[ProductID]],Table1[RegionClean_],Product_Region_Quantity[[#Headers],[N. AMERICA]])</f>
        <v>33</v>
      </c>
      <c r="D168" s="7">
        <f>SUMIFS(Table1[Quantity],Table1[ProductID_Clean],Product_Region_Quantity[[#This Row],[ProductID]],Table1[RegionClean_],Product_Region_Quantity[[#Headers],[EMEA]])</f>
        <v>24</v>
      </c>
      <c r="E168" s="7">
        <f>SUMIFS(Table1[Quantity],Table1[ProductID_Clean],Product_Region_Quantity[[#This Row],[ProductID]],Table1[RegionClean_],Product_Region_Quantity[[#Headers],[APAC]])</f>
        <v>8</v>
      </c>
      <c r="F168" s="7">
        <f>SUMIFS(Table1[Quantity],Table1[ProductID_Clean],Product_Region_Quantity[[#This Row],[ProductID]],Table1[RegionClean_],Product_Region_Quantity[[#Headers],[LATIN AMERICA]])</f>
        <v>0</v>
      </c>
      <c r="G168" s="7">
        <f>SUM(Product_Region_Quantity[[#This Row],[N. AMERICA]:[LATIN AMERICA]])</f>
        <v>65</v>
      </c>
    </row>
    <row r="169" spans="2:7">
      <c r="B169" s="9" t="s">
        <v>62</v>
      </c>
      <c r="C169" s="7">
        <f>SUMIFS(Table1[Quantity],Table1[ProductID_Clean],Product_Region_Quantity[[#This Row],[ProductID]],Table1[RegionClean_],Product_Region_Quantity[[#Headers],[N. AMERICA]])</f>
        <v>20</v>
      </c>
      <c r="D169" s="7">
        <f>SUMIFS(Table1[Quantity],Table1[ProductID_Clean],Product_Region_Quantity[[#This Row],[ProductID]],Table1[RegionClean_],Product_Region_Quantity[[#Headers],[EMEA]])</f>
        <v>10</v>
      </c>
      <c r="E169" s="7">
        <f>SUMIFS(Table1[Quantity],Table1[ProductID_Clean],Product_Region_Quantity[[#This Row],[ProductID]],Table1[RegionClean_],Product_Region_Quantity[[#Headers],[APAC]])</f>
        <v>14</v>
      </c>
      <c r="F169" s="7">
        <f>SUMIFS(Table1[Quantity],Table1[ProductID_Clean],Product_Region_Quantity[[#This Row],[ProductID]],Table1[RegionClean_],Product_Region_Quantity[[#Headers],[LATIN AMERICA]])</f>
        <v>7</v>
      </c>
      <c r="G169" s="7">
        <f>SUM(Product_Region_Quantity[[#This Row],[N. AMERICA]:[LATIN AMERICA]])</f>
        <v>51</v>
      </c>
    </row>
    <row r="170" spans="2:7">
      <c r="B170" s="9" t="s">
        <v>72</v>
      </c>
      <c r="C170" s="7">
        <f>SUMIFS(Table1[Quantity],Table1[ProductID_Clean],Product_Region_Quantity[[#This Row],[ProductID]],Table1[RegionClean_],Product_Region_Quantity[[#Headers],[N. AMERICA]])</f>
        <v>288</v>
      </c>
      <c r="D170" s="7">
        <f>SUMIFS(Table1[Quantity],Table1[ProductID_Clean],Product_Region_Quantity[[#This Row],[ProductID]],Table1[RegionClean_],Product_Region_Quantity[[#Headers],[EMEA]])</f>
        <v>168</v>
      </c>
      <c r="E170" s="7">
        <f>SUMIFS(Table1[Quantity],Table1[ProductID_Clean],Product_Region_Quantity[[#This Row],[ProductID]],Table1[RegionClean_],Product_Region_Quantity[[#Headers],[APAC]])</f>
        <v>101</v>
      </c>
      <c r="F170" s="7">
        <f>SUMIFS(Table1[Quantity],Table1[ProductID_Clean],Product_Region_Quantity[[#This Row],[ProductID]],Table1[RegionClean_],Product_Region_Quantity[[#Headers],[LATIN AMERICA]])</f>
        <v>55</v>
      </c>
      <c r="G170" s="7">
        <f>SUM(Product_Region_Quantity[[#This Row],[N. AMERICA]:[LATIN AMERICA]])</f>
        <v>612</v>
      </c>
    </row>
    <row r="171" spans="2:7">
      <c r="B171" s="9" t="s">
        <v>31</v>
      </c>
      <c r="C171" s="7">
        <f>SUMIFS(Table1[Quantity],Table1[ProductID_Clean],Product_Region_Quantity[[#This Row],[ProductID]],Table1[RegionClean_],Product_Region_Quantity[[#Headers],[N. AMERICA]])</f>
        <v>185</v>
      </c>
      <c r="D171" s="7">
        <f>SUMIFS(Table1[Quantity],Table1[ProductID_Clean],Product_Region_Quantity[[#This Row],[ProductID]],Table1[RegionClean_],Product_Region_Quantity[[#Headers],[EMEA]])</f>
        <v>106</v>
      </c>
      <c r="E171" s="7">
        <f>SUMIFS(Table1[Quantity],Table1[ProductID_Clean],Product_Region_Quantity[[#This Row],[ProductID]],Table1[RegionClean_],Product_Region_Quantity[[#Headers],[APAC]])</f>
        <v>54</v>
      </c>
      <c r="F171" s="7">
        <f>SUMIFS(Table1[Quantity],Table1[ProductID_Clean],Product_Region_Quantity[[#This Row],[ProductID]],Table1[RegionClean_],Product_Region_Quantity[[#Headers],[LATIN AMERICA]])</f>
        <v>51</v>
      </c>
      <c r="G171" s="7">
        <f>SUM(Product_Region_Quantity[[#This Row],[N. AMERICA]:[LATIN AMERICA]])</f>
        <v>396</v>
      </c>
    </row>
    <row r="172" spans="2:7">
      <c r="B172" s="9" t="s">
        <v>39</v>
      </c>
      <c r="C172" s="7">
        <f>SUMIFS(Table1[Quantity],Table1[ProductID_Clean],Product_Region_Quantity[[#This Row],[ProductID]],Table1[RegionClean_],Product_Region_Quantity[[#Headers],[N. AMERICA]])</f>
        <v>102</v>
      </c>
      <c r="D172" s="7">
        <f>SUMIFS(Table1[Quantity],Table1[ProductID_Clean],Product_Region_Quantity[[#This Row],[ProductID]],Table1[RegionClean_],Product_Region_Quantity[[#Headers],[EMEA]])</f>
        <v>73</v>
      </c>
      <c r="E172" s="7">
        <f>SUMIFS(Table1[Quantity],Table1[ProductID_Clean],Product_Region_Quantity[[#This Row],[ProductID]],Table1[RegionClean_],Product_Region_Quantity[[#Headers],[APAC]])</f>
        <v>19</v>
      </c>
      <c r="F172" s="7">
        <f>SUMIFS(Table1[Quantity],Table1[ProductID_Clean],Product_Region_Quantity[[#This Row],[ProductID]],Table1[RegionClean_],Product_Region_Quantity[[#Headers],[LATIN AMERICA]])</f>
        <v>69</v>
      </c>
      <c r="G172" s="7">
        <f>SUM(Product_Region_Quantity[[#This Row],[N. AMERICA]:[LATIN AMERICA]])</f>
        <v>263</v>
      </c>
    </row>
    <row r="173" spans="2:7">
      <c r="B173" s="9" t="s">
        <v>22</v>
      </c>
      <c r="C173" s="7">
        <f>SUMIFS(Table1[Quantity],Table1[ProductID_Clean],Product_Region_Quantity[[#This Row],[ProductID]],Table1[RegionClean_],Product_Region_Quantity[[#Headers],[N. AMERICA]])</f>
        <v>58</v>
      </c>
      <c r="D173" s="7">
        <f>SUMIFS(Table1[Quantity],Table1[ProductID_Clean],Product_Region_Quantity[[#This Row],[ProductID]],Table1[RegionClean_],Product_Region_Quantity[[#Headers],[EMEA]])</f>
        <v>98</v>
      </c>
      <c r="E173" s="7">
        <f>SUMIFS(Table1[Quantity],Table1[ProductID_Clean],Product_Region_Quantity[[#This Row],[ProductID]],Table1[RegionClean_],Product_Region_Quantity[[#Headers],[APAC]])</f>
        <v>45</v>
      </c>
      <c r="F173" s="7">
        <f>SUMIFS(Table1[Quantity],Table1[ProductID_Clean],Product_Region_Quantity[[#This Row],[ProductID]],Table1[RegionClean_],Product_Region_Quantity[[#Headers],[LATIN AMERICA]])</f>
        <v>15</v>
      </c>
      <c r="G173" s="7">
        <f>SUM(Product_Region_Quantity[[#This Row],[N. AMERICA]:[LATIN AMERICA]])</f>
        <v>216</v>
      </c>
    </row>
    <row r="174" spans="2:7">
      <c r="B174" s="9" t="s">
        <v>57</v>
      </c>
      <c r="C174" s="7">
        <f>SUMIFS(Table1[Quantity],Table1[ProductID_Clean],Product_Region_Quantity[[#This Row],[ProductID]],Table1[RegionClean_],Product_Region_Quantity[[#Headers],[N. AMERICA]])</f>
        <v>82</v>
      </c>
      <c r="D174" s="7">
        <f>SUMIFS(Table1[Quantity],Table1[ProductID_Clean],Product_Region_Quantity[[#This Row],[ProductID]],Table1[RegionClean_],Product_Region_Quantity[[#Headers],[EMEA]])</f>
        <v>94</v>
      </c>
      <c r="E174" s="7">
        <f>SUMIFS(Table1[Quantity],Table1[ProductID_Clean],Product_Region_Quantity[[#This Row],[ProductID]],Table1[RegionClean_],Product_Region_Quantity[[#Headers],[APAC]])</f>
        <v>54</v>
      </c>
      <c r="F174" s="7">
        <f>SUMIFS(Table1[Quantity],Table1[ProductID_Clean],Product_Region_Quantity[[#This Row],[ProductID]],Table1[RegionClean_],Product_Region_Quantity[[#Headers],[LATIN AMERICA]])</f>
        <v>29</v>
      </c>
      <c r="G174" s="7">
        <f>SUM(Product_Region_Quantity[[#This Row],[N. AMERICA]:[LATIN AMERICA]])</f>
        <v>259</v>
      </c>
    </row>
    <row r="175" spans="2:7">
      <c r="B175" s="9" t="s">
        <v>43</v>
      </c>
      <c r="C175" s="7">
        <f>SUMIFS(Table1[Quantity],Table1[ProductID_Clean],Product_Region_Quantity[[#This Row],[ProductID]],Table1[RegionClean_],Product_Region_Quantity[[#Headers],[N. AMERICA]])</f>
        <v>209</v>
      </c>
      <c r="D175" s="7">
        <f>SUMIFS(Table1[Quantity],Table1[ProductID_Clean],Product_Region_Quantity[[#This Row],[ProductID]],Table1[RegionClean_],Product_Region_Quantity[[#Headers],[EMEA]])</f>
        <v>176</v>
      </c>
      <c r="E175" s="7">
        <f>SUMIFS(Table1[Quantity],Table1[ProductID_Clean],Product_Region_Quantity[[#This Row],[ProductID]],Table1[RegionClean_],Product_Region_Quantity[[#Headers],[APAC]])</f>
        <v>92</v>
      </c>
      <c r="F175" s="7">
        <f>SUMIFS(Table1[Quantity],Table1[ProductID_Clean],Product_Region_Quantity[[#This Row],[ProductID]],Table1[RegionClean_],Product_Region_Quantity[[#Headers],[LATIN AMERICA]])</f>
        <v>41</v>
      </c>
      <c r="G175" s="7">
        <f>SUM(Product_Region_Quantity[[#This Row],[N. AMERICA]:[LATIN AMERICA]])</f>
        <v>518</v>
      </c>
    </row>
    <row r="176" spans="2:7">
      <c r="B176" s="9" t="s">
        <v>97</v>
      </c>
      <c r="C176" s="7">
        <f>SUMIFS(Table1[Quantity],Table1[ProductID_Clean],Product_Region_Quantity[[#This Row],[ProductID]],Table1[RegionClean_],Product_Region_Quantity[[#Headers],[N. AMERICA]])</f>
        <v>132</v>
      </c>
      <c r="D176" s="7">
        <f>SUMIFS(Table1[Quantity],Table1[ProductID_Clean],Product_Region_Quantity[[#This Row],[ProductID]],Table1[RegionClean_],Product_Region_Quantity[[#Headers],[EMEA]])</f>
        <v>136</v>
      </c>
      <c r="E176" s="7">
        <f>SUMIFS(Table1[Quantity],Table1[ProductID_Clean],Product_Region_Quantity[[#This Row],[ProductID]],Table1[RegionClean_],Product_Region_Quantity[[#Headers],[APAC]])</f>
        <v>63</v>
      </c>
      <c r="F176" s="7">
        <f>SUMIFS(Table1[Quantity],Table1[ProductID_Clean],Product_Region_Quantity[[#This Row],[ProductID]],Table1[RegionClean_],Product_Region_Quantity[[#Headers],[LATIN AMERICA]])</f>
        <v>30</v>
      </c>
      <c r="G176" s="7">
        <f>SUM(Product_Region_Quantity[[#This Row],[N. AMERICA]:[LATIN AMERICA]])</f>
        <v>361</v>
      </c>
    </row>
    <row r="177" spans="2:7">
      <c r="B177" s="9" t="s">
        <v>152</v>
      </c>
      <c r="C177" s="7">
        <f>SUMIFS(Table1[Quantity],Table1[ProductID_Clean],Product_Region_Quantity[[#This Row],[ProductID]],Table1[RegionClean_],Product_Region_Quantity[[#Headers],[N. AMERICA]])</f>
        <v>101</v>
      </c>
      <c r="D177" s="7">
        <f>SUMIFS(Table1[Quantity],Table1[ProductID_Clean],Product_Region_Quantity[[#This Row],[ProductID]],Table1[RegionClean_],Product_Region_Quantity[[#Headers],[EMEA]])</f>
        <v>93</v>
      </c>
      <c r="E177" s="7">
        <f>SUMIFS(Table1[Quantity],Table1[ProductID_Clean],Product_Region_Quantity[[#This Row],[ProductID]],Table1[RegionClean_],Product_Region_Quantity[[#Headers],[APAC]])</f>
        <v>72</v>
      </c>
      <c r="F177" s="7">
        <f>SUMIFS(Table1[Quantity],Table1[ProductID_Clean],Product_Region_Quantity[[#This Row],[ProductID]],Table1[RegionClean_],Product_Region_Quantity[[#Headers],[LATIN AMERICA]])</f>
        <v>22</v>
      </c>
      <c r="G177" s="7">
        <f>SUM(Product_Region_Quantity[[#This Row],[N. AMERICA]:[LATIN AMERICA]])</f>
        <v>288</v>
      </c>
    </row>
    <row r="178" spans="2:7">
      <c r="B178" s="9" t="s">
        <v>2597</v>
      </c>
      <c r="C178" s="7"/>
      <c r="D178" s="7"/>
      <c r="E178" s="7"/>
      <c r="F178" s="7"/>
      <c r="G178" s="7">
        <f>SUBTOTAL(109,Product_Region_Quantity[H1 Total])</f>
        <v>3470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E17F-5687-4929-A40E-1AB3EECFE003}">
  <dimension ref="C3:J10"/>
  <sheetViews>
    <sheetView workbookViewId="0">
      <selection activeCell="L11" sqref="L11"/>
    </sheetView>
  </sheetViews>
  <sheetFormatPr defaultColWidth="9.140625" defaultRowHeight="15"/>
  <cols>
    <col min="3" max="3" width="21.28515625" bestFit="1" customWidth="1"/>
    <col min="4" max="4" width="15.7109375" bestFit="1" customWidth="1"/>
    <col min="5" max="5" width="16" bestFit="1" customWidth="1"/>
    <col min="6" max="6" width="20.140625" customWidth="1"/>
    <col min="7" max="7" width="23.140625" customWidth="1"/>
    <col min="8" max="8" width="13.85546875" bestFit="1" customWidth="1"/>
    <col min="9" max="9" width="13.85546875" customWidth="1"/>
    <col min="10" max="10" width="16.85546875" customWidth="1"/>
  </cols>
  <sheetData>
    <row r="3" spans="3:10" ht="15" customHeight="1">
      <c r="C3" s="6" t="s">
        <v>2666</v>
      </c>
      <c r="D3" s="8" t="s">
        <v>2647</v>
      </c>
      <c r="E3" s="8" t="s">
        <v>2654</v>
      </c>
      <c r="F3" s="8" t="s">
        <v>2649</v>
      </c>
      <c r="G3" s="8" t="s">
        <v>2650</v>
      </c>
      <c r="H3" s="6" t="s">
        <v>2651</v>
      </c>
      <c r="I3" s="6" t="s">
        <v>2652</v>
      </c>
      <c r="J3" s="6" t="s">
        <v>2653</v>
      </c>
    </row>
    <row r="4" spans="3:10">
      <c r="C4" s="9" t="s">
        <v>2049</v>
      </c>
      <c r="D4" s="7">
        <f>_xlfn.XLOOKUP(Product_Category_Profitability[[#This Row],[`]],Product_Category_Valid_Product_Revenue[Product Category],Product_Category_Valid_Product_Revenue[Net Revenue])</f>
        <v>372058.61</v>
      </c>
      <c r="E4" s="7">
        <f>SUMIF(Tbl_VariableCost[B_Cat],Product_Category_Profitability[[#This Row],[`]],Tbl_VariableCost[H1 Actual Variable Cost])</f>
        <v>230777.82999999996</v>
      </c>
      <c r="F4" s="7">
        <f>Product_Category_Profitability[[#This Row],[H1 Net Revenue]]-Product_Category_Profitability[[#This Row],[H1 Variable Cost]]</f>
        <v>141280.78000000003</v>
      </c>
      <c r="G4" s="10">
        <f>Product_Category_Profitability[[#This Row],[Contribution Profit]]/Product_Category_Profitability[[#This Row],[H1 Net Revenue]]</f>
        <v>0.37972721555886058</v>
      </c>
      <c r="H4" s="7">
        <f>SUMIF(Product_Monthly_COGS[B_CAT],Product_Category_Profitability[[#This Row],[`]],Product_Monthly_COGS[H1 COGS])</f>
        <v>280262.83</v>
      </c>
      <c r="I4" s="7">
        <f>Product_Category_Profitability[[#This Row],[H1 Net Revenue]]-Product_Category_Profitability[[#This Row],[H1 COGS]]</f>
        <v>91795.77999999997</v>
      </c>
      <c r="J4" s="10">
        <f>Product_Category_Profitability[[#This Row],[Gross Profit]]/Product_Category_Profitability[[#This Row],[H1 Net Revenue]]</f>
        <v>0.2467239771712311</v>
      </c>
    </row>
    <row r="5" spans="3:10">
      <c r="C5" s="9" t="s">
        <v>2064</v>
      </c>
      <c r="D5" s="7">
        <f>_xlfn.XLOOKUP(Product_Category_Profitability[[#This Row],[`]],Product_Category_Valid_Product_Revenue[Product Category],Product_Category_Valid_Product_Revenue[Net Revenue])</f>
        <v>1149054.2</v>
      </c>
      <c r="E5" s="7">
        <f>SUMIF(Tbl_VariableCost[B_Cat],Product_Category_Profitability[[#This Row],[`]],Tbl_VariableCost[H1 Actual Variable Cost])</f>
        <v>56035.9</v>
      </c>
      <c r="F5" s="7">
        <f>Product_Category_Profitability[[#This Row],[H1 Net Revenue]]-Product_Category_Profitability[[#This Row],[H1 Variable Cost]]</f>
        <v>1093018.3</v>
      </c>
      <c r="G5" s="10">
        <f>Product_Category_Profitability[[#This Row],[Contribution Profit]]/Product_Category_Profitability[[#This Row],[H1 Net Revenue]]</f>
        <v>0.95123302277647137</v>
      </c>
      <c r="H5" s="7">
        <f>SUMIF(Product_Monthly_COGS[B_CAT],Product_Category_Profitability[[#This Row],[`]],Product_Monthly_COGS[H1 COGS])</f>
        <v>154530.9</v>
      </c>
      <c r="I5" s="7">
        <f>Product_Category_Profitability[[#This Row],[H1 Net Revenue]]-Product_Category_Profitability[[#This Row],[H1 COGS]]</f>
        <v>994523.29999999993</v>
      </c>
      <c r="J5" s="10">
        <f>Product_Category_Profitability[[#This Row],[Gross Profit]]/Product_Category_Profitability[[#This Row],[H1 Net Revenue]]</f>
        <v>0.86551469895849997</v>
      </c>
    </row>
    <row r="6" spans="3:10">
      <c r="C6" s="9" t="s">
        <v>2076</v>
      </c>
      <c r="D6" s="7">
        <f>_xlfn.XLOOKUP(Product_Category_Profitability[[#This Row],[`]],Product_Category_Valid_Product_Revenue[Product Category],Product_Category_Valid_Product_Revenue[Net Revenue])</f>
        <v>139898.08000000002</v>
      </c>
      <c r="E6" s="7">
        <f>SUMIF(Tbl_VariableCost[B_Cat],Product_Category_Profitability[[#This Row],[`]],Tbl_VariableCost[H1 Actual Variable Cost])</f>
        <v>7353.9900000000007</v>
      </c>
      <c r="F6" s="7">
        <f>Product_Category_Profitability[[#This Row],[H1 Net Revenue]]-Product_Category_Profitability[[#This Row],[H1 Variable Cost]]</f>
        <v>132544.09000000003</v>
      </c>
      <c r="G6" s="10">
        <f>Product_Category_Profitability[[#This Row],[Contribution Profit]]/Product_Category_Profitability[[#This Row],[H1 Net Revenue]]</f>
        <v>0.94743323139245383</v>
      </c>
      <c r="H6" s="7">
        <f>SUMIF(Product_Monthly_COGS[B_CAT],Product_Category_Profitability[[#This Row],[`]],Product_Monthly_COGS[H1 COGS])</f>
        <v>20358.990000000002</v>
      </c>
      <c r="I6" s="7">
        <f>Product_Category_Profitability[[#This Row],[H1 Net Revenue]]-Product_Category_Profitability[[#This Row],[H1 COGS]]</f>
        <v>119539.09000000001</v>
      </c>
      <c r="J6" s="10">
        <f>Product_Category_Profitability[[#This Row],[Gross Profit]]/Product_Category_Profitability[[#This Row],[H1 Net Revenue]]</f>
        <v>0.85447269898200173</v>
      </c>
    </row>
    <row r="7" spans="3:10" ht="15" customHeight="1">
      <c r="C7" s="9" t="s">
        <v>2081</v>
      </c>
      <c r="D7" s="7">
        <f>_xlfn.XLOOKUP(Product_Category_Profitability[[#This Row],[`]],Product_Category_Valid_Product_Revenue[Product Category],Product_Category_Valid_Product_Revenue[Net Revenue])</f>
        <v>1135517.83</v>
      </c>
      <c r="E7" s="7">
        <f>SUMIF(Tbl_VariableCost[B_Cat],Product_Category_Profitability[[#This Row],[`]],Tbl_VariableCost[H1 Actual Variable Cost])</f>
        <v>559841.59500000009</v>
      </c>
      <c r="F7" s="7">
        <f>Product_Category_Profitability[[#This Row],[H1 Net Revenue]]-Product_Category_Profitability[[#This Row],[H1 Variable Cost]]</f>
        <v>575676.23499999999</v>
      </c>
      <c r="G7" s="10">
        <f>Product_Category_Profitability[[#This Row],[Contribution Profit]]/Product_Category_Profitability[[#This Row],[H1 Net Revenue]]</f>
        <v>0.50697243124751279</v>
      </c>
      <c r="H7" s="7">
        <f>SUMIF(Product_Monthly_COGS[B_CAT],Product_Category_Profitability[[#This Row],[`]],Product_Monthly_COGS[H1 COGS])</f>
        <v>666579.59499999997</v>
      </c>
      <c r="I7" s="7">
        <f>Product_Category_Profitability[[#This Row],[H1 Net Revenue]]-Product_Category_Profitability[[#This Row],[H1 COGS]]</f>
        <v>468938.2350000001</v>
      </c>
      <c r="J7" s="10">
        <f>Product_Category_Profitability[[#This Row],[Gross Profit]]/Product_Category_Profitability[[#This Row],[H1 Net Revenue]]</f>
        <v>0.41297302658823076</v>
      </c>
    </row>
    <row r="8" spans="3:10">
      <c r="C8" s="9" t="s">
        <v>2088</v>
      </c>
      <c r="D8" s="7">
        <f>_xlfn.XLOOKUP(Product_Category_Profitability[[#This Row],[`]],Product_Category_Valid_Product_Revenue[Product Category],Product_Category_Valid_Product_Revenue[Net Revenue])</f>
        <v>1117231.72</v>
      </c>
      <c r="E8" s="7">
        <f>SUMIF(Tbl_VariableCost[B_Cat],Product_Category_Profitability[[#This Row],[`]],Tbl_VariableCost[H1 Actual Variable Cost])</f>
        <v>570364.86999999988</v>
      </c>
      <c r="F8" s="7">
        <f>Product_Category_Profitability[[#This Row],[H1 Net Revenue]]-Product_Category_Profitability[[#This Row],[H1 Variable Cost]]</f>
        <v>546866.85000000009</v>
      </c>
      <c r="G8" s="10">
        <f>Product_Category_Profitability[[#This Row],[Contribution Profit]]/Product_Category_Profitability[[#This Row],[H1 Net Revenue]]</f>
        <v>0.48948381988295148</v>
      </c>
      <c r="H8" s="7">
        <f>SUMIF(Product_Monthly_COGS[B_CAT],Product_Category_Profitability[[#This Row],[`]],Product_Monthly_COGS[H1 COGS])</f>
        <v>655295.87</v>
      </c>
      <c r="I8" s="7">
        <f>Product_Category_Profitability[[#This Row],[H1 Net Revenue]]-Product_Category_Profitability[[#This Row],[H1 COGS]]</f>
        <v>461935.85</v>
      </c>
      <c r="J8" s="10">
        <f>Product_Category_Profitability[[#This Row],[Gross Profit]]/Product_Category_Profitability[[#This Row],[H1 Net Revenue]]</f>
        <v>0.41346467499150491</v>
      </c>
    </row>
    <row r="9" spans="3:10">
      <c r="C9" s="9" t="s">
        <v>2597</v>
      </c>
      <c r="D9" s="7">
        <f>SUBTOTAL(109,Product_Category_Profitability[H1 Net Revenue])</f>
        <v>3913760.4400000004</v>
      </c>
      <c r="E9" s="7">
        <f>SUBTOTAL(109,Product_Category_Profitability[H1 Variable Cost])</f>
        <v>1424374.1850000001</v>
      </c>
      <c r="F9" s="7"/>
      <c r="G9" s="7"/>
      <c r="H9" s="7">
        <f>SUBTOTAL(109,Product_Category_Profitability[H1 COGS])</f>
        <v>1777028.1850000001</v>
      </c>
      <c r="I9" s="7">
        <f>SUBTOTAL(109,Product_Category_Profitability[Gross Profit])</f>
        <v>2136732.2549999999</v>
      </c>
      <c r="J9" s="10"/>
    </row>
    <row r="10" spans="3:10">
      <c r="C10" s="12"/>
      <c r="D10" s="7"/>
      <c r="E10" s="7"/>
      <c r="F10" s="7"/>
      <c r="G10" s="7"/>
      <c r="H10" s="7"/>
      <c r="I10" s="7"/>
      <c r="J10" s="7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6030-510E-4C1F-9EC9-20A2DFCA8EE1}">
  <dimension ref="D3:K24"/>
  <sheetViews>
    <sheetView workbookViewId="0">
      <selection activeCell="E23" sqref="E23"/>
    </sheetView>
  </sheetViews>
  <sheetFormatPr defaultColWidth="9.140625" defaultRowHeight="15"/>
  <cols>
    <col min="4" max="4" width="12.140625" customWidth="1"/>
    <col min="5" max="5" width="15.7109375" bestFit="1" customWidth="1"/>
    <col min="6" max="6" width="16" bestFit="1" customWidth="1"/>
    <col min="7" max="7" width="18.28515625" bestFit="1" customWidth="1"/>
    <col min="8" max="8" width="21.42578125" bestFit="1" customWidth="1"/>
    <col min="9" max="9" width="11.5703125" bestFit="1" customWidth="1"/>
    <col min="10" max="10" width="13.85546875" customWidth="1"/>
    <col min="11" max="11" width="16.85546875" customWidth="1"/>
  </cols>
  <sheetData>
    <row r="3" spans="4:11" ht="15" customHeight="1">
      <c r="D3" s="6" t="s">
        <v>4</v>
      </c>
      <c r="E3" s="8" t="s">
        <v>2647</v>
      </c>
      <c r="F3" s="8" t="s">
        <v>2654</v>
      </c>
      <c r="G3" s="8" t="s">
        <v>2649</v>
      </c>
      <c r="H3" s="8" t="s">
        <v>2650</v>
      </c>
      <c r="I3" s="8" t="s">
        <v>2651</v>
      </c>
      <c r="J3" s="8" t="s">
        <v>2652</v>
      </c>
      <c r="K3" s="8" t="s">
        <v>2653</v>
      </c>
    </row>
    <row r="4" spans="4:11">
      <c r="D4" s="9" t="s">
        <v>101</v>
      </c>
      <c r="E4" s="7">
        <f>_xlfn.XLOOKUP(Major_Product_Profitability[[#This Row],[ProductID]],Table14[ProductID],Table14[Net Revenue])</f>
        <v>21437.110000000004</v>
      </c>
      <c r="F4" s="7">
        <f>_xlfn.XLOOKUP(Major_Product_Profitability[[#This Row],[ProductID]],Tbl_VariableCost[ProductID],Tbl_VariableCost[H1 Actual Variable Cost])</f>
        <v>12479.210000000001</v>
      </c>
      <c r="G4" s="7">
        <f>Major_Product_Profitability[[#This Row],[H1 Net Revenue]]-Major_Product_Profitability[[#This Row],[H1 Variable Cost]]</f>
        <v>8957.9000000000033</v>
      </c>
      <c r="H4" s="10">
        <f>Major_Product_Profitability[[#This Row],[Contribution Profit]]/Major_Product_Profitability[[#This Row],[H1 Net Revenue]]</f>
        <v>0.41786882653492013</v>
      </c>
      <c r="I4" s="7">
        <f>_xlfn.XLOOKUP(Major_Product_Profitability[[#This Row],[ProductID]],Product_Monthly_COGS[ProductID],Product_Monthly_COGS[H1 COGS])</f>
        <v>15234.210000000001</v>
      </c>
      <c r="J4" s="7">
        <f>Major_Product_Profitability[[#This Row],[H1 Net Revenue]]-Major_Product_Profitability[[#This Row],[H1 COGS]]</f>
        <v>6202.9000000000033</v>
      </c>
      <c r="K4" s="10">
        <f>Major_Product_Profitability[[#This Row],[Gross Profit]]/Major_Product_Profitability[[#This Row],[H1 Net Revenue]]</f>
        <v>0.28935336899423486</v>
      </c>
    </row>
    <row r="5" spans="4:11">
      <c r="D5" s="9" t="s">
        <v>92</v>
      </c>
      <c r="E5" s="7">
        <f>_xlfn.XLOOKUP(Major_Product_Profitability[[#This Row],[ProductID]],Table14[ProductID],Table14[Net Revenue])</f>
        <v>39837.639999999992</v>
      </c>
      <c r="F5" s="7">
        <f>_xlfn.XLOOKUP(Major_Product_Profitability[[#This Row],[ProductID]],Tbl_VariableCost[ProductID],Tbl_VariableCost[H1 Actual Variable Cost])</f>
        <v>12476.77</v>
      </c>
      <c r="G5" s="7">
        <f>Major_Product_Profitability[[#This Row],[H1 Net Revenue]]-Major_Product_Profitability[[#This Row],[H1 Variable Cost]]</f>
        <v>27360.869999999992</v>
      </c>
      <c r="H5" s="10">
        <f>Major_Product_Profitability[[#This Row],[Contribution Profit]]/Major_Product_Profitability[[#This Row],[H1 Net Revenue]]</f>
        <v>0.68680950980027922</v>
      </c>
      <c r="I5" s="7">
        <f>_xlfn.XLOOKUP(Major_Product_Profitability[[#This Row],[ProductID]],Product_Monthly_COGS[ProductID],Product_Monthly_COGS[H1 COGS])</f>
        <v>18076.769999999997</v>
      </c>
      <c r="J5" s="7">
        <f>Major_Product_Profitability[[#This Row],[H1 Net Revenue]]-Major_Product_Profitability[[#This Row],[H1 COGS]]</f>
        <v>21760.869999999995</v>
      </c>
      <c r="K5" s="10">
        <f>Major_Product_Profitability[[#This Row],[Gross Profit]]/Major_Product_Profitability[[#This Row],[H1 Net Revenue]]</f>
        <v>0.54623893383242583</v>
      </c>
    </row>
    <row r="6" spans="4:11">
      <c r="D6" s="9" t="s">
        <v>432</v>
      </c>
      <c r="E6" s="7">
        <f>_xlfn.XLOOKUP(Major_Product_Profitability[[#This Row],[ProductID]],Table14[ProductID],Table14[Net Revenue])</f>
        <v>45667.639999999992</v>
      </c>
      <c r="F6" s="7">
        <f>_xlfn.XLOOKUP(Major_Product_Profitability[[#This Row],[ProductID]],Tbl_VariableCost[ProductID],Tbl_VariableCost[H1 Actual Variable Cost])</f>
        <v>32723.360000000001</v>
      </c>
      <c r="G6" s="7">
        <f>Major_Product_Profitability[[#This Row],[H1 Net Revenue]]-Major_Product_Profitability[[#This Row],[H1 Variable Cost]]</f>
        <v>12944.279999999992</v>
      </c>
      <c r="H6" s="10">
        <f>Major_Product_Profitability[[#This Row],[Contribution Profit]]/Major_Product_Profitability[[#This Row],[H1 Net Revenue]]</f>
        <v>0.28344534554445977</v>
      </c>
      <c r="I6" s="7">
        <f>_xlfn.XLOOKUP(Major_Product_Profitability[[#This Row],[ProductID]],Product_Monthly_COGS[ProductID],Product_Monthly_COGS[H1 COGS])</f>
        <v>38323.360000000001</v>
      </c>
      <c r="J6" s="7">
        <f>Major_Product_Profitability[[#This Row],[H1 Net Revenue]]-Major_Product_Profitability[[#This Row],[H1 COGS]]</f>
        <v>7344.2799999999916</v>
      </c>
      <c r="K6" s="10">
        <f>Major_Product_Profitability[[#This Row],[Gross Profit]]/Major_Product_Profitability[[#This Row],[H1 Net Revenue]]</f>
        <v>0.1608202219339557</v>
      </c>
    </row>
    <row r="7" spans="4:11">
      <c r="D7" s="9" t="s">
        <v>133</v>
      </c>
      <c r="E7" s="7">
        <f>_xlfn.XLOOKUP(Major_Product_Profitability[[#This Row],[ProductID]],Table14[ProductID],Table14[Net Revenue])</f>
        <v>71620.84</v>
      </c>
      <c r="F7" s="7">
        <f>_xlfn.XLOOKUP(Major_Product_Profitability[[#This Row],[ProductID]],Tbl_VariableCost[ProductID],Tbl_VariableCost[H1 Actual Variable Cost])</f>
        <v>56254.959999999992</v>
      </c>
      <c r="G7" s="7">
        <f>Major_Product_Profitability[[#This Row],[H1 Net Revenue]]-Major_Product_Profitability[[#This Row],[H1 Variable Cost]]</f>
        <v>15365.880000000005</v>
      </c>
      <c r="H7" s="10">
        <f>Major_Product_Profitability[[#This Row],[Contribution Profit]]/Major_Product_Profitability[[#This Row],[H1 Net Revenue]]</f>
        <v>0.21454481684381257</v>
      </c>
      <c r="I7" s="7">
        <f>_xlfn.XLOOKUP(Major_Product_Profitability[[#This Row],[ProductID]],Product_Monthly_COGS[ProductID],Product_Monthly_COGS[H1 COGS])</f>
        <v>67254.959999999992</v>
      </c>
      <c r="J7" s="7">
        <f>Major_Product_Profitability[[#This Row],[H1 Net Revenue]]-Major_Product_Profitability[[#This Row],[H1 COGS]]</f>
        <v>4365.8800000000047</v>
      </c>
      <c r="K7" s="10">
        <f>Major_Product_Profitability[[#This Row],[Gross Profit]]/Major_Product_Profitability[[#This Row],[H1 Net Revenue]]</f>
        <v>6.0958235061191753E-2</v>
      </c>
    </row>
    <row r="8" spans="4:11">
      <c r="D8" s="9" t="s">
        <v>43</v>
      </c>
      <c r="E8" s="7">
        <f>_xlfn.XLOOKUP(Major_Product_Profitability[[#This Row],[ProductID]],Table14[ProductID],Table14[Net Revenue])</f>
        <v>87160.260000000024</v>
      </c>
      <c r="F8" s="7">
        <f>_xlfn.XLOOKUP(Major_Product_Profitability[[#This Row],[ProductID]],Tbl_VariableCost[ProductID],Tbl_VariableCost[H1 Actual Variable Cost])</f>
        <v>49180.590000000004</v>
      </c>
      <c r="G8" s="7">
        <f>Major_Product_Profitability[[#This Row],[H1 Net Revenue]]-Major_Product_Profitability[[#This Row],[H1 Variable Cost]]</f>
        <v>37979.67000000002</v>
      </c>
      <c r="H8" s="10">
        <f>Major_Product_Profitability[[#This Row],[Contribution Profit]]/Major_Product_Profitability[[#This Row],[H1 Net Revenue]]</f>
        <v>0.43574525821744919</v>
      </c>
      <c r="I8" s="7">
        <f>_xlfn.XLOOKUP(Major_Product_Profitability[[#This Row],[ProductID]],Product_Monthly_COGS[ProductID],Product_Monthly_COGS[H1 COGS])</f>
        <v>63684.590000000004</v>
      </c>
      <c r="J8" s="7">
        <f>Major_Product_Profitability[[#This Row],[H1 Net Revenue]]-Major_Product_Profitability[[#This Row],[H1 COGS]]</f>
        <v>23475.67000000002</v>
      </c>
      <c r="K8" s="10">
        <f>Major_Product_Profitability[[#This Row],[Gross Profit]]/Major_Product_Profitability[[#This Row],[H1 Net Revenue]]</f>
        <v>0.26933914607413989</v>
      </c>
    </row>
    <row r="9" spans="4:11">
      <c r="D9" s="9" t="s">
        <v>216</v>
      </c>
      <c r="E9" s="7">
        <f>_xlfn.XLOOKUP(Major_Product_Profitability[[#This Row],[ProductID]],Table14[ProductID],Table14[Net Revenue])</f>
        <v>88582.340000000026</v>
      </c>
      <c r="F9" s="7">
        <f>_xlfn.XLOOKUP(Major_Product_Profitability[[#This Row],[ProductID]],Tbl_VariableCost[ProductID],Tbl_VariableCost[H1 Actual Variable Cost])</f>
        <v>53111.179999999993</v>
      </c>
      <c r="G9" s="7">
        <f>Major_Product_Profitability[[#This Row],[H1 Net Revenue]]-Major_Product_Profitability[[#This Row],[H1 Variable Cost]]</f>
        <v>35471.160000000033</v>
      </c>
      <c r="H9" s="10">
        <f>Major_Product_Profitability[[#This Row],[Contribution Profit]]/Major_Product_Profitability[[#This Row],[H1 Net Revenue]]</f>
        <v>0.40043150813130496</v>
      </c>
      <c r="I9" s="7">
        <f>_xlfn.XLOOKUP(Major_Product_Profitability[[#This Row],[ProductID]],Product_Monthly_COGS[ProductID],Product_Monthly_COGS[H1 COGS])</f>
        <v>63361.179999999993</v>
      </c>
      <c r="J9" s="7">
        <f>Major_Product_Profitability[[#This Row],[H1 Net Revenue]]-Major_Product_Profitability[[#This Row],[H1 COGS]]</f>
        <v>25221.160000000033</v>
      </c>
      <c r="K9" s="10">
        <f>Major_Product_Profitability[[#This Row],[Gross Profit]]/Major_Product_Profitability[[#This Row],[H1 Net Revenue]]</f>
        <v>0.2847199565963151</v>
      </c>
    </row>
    <row r="10" spans="4:11">
      <c r="D10" s="9" t="s">
        <v>86</v>
      </c>
      <c r="E10" s="7">
        <f>_xlfn.XLOOKUP(Major_Product_Profitability[[#This Row],[ProductID]],Table14[ProductID],Table14[Net Revenue])</f>
        <v>92742.06</v>
      </c>
      <c r="F10" s="7">
        <f>_xlfn.XLOOKUP(Major_Product_Profitability[[#This Row],[ProductID]],Tbl_VariableCost[ProductID],Tbl_VariableCost[H1 Actual Variable Cost])</f>
        <v>4270.62</v>
      </c>
      <c r="G10" s="7">
        <f>Major_Product_Profitability[[#This Row],[H1 Net Revenue]]-Major_Product_Profitability[[#This Row],[H1 Variable Cost]]</f>
        <v>88471.44</v>
      </c>
      <c r="H10" s="10">
        <f>Major_Product_Profitability[[#This Row],[Contribution Profit]]/Major_Product_Profitability[[#This Row],[H1 Net Revenue]]</f>
        <v>0.95395163747710587</v>
      </c>
      <c r="I10" s="7">
        <f>_xlfn.XLOOKUP(Major_Product_Profitability[[#This Row],[ProductID]],Product_Monthly_COGS[ProductID],Product_Monthly_COGS[H1 COGS])</f>
        <v>13695.620000000003</v>
      </c>
      <c r="J10" s="7">
        <f>Major_Product_Profitability[[#This Row],[H1 Net Revenue]]-Major_Product_Profitability[[#This Row],[H1 COGS]]</f>
        <v>79046.44</v>
      </c>
      <c r="K10" s="10">
        <f>Major_Product_Profitability[[#This Row],[Gross Profit]]/Major_Product_Profitability[[#This Row],[H1 Net Revenue]]</f>
        <v>0.85232568696446898</v>
      </c>
    </row>
    <row r="11" spans="4:11">
      <c r="D11" s="9" t="s">
        <v>81</v>
      </c>
      <c r="E11" s="7">
        <f>_xlfn.XLOOKUP(Major_Product_Profitability[[#This Row],[ProductID]],Table14[ProductID],Table14[Net Revenue])</f>
        <v>104913.04000000001</v>
      </c>
      <c r="F11" s="7">
        <f>_xlfn.XLOOKUP(Major_Product_Profitability[[#This Row],[ProductID]],Tbl_VariableCost[ProductID],Tbl_VariableCost[H1 Actual Variable Cost])</f>
        <v>63732.35</v>
      </c>
      <c r="G11" s="7">
        <f>Major_Product_Profitability[[#This Row],[H1 Net Revenue]]-Major_Product_Profitability[[#This Row],[H1 Variable Cost]]</f>
        <v>41180.69000000001</v>
      </c>
      <c r="H11" s="10">
        <f>Major_Product_Profitability[[#This Row],[Contribution Profit]]/Major_Product_Profitability[[#This Row],[H1 Net Revenue]]</f>
        <v>0.39252213070939518</v>
      </c>
      <c r="I11" s="7">
        <f>_xlfn.XLOOKUP(Major_Product_Profitability[[#This Row],[ProductID]],Product_Monthly_COGS[ProductID],Product_Monthly_COGS[H1 COGS])</f>
        <v>78012.350000000006</v>
      </c>
      <c r="J11" s="7">
        <f>Major_Product_Profitability[[#This Row],[H1 Net Revenue]]-Major_Product_Profitability[[#This Row],[H1 COGS]]</f>
        <v>26900.690000000002</v>
      </c>
      <c r="K11" s="10">
        <f>Major_Product_Profitability[[#This Row],[Gross Profit]]/Major_Product_Profitability[[#This Row],[H1 Net Revenue]]</f>
        <v>0.25640940344498642</v>
      </c>
    </row>
    <row r="12" spans="4:11">
      <c r="D12" s="9" t="s">
        <v>51</v>
      </c>
      <c r="E12" s="7">
        <f>_xlfn.XLOOKUP(Major_Product_Profitability[[#This Row],[ProductID]],Table14[ProductID],Table14[Net Revenue])</f>
        <v>136806.13999999998</v>
      </c>
      <c r="F12" s="7">
        <f>_xlfn.XLOOKUP(Major_Product_Profitability[[#This Row],[ProductID]],Tbl_VariableCost[ProductID],Tbl_VariableCost[H1 Actual Variable Cost])</f>
        <v>5519.1799999999994</v>
      </c>
      <c r="G12" s="7">
        <f>Major_Product_Profitability[[#This Row],[H1 Net Revenue]]-Major_Product_Profitability[[#This Row],[H1 Variable Cost]]</f>
        <v>131286.96</v>
      </c>
      <c r="H12" s="10">
        <f>Major_Product_Profitability[[#This Row],[Contribution Profit]]/Major_Product_Profitability[[#This Row],[H1 Net Revenue]]</f>
        <v>0.95965692767883082</v>
      </c>
      <c r="I12" s="7">
        <f>_xlfn.XLOOKUP(Major_Product_Profitability[[#This Row],[ProductID]],Product_Monthly_COGS[ProductID],Product_Monthly_COGS[H1 COGS])</f>
        <v>17699.18</v>
      </c>
      <c r="J12" s="7">
        <f>Major_Product_Profitability[[#This Row],[H1 Net Revenue]]-Major_Product_Profitability[[#This Row],[H1 COGS]]</f>
        <v>119106.95999999999</v>
      </c>
      <c r="K12" s="10">
        <f>Major_Product_Profitability[[#This Row],[Gross Profit]]/Major_Product_Profitability[[#This Row],[H1 Net Revenue]]</f>
        <v>0.87062583594566734</v>
      </c>
    </row>
    <row r="13" spans="4:11">
      <c r="D13" s="9" t="s">
        <v>62</v>
      </c>
      <c r="E13" s="7">
        <f>_xlfn.XLOOKUP(Major_Product_Profitability[[#This Row],[ProductID]],Table14[ProductID],Table14[Net Revenue])</f>
        <v>139898.08000000002</v>
      </c>
      <c r="F13" s="7">
        <f>_xlfn.XLOOKUP(Major_Product_Profitability[[#This Row],[ProductID]],Tbl_VariableCost[ProductID],Tbl_VariableCost[H1 Actual Variable Cost])</f>
        <v>7353.9900000000007</v>
      </c>
      <c r="G13" s="7">
        <f>Major_Product_Profitability[[#This Row],[H1 Net Revenue]]-Major_Product_Profitability[[#This Row],[H1 Variable Cost]]</f>
        <v>132544.09000000003</v>
      </c>
      <c r="H13" s="10">
        <f>Major_Product_Profitability[[#This Row],[Contribution Profit]]/Major_Product_Profitability[[#This Row],[H1 Net Revenue]]</f>
        <v>0.94743323139245383</v>
      </c>
      <c r="I13" s="7">
        <f>_xlfn.XLOOKUP(Major_Product_Profitability[[#This Row],[ProductID]],Product_Monthly_COGS[ProductID],Product_Monthly_COGS[H1 COGS])</f>
        <v>20358.990000000002</v>
      </c>
      <c r="J13" s="7">
        <f>Major_Product_Profitability[[#This Row],[H1 Net Revenue]]-Major_Product_Profitability[[#This Row],[H1 COGS]]</f>
        <v>119539.09000000001</v>
      </c>
      <c r="K13" s="10">
        <f>Major_Product_Profitability[[#This Row],[Gross Profit]]/Major_Product_Profitability[[#This Row],[H1 Net Revenue]]</f>
        <v>0.85447269898200173</v>
      </c>
    </row>
    <row r="14" spans="4:11">
      <c r="D14" s="9" t="s">
        <v>152</v>
      </c>
      <c r="E14" s="7">
        <f>_xlfn.XLOOKUP(Major_Product_Profitability[[#This Row],[ProductID]],Table14[ProductID],Table14[Net Revenue])</f>
        <v>242237.04000000004</v>
      </c>
      <c r="F14" s="7">
        <f>_xlfn.XLOOKUP(Major_Product_Profitability[[#This Row],[ProductID]],Tbl_VariableCost[ProductID],Tbl_VariableCost[H1 Actual Variable Cost])</f>
        <v>112420.95</v>
      </c>
      <c r="G14" s="7">
        <f>Major_Product_Profitability[[#This Row],[H1 Net Revenue]]-Major_Product_Profitability[[#This Row],[H1 Variable Cost]]</f>
        <v>129816.09000000004</v>
      </c>
      <c r="H14" s="10">
        <f>Major_Product_Profitability[[#This Row],[Contribution Profit]]/Major_Product_Profitability[[#This Row],[H1 Net Revenue]]</f>
        <v>0.53590520260650487</v>
      </c>
      <c r="I14" s="7">
        <f>_xlfn.XLOOKUP(Major_Product_Profitability[[#This Row],[ProductID]],Product_Monthly_COGS[ProductID],Product_Monthly_COGS[H1 COGS])</f>
        <v>133156.95000000001</v>
      </c>
      <c r="J14" s="7">
        <f>Major_Product_Profitability[[#This Row],[H1 Net Revenue]]-Major_Product_Profitability[[#This Row],[H1 COGS]]</f>
        <v>109080.09000000003</v>
      </c>
      <c r="K14" s="10">
        <f>Major_Product_Profitability[[#This Row],[Gross Profit]]/Major_Product_Profitability[[#This Row],[H1 Net Revenue]]</f>
        <v>0.45030309980670175</v>
      </c>
    </row>
    <row r="15" spans="4:11">
      <c r="D15" s="9" t="s">
        <v>31</v>
      </c>
      <c r="E15" s="7">
        <f>_xlfn.XLOOKUP(Major_Product_Profitability[[#This Row],[ProductID]],Table14[ProductID],Table14[Net Revenue])</f>
        <v>242895.09000000003</v>
      </c>
      <c r="F15" s="7">
        <f>_xlfn.XLOOKUP(Major_Product_Profitability[[#This Row],[ProductID]],Tbl_VariableCost[ProductID],Tbl_VariableCost[H1 Actual Variable Cost])</f>
        <v>121064.73000000001</v>
      </c>
      <c r="G15" s="7">
        <f>Major_Product_Profitability[[#This Row],[H1 Net Revenue]]-Major_Product_Profitability[[#This Row],[H1 Variable Cost]]</f>
        <v>121830.36000000002</v>
      </c>
      <c r="H15" s="10">
        <f>Major_Product_Profitability[[#This Row],[Contribution Profit]]/Major_Product_Profitability[[#This Row],[H1 Net Revenue]]</f>
        <v>0.50157605079625123</v>
      </c>
      <c r="I15" s="7">
        <f>_xlfn.XLOOKUP(Major_Product_Profitability[[#This Row],[ProductID]],Product_Monthly_COGS[ProductID],Product_Monthly_COGS[H1 COGS])</f>
        <v>142844.73000000001</v>
      </c>
      <c r="J15" s="7">
        <f>Major_Product_Profitability[[#This Row],[H1 Net Revenue]]-Major_Product_Profitability[[#This Row],[H1 COGS]]</f>
        <v>100050.36000000002</v>
      </c>
      <c r="K15" s="10">
        <f>Major_Product_Profitability[[#This Row],[Gross Profit]]/Major_Product_Profitability[[#This Row],[H1 Net Revenue]]</f>
        <v>0.41190770879724248</v>
      </c>
    </row>
    <row r="16" spans="4:11">
      <c r="D16" s="9" t="s">
        <v>57</v>
      </c>
      <c r="E16" s="7">
        <f>_xlfn.XLOOKUP(Major_Product_Profitability[[#This Row],[ProductID]],Table14[ProductID],Table14[Net Revenue])</f>
        <v>247697.65</v>
      </c>
      <c r="F16" s="7">
        <f>_xlfn.XLOOKUP(Major_Product_Profitability[[#This Row],[ProductID]],Tbl_VariableCost[ProductID],Tbl_VariableCost[H1 Actual Variable Cost])</f>
        <v>113290.32</v>
      </c>
      <c r="G16" s="7">
        <f>Major_Product_Profitability[[#This Row],[H1 Net Revenue]]-Major_Product_Profitability[[#This Row],[H1 Variable Cost]]</f>
        <v>134407.32999999999</v>
      </c>
      <c r="H16" s="10">
        <f>Major_Product_Profitability[[#This Row],[Contribution Profit]]/Major_Product_Profitability[[#This Row],[H1 Net Revenue]]</f>
        <v>0.54262658527442631</v>
      </c>
      <c r="I16" s="7">
        <f>_xlfn.XLOOKUP(Major_Product_Profitability[[#This Row],[ProductID]],Product_Monthly_COGS[ProductID],Product_Monthly_COGS[H1 COGS])</f>
        <v>133492.32</v>
      </c>
      <c r="J16" s="7">
        <f>Major_Product_Profitability[[#This Row],[H1 Net Revenue]]-Major_Product_Profitability[[#This Row],[H1 COGS]]</f>
        <v>114205.32999999999</v>
      </c>
      <c r="K16" s="10">
        <f>Major_Product_Profitability[[#This Row],[Gross Profit]]/Major_Product_Profitability[[#This Row],[H1 Net Revenue]]</f>
        <v>0.46106747480244559</v>
      </c>
    </row>
    <row r="17" spans="4:11">
      <c r="D17" s="9" t="s">
        <v>72</v>
      </c>
      <c r="E17" s="7">
        <f>_xlfn.XLOOKUP(Major_Product_Profitability[[#This Row],[ProductID]],Table14[ProductID],Table14[Net Revenue])</f>
        <v>258742.59</v>
      </c>
      <c r="F17" s="7">
        <f>_xlfn.XLOOKUP(Major_Product_Profitability[[#This Row],[ProductID]],Tbl_VariableCost[ProductID],Tbl_VariableCost[H1 Actual Variable Cost])</f>
        <v>115187.485</v>
      </c>
      <c r="G17" s="7">
        <f>Major_Product_Profitability[[#This Row],[H1 Net Revenue]]-Major_Product_Profitability[[#This Row],[H1 Variable Cost]]</f>
        <v>143555.10499999998</v>
      </c>
      <c r="H17" s="10">
        <f>Major_Product_Profitability[[#This Row],[Contribution Profit]]/Major_Product_Profitability[[#This Row],[H1 Net Revenue]]</f>
        <v>0.55481822687173377</v>
      </c>
      <c r="I17" s="7">
        <f>_xlfn.XLOOKUP(Major_Product_Profitability[[#This Row],[ProductID]],Product_Monthly_COGS[ProductID],Product_Monthly_COGS[H1 COGS])</f>
        <v>140891.48499999999</v>
      </c>
      <c r="J17" s="7">
        <f>Major_Product_Profitability[[#This Row],[H1 Net Revenue]]-Major_Product_Profitability[[#This Row],[H1 COGS]]</f>
        <v>117851.10500000001</v>
      </c>
      <c r="K17" s="10">
        <f>Major_Product_Profitability[[#This Row],[Gross Profit]]/Major_Product_Profitability[[#This Row],[H1 Net Revenue]]</f>
        <v>0.45547625151313514</v>
      </c>
    </row>
    <row r="18" spans="4:11">
      <c r="D18" s="9" t="s">
        <v>97</v>
      </c>
      <c r="E18" s="7">
        <f>_xlfn.XLOOKUP(Major_Product_Profitability[[#This Row],[ProductID]],Table14[ProductID],Table14[Net Revenue])</f>
        <v>299022.24000000017</v>
      </c>
      <c r="F18" s="7">
        <f>_xlfn.XLOOKUP(Major_Product_Profitability[[#This Row],[ProductID]],Tbl_VariableCost[ProductID],Tbl_VariableCost[H1 Actual Variable Cost])</f>
        <v>161118.47</v>
      </c>
      <c r="G18" s="7">
        <f>Major_Product_Profitability[[#This Row],[H1 Net Revenue]]-Major_Product_Profitability[[#This Row],[H1 Variable Cost]]</f>
        <v>137903.77000000016</v>
      </c>
      <c r="H18" s="10">
        <f>Major_Product_Profitability[[#This Row],[Contribution Profit]]/Major_Product_Profitability[[#This Row],[H1 Net Revenue]]</f>
        <v>0.46118231874659255</v>
      </c>
      <c r="I18" s="7">
        <f>_xlfn.XLOOKUP(Major_Product_Profitability[[#This Row],[ProductID]],Product_Monthly_COGS[ProductID],Product_Monthly_COGS[H1 COGS])</f>
        <v>185666.47</v>
      </c>
      <c r="J18" s="7">
        <f>Major_Product_Profitability[[#This Row],[H1 Net Revenue]]-Major_Product_Profitability[[#This Row],[H1 COGS]]</f>
        <v>113355.77000000016</v>
      </c>
      <c r="K18" s="10">
        <f>Major_Product_Profitability[[#This Row],[Gross Profit]]/Major_Product_Profitability[[#This Row],[H1 Net Revenue]]</f>
        <v>0.37908809057145748</v>
      </c>
    </row>
    <row r="19" spans="4:11">
      <c r="D19" s="9" t="s">
        <v>39</v>
      </c>
      <c r="E19" s="7">
        <f>_xlfn.XLOOKUP(Major_Product_Profitability[[#This Row],[ProductID]],Table14[ProductID],Table14[Net Revenue])</f>
        <v>421635.9800000001</v>
      </c>
      <c r="F19" s="7">
        <f>_xlfn.XLOOKUP(Major_Product_Profitability[[#This Row],[ProductID]],Tbl_VariableCost[ProductID],Tbl_VariableCost[H1 Actual Variable Cost])</f>
        <v>209860.33999999997</v>
      </c>
      <c r="G19" s="7">
        <f>Major_Product_Profitability[[#This Row],[H1 Net Revenue]]-Major_Product_Profitability[[#This Row],[H1 Variable Cost]]</f>
        <v>211775.64000000013</v>
      </c>
      <c r="H19" s="10">
        <f>Major_Product_Profitability[[#This Row],[Contribution Profit]]/Major_Product_Profitability[[#This Row],[H1 Net Revenue]]</f>
        <v>0.50227127201051502</v>
      </c>
      <c r="I19" s="7">
        <f>_xlfn.XLOOKUP(Major_Product_Profitability[[#This Row],[ProductID]],Product_Monthly_COGS[ProductID],Product_Monthly_COGS[H1 COGS])</f>
        <v>242735.33999999997</v>
      </c>
      <c r="J19" s="7">
        <f>Major_Product_Profitability[[#This Row],[H1 Net Revenue]]-Major_Product_Profitability[[#This Row],[H1 COGS]]</f>
        <v>178900.64000000013</v>
      </c>
      <c r="K19" s="10">
        <f>Major_Product_Profitability[[#This Row],[Gross Profit]]/Major_Product_Profitability[[#This Row],[H1 Net Revenue]]</f>
        <v>0.42430117088204877</v>
      </c>
    </row>
    <row r="20" spans="4:11">
      <c r="D20" s="9" t="s">
        <v>68</v>
      </c>
      <c r="E20" s="7">
        <f>_xlfn.XLOOKUP(Major_Product_Profitability[[#This Row],[ProductID]],Table14[ProductID],Table14[Net Revenue])</f>
        <v>439939.28</v>
      </c>
      <c r="F20" s="7">
        <f>_xlfn.XLOOKUP(Major_Product_Profitability[[#This Row],[ProductID]],Tbl_VariableCost[ProductID],Tbl_VariableCost[H1 Actual Variable Cost])</f>
        <v>23367.690000000002</v>
      </c>
      <c r="G20" s="7">
        <f>Major_Product_Profitability[[#This Row],[H1 Net Revenue]]-Major_Product_Profitability[[#This Row],[H1 Variable Cost]]</f>
        <v>416571.59</v>
      </c>
      <c r="H20" s="10">
        <f>Major_Product_Profitability[[#This Row],[Contribution Profit]]/Major_Product_Profitability[[#This Row],[H1 Net Revenue]]</f>
        <v>0.94688428366750976</v>
      </c>
      <c r="I20" s="7">
        <f>_xlfn.XLOOKUP(Major_Product_Profitability[[#This Row],[ProductID]],Product_Monthly_COGS[ProductID],Product_Monthly_COGS[H1 COGS])</f>
        <v>61497.69</v>
      </c>
      <c r="J20" s="7">
        <f>Major_Product_Profitability[[#This Row],[H1 Net Revenue]]-Major_Product_Profitability[[#This Row],[H1 COGS]]</f>
        <v>378441.59</v>
      </c>
      <c r="K20" s="10">
        <f>Major_Product_Profitability[[#This Row],[Gross Profit]]/Major_Product_Profitability[[#This Row],[H1 Net Revenue]]</f>
        <v>0.86021323215330991</v>
      </c>
    </row>
    <row r="21" spans="4:11">
      <c r="D21" s="9" t="s">
        <v>22</v>
      </c>
      <c r="E21" s="7">
        <f>_xlfn.XLOOKUP(Major_Product_Profitability[[#This Row],[ProductID]],Table14[ProductID],Table14[Net Revenue])</f>
        <v>453358.70000000007</v>
      </c>
      <c r="F21" s="7">
        <f>_xlfn.XLOOKUP(Major_Product_Profitability[[#This Row],[ProductID]],Tbl_VariableCost[ProductID],Tbl_VariableCost[H1 Actual Variable Cost])</f>
        <v>248083.58</v>
      </c>
      <c r="G21" s="7">
        <f>Major_Product_Profitability[[#This Row],[H1 Net Revenue]]-Major_Product_Profitability[[#This Row],[H1 Variable Cost]]</f>
        <v>205275.12000000008</v>
      </c>
      <c r="H21" s="10">
        <f>Major_Product_Profitability[[#This Row],[Contribution Profit]]/Major_Product_Profitability[[#This Row],[H1 Net Revenue]]</f>
        <v>0.45278742858579762</v>
      </c>
      <c r="I21" s="7">
        <f>_xlfn.XLOOKUP(Major_Product_Profitability[[#This Row],[ProductID]],Product_Monthly_COGS[ProductID],Product_Monthly_COGS[H1 COGS])</f>
        <v>279403.58</v>
      </c>
      <c r="J21" s="7">
        <f>Major_Product_Profitability[[#This Row],[H1 Net Revenue]]-Major_Product_Profitability[[#This Row],[H1 COGS]]</f>
        <v>173955.12000000005</v>
      </c>
      <c r="K21" s="10">
        <f>Major_Product_Profitability[[#This Row],[Gross Profit]]/Major_Product_Profitability[[#This Row],[H1 Net Revenue]]</f>
        <v>0.38370305896853868</v>
      </c>
    </row>
    <row r="22" spans="4:11">
      <c r="D22" s="9" t="s">
        <v>147</v>
      </c>
      <c r="E22" s="7">
        <f>_xlfn.XLOOKUP(Major_Product_Profitability[[#This Row],[ProductID]],Table14[ProductID],Table14[Net Revenue])</f>
        <v>479566.72000000009</v>
      </c>
      <c r="F22" s="7">
        <f>_xlfn.XLOOKUP(Major_Product_Profitability[[#This Row],[ProductID]],Tbl_VariableCost[ProductID],Tbl_VariableCost[H1 Actual Variable Cost])</f>
        <v>22878.409999999996</v>
      </c>
      <c r="G22" s="7">
        <f>Major_Product_Profitability[[#This Row],[H1 Net Revenue]]-Major_Product_Profitability[[#This Row],[H1 Variable Cost]]</f>
        <v>456688.31000000011</v>
      </c>
      <c r="H22" s="10">
        <f>Major_Product_Profitability[[#This Row],[Contribution Profit]]/Major_Product_Profitability[[#This Row],[H1 Net Revenue]]</f>
        <v>0.9522935828407777</v>
      </c>
      <c r="I22" s="7">
        <f>_xlfn.XLOOKUP(Major_Product_Profitability[[#This Row],[ProductID]],Product_Monthly_COGS[ProductID],Product_Monthly_COGS[H1 COGS])</f>
        <v>61638.41</v>
      </c>
      <c r="J22" s="7">
        <f>Major_Product_Profitability[[#This Row],[H1 Net Revenue]]-Major_Product_Profitability[[#This Row],[H1 COGS]]</f>
        <v>417928.31000000006</v>
      </c>
      <c r="K22" s="10">
        <f>Major_Product_Profitability[[#This Row],[Gross Profit]]/Major_Product_Profitability[[#This Row],[H1 Net Revenue]]</f>
        <v>0.87147062665232478</v>
      </c>
    </row>
    <row r="23" spans="4:11">
      <c r="D23" s="9" t="s">
        <v>2597</v>
      </c>
      <c r="E23" s="7">
        <f>SUBTOTAL(109,Major_Product_Profitability[H1 Net Revenue])</f>
        <v>3913760.4400000009</v>
      </c>
      <c r="F23" s="7">
        <f>SUBTOTAL(109,Major_Product_Profitability[H1 Variable Cost])</f>
        <v>1424374.1849999998</v>
      </c>
      <c r="G23" s="7">
        <f>SUBTOTAL(109,Major_Product_Profitability[Contribution Profit])</f>
        <v>2489386.2550000008</v>
      </c>
      <c r="H23" s="7"/>
      <c r="I23" s="7">
        <f>SUBTOTAL(109,Major_Product_Profitability[H1 COGS])</f>
        <v>1777028.1849999998</v>
      </c>
      <c r="J23" s="7"/>
      <c r="K23" s="7"/>
    </row>
    <row r="24" spans="4:11">
      <c r="D24" s="12"/>
      <c r="E24" s="7"/>
      <c r="F24" s="7"/>
      <c r="G24" s="7"/>
      <c r="H24" s="7"/>
      <c r="I24" s="7"/>
      <c r="J24" s="7"/>
      <c r="K24" s="7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8984-552B-4D2D-AE22-1F932C908862}">
  <dimension ref="A1:BK109"/>
  <sheetViews>
    <sheetView topLeftCell="M78" zoomScale="85" zoomScaleNormal="85" workbookViewId="0">
      <selection activeCell="V100" sqref="V100:AD113"/>
    </sheetView>
  </sheetViews>
  <sheetFormatPr defaultColWidth="9.140625" defaultRowHeight="15"/>
  <cols>
    <col min="1" max="1" width="12.140625" customWidth="1"/>
    <col min="2" max="2" width="20.5703125" customWidth="1"/>
    <col min="3" max="3" width="12.85546875" customWidth="1"/>
    <col min="4" max="4" width="9.140625" customWidth="1"/>
    <col min="5" max="5" width="10" bestFit="1" customWidth="1"/>
    <col min="6" max="6" width="8.85546875" customWidth="1"/>
    <col min="7" max="7" width="9.42578125" customWidth="1"/>
    <col min="8" max="8" width="8.85546875" customWidth="1"/>
    <col min="9" max="9" width="10.42578125" customWidth="1"/>
    <col min="12" max="12" width="11" customWidth="1"/>
    <col min="13" max="13" width="21" bestFit="1" customWidth="1"/>
    <col min="14" max="14" width="8.85546875" bestFit="1" customWidth="1"/>
    <col min="15" max="16" width="9.28515625" bestFit="1" customWidth="1"/>
    <col min="17" max="17" width="9" bestFit="1" customWidth="1"/>
    <col min="18" max="18" width="9.5703125" bestFit="1" customWidth="1"/>
    <col min="19" max="19" width="9" bestFit="1" customWidth="1"/>
    <col min="21" max="21" width="10.42578125" customWidth="1"/>
    <col min="22" max="22" width="16" customWidth="1"/>
    <col min="23" max="23" width="26.28515625" customWidth="1"/>
    <col min="24" max="24" width="19.7109375" bestFit="1" customWidth="1"/>
    <col min="25" max="25" width="20.28515625" bestFit="1" customWidth="1"/>
    <col min="26" max="26" width="24.140625" customWidth="1"/>
    <col min="27" max="27" width="28.140625" customWidth="1"/>
    <col min="28" max="28" width="14.5703125" bestFit="1" customWidth="1"/>
    <col min="29" max="29" width="15" bestFit="1" customWidth="1"/>
    <col min="30" max="30" width="23.5703125" bestFit="1" customWidth="1"/>
    <col min="31" max="31" width="20" customWidth="1"/>
    <col min="33" max="33" width="11.5703125" customWidth="1"/>
    <col min="34" max="34" width="19.28515625" customWidth="1"/>
    <col min="39" max="39" width="9.28515625" customWidth="1"/>
    <col min="41" max="41" width="14.5703125" customWidth="1"/>
    <col min="42" max="43" width="10.7109375" customWidth="1"/>
    <col min="44" max="44" width="15.5703125" customWidth="1"/>
    <col min="45" max="45" width="26.7109375" bestFit="1" customWidth="1"/>
    <col min="46" max="46" width="13.140625" bestFit="1" customWidth="1"/>
    <col min="47" max="47" width="13.42578125" bestFit="1" customWidth="1"/>
    <col min="48" max="48" width="13.140625" bestFit="1" customWidth="1"/>
    <col min="49" max="49" width="13" bestFit="1" customWidth="1"/>
    <col min="50" max="50" width="12.42578125" customWidth="1"/>
    <col min="51" max="51" width="11.42578125" customWidth="1"/>
    <col min="52" max="52" width="20" customWidth="1"/>
    <col min="53" max="53" width="9.28515625" customWidth="1"/>
    <col min="54" max="54" width="10.42578125" customWidth="1"/>
    <col min="55" max="55" width="15.5703125" customWidth="1"/>
    <col min="56" max="56" width="25.42578125" customWidth="1"/>
    <col min="57" max="57" width="11.42578125" customWidth="1"/>
    <col min="58" max="58" width="12" customWidth="1"/>
    <col min="59" max="59" width="12.140625" customWidth="1"/>
    <col min="60" max="60" width="12" customWidth="1"/>
    <col min="61" max="61" width="12.42578125" customWidth="1"/>
    <col min="62" max="62" width="11.42578125" customWidth="1"/>
    <col min="63" max="63" width="14" customWidth="1"/>
  </cols>
  <sheetData>
    <row r="1" spans="1:63">
      <c r="A1" t="s">
        <v>4</v>
      </c>
      <c r="B1" t="s">
        <v>2606</v>
      </c>
      <c r="C1" s="1" t="s">
        <v>2639</v>
      </c>
      <c r="D1" s="1" t="s">
        <v>2640</v>
      </c>
      <c r="E1" s="1" t="s">
        <v>2641</v>
      </c>
      <c r="F1" s="1" t="s">
        <v>2642</v>
      </c>
      <c r="G1" s="1" t="s">
        <v>2643</v>
      </c>
      <c r="H1" s="1" t="s">
        <v>2644</v>
      </c>
      <c r="I1" t="s">
        <v>2655</v>
      </c>
      <c r="L1" t="s">
        <v>4</v>
      </c>
      <c r="M1" t="s">
        <v>2606</v>
      </c>
      <c r="N1" s="40" t="s">
        <v>2633</v>
      </c>
      <c r="O1" s="40" t="s">
        <v>2634</v>
      </c>
      <c r="P1" s="40" t="s">
        <v>2635</v>
      </c>
      <c r="Q1" s="40" t="s">
        <v>2636</v>
      </c>
      <c r="R1" s="40" t="s">
        <v>2637</v>
      </c>
      <c r="S1" s="40" t="s">
        <v>2638</v>
      </c>
      <c r="V1" t="s">
        <v>4</v>
      </c>
      <c r="W1" t="s">
        <v>2606</v>
      </c>
      <c r="X1" s="40" t="s">
        <v>2633</v>
      </c>
      <c r="Y1" s="40" t="s">
        <v>2634</v>
      </c>
      <c r="Z1" s="40" t="s">
        <v>2635</v>
      </c>
      <c r="AA1" s="40" t="s">
        <v>2636</v>
      </c>
      <c r="AB1" s="40" t="s">
        <v>2637</v>
      </c>
      <c r="AC1" s="40" t="s">
        <v>2638</v>
      </c>
      <c r="AD1" t="s">
        <v>2654</v>
      </c>
      <c r="AG1" t="s">
        <v>4</v>
      </c>
      <c r="AH1" t="s">
        <v>2606</v>
      </c>
      <c r="AI1" s="40" t="s">
        <v>2633</v>
      </c>
      <c r="AJ1" s="40" t="s">
        <v>2634</v>
      </c>
      <c r="AK1" s="40" t="s">
        <v>2635</v>
      </c>
      <c r="AL1" s="40" t="s">
        <v>2636</v>
      </c>
      <c r="AM1" s="40" t="s">
        <v>2637</v>
      </c>
      <c r="AN1" s="40" t="s">
        <v>2638</v>
      </c>
      <c r="AO1" t="s">
        <v>2657</v>
      </c>
      <c r="AR1" t="s">
        <v>4</v>
      </c>
      <c r="AS1" t="s">
        <v>2606</v>
      </c>
      <c r="AT1" s="40" t="s">
        <v>2633</v>
      </c>
      <c r="AU1" s="40" t="s">
        <v>2634</v>
      </c>
      <c r="AV1" s="40" t="s">
        <v>2635</v>
      </c>
      <c r="AW1" s="40" t="s">
        <v>2636</v>
      </c>
      <c r="AX1" s="40" t="s">
        <v>2637</v>
      </c>
      <c r="AY1" s="40" t="s">
        <v>2638</v>
      </c>
      <c r="AZ1" t="s">
        <v>2657</v>
      </c>
      <c r="BC1" t="s">
        <v>4</v>
      </c>
      <c r="BD1" t="s">
        <v>2606</v>
      </c>
      <c r="BE1" s="40" t="s">
        <v>2633</v>
      </c>
      <c r="BF1" s="40" t="s">
        <v>2634</v>
      </c>
      <c r="BG1" s="40" t="s">
        <v>2635</v>
      </c>
      <c r="BH1" s="40" t="s">
        <v>2636</v>
      </c>
      <c r="BI1" s="40" t="s">
        <v>2637</v>
      </c>
      <c r="BJ1" s="40" t="s">
        <v>2638</v>
      </c>
      <c r="BK1" t="s">
        <v>2651</v>
      </c>
    </row>
    <row r="2" spans="1:63">
      <c r="A2" t="s">
        <v>133</v>
      </c>
      <c r="B2" t="s">
        <v>28</v>
      </c>
      <c r="C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2">
        <f>SUM(Product_Segment_Monthly_Quantity[[#This Row],[1/1/2025]:[6/1/2025]])</f>
        <v>8</v>
      </c>
      <c r="L2" t="s">
        <v>133</v>
      </c>
      <c r="M2" t="s">
        <v>28</v>
      </c>
      <c r="N2">
        <f>SUMIFS(Table21[1/1/2025],Table21[ProductID],Product_CustomerSegment_Monthly_Variable_Cost[[#This Row],[ProductID]])</f>
        <v>1126.25</v>
      </c>
      <c r="O2">
        <f>SUMIFS(Table21[2/1/2025],Table21[ProductID],Product_CustomerSegment_Monthly_Variable_Cost[[#This Row],[ProductID]])</f>
        <v>1124.28</v>
      </c>
      <c r="P2">
        <f>SUMIFS(Table21[3/1/2025],Table21[ProductID],Product_CustomerSegment_Monthly_Variable_Cost[[#This Row],[ProductID]])</f>
        <v>1108.08</v>
      </c>
      <c r="Q2">
        <f>SUMIFS(Table21[4/1/2025],Table21[ProductID],Product_CustomerSegment_Monthly_Variable_Cost[[#This Row],[ProductID]])</f>
        <v>1123.73</v>
      </c>
      <c r="R2">
        <f>SUMIFS(Table21[5/1/2025],Table21[ProductID],Product_CustomerSegment_Monthly_Variable_Cost[[#This Row],[ProductID]])</f>
        <v>1153.56</v>
      </c>
      <c r="S2">
        <f>SUMIFS(Table21[6/1/2025],Table21[ProductID],Product_CustomerSegment_Monthly_Variable_Cost[[#This Row],[ProductID]])</f>
        <v>1118.05</v>
      </c>
      <c r="V2" t="s">
        <v>133</v>
      </c>
      <c r="W2" t="s">
        <v>28</v>
      </c>
      <c r="X2">
        <f>Product_CustomerSegment_Monthly_Variable_Cost[[#This Row],[25-Jan]]*Product_Segment_Monthly_Quantity[[#This Row],[1/1/2025]]</f>
        <v>2252.5</v>
      </c>
      <c r="Y2">
        <f>Product_CustomerSegment_Monthly_Variable_Cost[[#This Row],[25-Feb]]*Product_Segment_Monthly_Quantity[[#This Row],[2/1/2025]]</f>
        <v>0</v>
      </c>
      <c r="Z2">
        <f>Product_CustomerSegment_Monthly_Variable_Cost[[#This Row],[25-Mar]]*Product_Segment_Monthly_Quantity[[#This Row],[3/1/2025]]</f>
        <v>1108.08</v>
      </c>
      <c r="AA2">
        <f>Product_CustomerSegment_Monthly_Variable_Cost[[#This Row],[25-Apr]]*Product_Segment_Monthly_Quantity[[#This Row],[4/1/2025]]</f>
        <v>2247.46</v>
      </c>
      <c r="AB2">
        <f>Product_CustomerSegment_Monthly_Variable_Cost[[#This Row],[25-May]]*Product_Segment_Monthly_Quantity[[#This Row],[5/1/2025]]</f>
        <v>1153.56</v>
      </c>
      <c r="AC2">
        <f>Product_CustomerSegment_Monthly_Variable_Cost[[#This Row],[25-Jun]]*Product_Segment_Monthly_Quantity[[#This Row],[6/1/2025]]</f>
        <v>2236.1</v>
      </c>
      <c r="AD2">
        <f>SUM(Product_CustomerSegment_Monthly_Variable_Cost_Amount[[#This Row],[25-Jan]:[25-Jun]])</f>
        <v>8997.7000000000007</v>
      </c>
      <c r="AG2" t="s">
        <v>133</v>
      </c>
      <c r="AH2" t="s">
        <v>28</v>
      </c>
      <c r="AI2">
        <f>SUMIFS(Product_Fixed_Allocation[1/1/2025],Product_Fixed_Allocation[ProductID],Product_CustomerSegment_Monthly_Actual_Fixed_Cost[[#This Row],[ProductID]])</f>
        <v>220</v>
      </c>
      <c r="AJ2">
        <f>SUMIFS(Product_Fixed_Allocation[2/1/2025],Product_Fixed_Allocation[ProductID],Product_CustomerSegment_Monthly_Actual_Fixed_Cost[[#This Row],[ProductID]])</f>
        <v>220</v>
      </c>
      <c r="AK2">
        <f>SUMIFS(Product_Fixed_Allocation[3/1/2025],Product_Fixed_Allocation[ProductID],Product_CustomerSegment_Monthly_Actual_Fixed_Cost[[#This Row],[ProductID]])</f>
        <v>220</v>
      </c>
      <c r="AL2">
        <f>SUMIFS(Product_Fixed_Allocation[4/1/2025],Product_Fixed_Allocation[ProductID],Product_CustomerSegment_Monthly_Actual_Fixed_Cost[[#This Row],[ProductID]])</f>
        <v>220</v>
      </c>
      <c r="AM2">
        <f>SUMIFS(Product_Fixed_Allocation[5/1/2025],Product_Fixed_Allocation[ProductID],Product_CustomerSegment_Monthly_Actual_Fixed_Cost[[#This Row],[ProductID]])</f>
        <v>220</v>
      </c>
      <c r="AN2">
        <f>SUMIFS(Product_Fixed_Allocation[6/1/2025],Product_Fixed_Allocation[ProductID],Product_CustomerSegment_Monthly_Actual_Fixed_Cost[[#This Row],[ProductID]])</f>
        <v>220</v>
      </c>
      <c r="AO2">
        <f>SUM(Product_CustomerSegment_Monthly_Actual_Fixed_Cost[[#This Row],[25-Jan]:[25-Jun]])</f>
        <v>1320</v>
      </c>
      <c r="AR2" t="s">
        <v>133</v>
      </c>
      <c r="AS2" t="s">
        <v>28</v>
      </c>
      <c r="AT2">
        <f>Product_CustomerSegment_Monthly_Actual_Fixed_Cost[[#This Row],[25-Jan]]*Product_Segment_Monthly_Quantity[[#This Row],[1/1/2025]]</f>
        <v>440</v>
      </c>
      <c r="AU2">
        <f>Product_CustomerSegment_Monthly_Actual_Fixed_Cost[[#This Row],[25-Feb]]*Product_Segment_Monthly_Quantity[[#This Row],[2/1/2025]]</f>
        <v>0</v>
      </c>
      <c r="AV2">
        <f>Product_CustomerSegment_Monthly_Actual_Fixed_Cost[[#This Row],[25-Mar]]*Product_Segment_Monthly_Quantity[[#This Row],[3/1/2025]]</f>
        <v>220</v>
      </c>
      <c r="AW2">
        <f>Product_CustomerSegment_Monthly_Actual_Fixed_Cost[[#This Row],[25-Apr]]*Product_Segment_Monthly_Quantity[[#This Row],[4/1/2025]]</f>
        <v>440</v>
      </c>
      <c r="AX2">
        <f>Product_CustomerSegment_Monthly_Actual_Fixed_Cost[[#This Row],[25-May]]*Product_Segment_Monthly_Quantity[[#This Row],[5/1/2025]]</f>
        <v>220</v>
      </c>
      <c r="AY2">
        <f>Product_CustomerSegment_Monthly_Actual_Fixed_Cost[[#This Row],[25-Jun]]*Product_Segment_Monthly_Quantity[[#This Row],[6/1/2025]]</f>
        <v>440</v>
      </c>
      <c r="AZ2">
        <f>SUM(Product_CustomerSegment_Monthly_Fixed_Cost_Amount[[#This Row],[25-Jan]:[25-Jun]])</f>
        <v>1760</v>
      </c>
      <c r="BC2" t="s">
        <v>133</v>
      </c>
      <c r="BD2" t="s">
        <v>28</v>
      </c>
      <c r="BE2">
        <f>Product_CustomerSegment_Monthly_Fixed_Cost_Amount[[#This Row],[25-Jan]]+Product_CustomerSegment_Monthly_Variable_Cost_Amount[[#This Row],[25-Jan]]</f>
        <v>2692.5</v>
      </c>
      <c r="BF2">
        <f>Product_CustomerSegment_Monthly_Fixed_Cost_Amount[[#This Row],[25-Feb]]+Product_CustomerSegment_Monthly_Variable_Cost_Amount[[#This Row],[25-Feb]]</f>
        <v>0</v>
      </c>
      <c r="BG2">
        <f>Product_CustomerSegment_Monthly_Fixed_Cost_Amount[[#This Row],[25-Mar]]+Product_CustomerSegment_Monthly_Variable_Cost_Amount[[#This Row],[25-Mar]]</f>
        <v>1328.08</v>
      </c>
      <c r="BH2">
        <f>Product_CustomerSegment_Monthly_Fixed_Cost_Amount[[#This Row],[25-Apr]]+Product_CustomerSegment_Monthly_Variable_Cost_Amount[[#This Row],[25-Apr]]</f>
        <v>2687.46</v>
      </c>
      <c r="BI2">
        <f>Product_CustomerSegment_Monthly_Fixed_Cost_Amount[[#This Row],[25-May]]+Product_CustomerSegment_Monthly_Variable_Cost_Amount[[#This Row],[25-May]]</f>
        <v>1373.56</v>
      </c>
      <c r="BJ2">
        <f>Product_CustomerSegment_Monthly_Fixed_Cost_Amount[[#This Row],[25-Jun]]+Product_CustomerSegment_Monthly_Variable_Cost_Amount[[#This Row],[25-Jun]]</f>
        <v>2676.1</v>
      </c>
      <c r="BK2">
        <f>SUM(Product_CustomerSegment_Monthly_COGS[[#This Row],[25-Jan]:[25-Jun]])</f>
        <v>10757.7</v>
      </c>
    </row>
    <row r="3" spans="1:63">
      <c r="A3" t="s">
        <v>133</v>
      </c>
      <c r="B3" t="s">
        <v>36</v>
      </c>
      <c r="C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</v>
      </c>
      <c r="H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6</v>
      </c>
      <c r="I3">
        <f>SUM(Product_Segment_Monthly_Quantity[[#This Row],[1/1/2025]:[6/1/2025]])</f>
        <v>17</v>
      </c>
      <c r="L3" t="s">
        <v>133</v>
      </c>
      <c r="M3" t="s">
        <v>36</v>
      </c>
      <c r="N3">
        <f>SUMIFS(Table21[1/1/2025],Table21[ProductID],Product_CustomerSegment_Monthly_Variable_Cost[[#This Row],[ProductID]])</f>
        <v>1126.25</v>
      </c>
      <c r="O3">
        <f>SUMIFS(Table21[2/1/2025],Table21[ProductID],Product_CustomerSegment_Monthly_Variable_Cost[[#This Row],[ProductID]])</f>
        <v>1124.28</v>
      </c>
      <c r="P3">
        <f>SUMIFS(Table21[3/1/2025],Table21[ProductID],Product_CustomerSegment_Monthly_Variable_Cost[[#This Row],[ProductID]])</f>
        <v>1108.08</v>
      </c>
      <c r="Q3">
        <f>SUMIFS(Table21[4/1/2025],Table21[ProductID],Product_CustomerSegment_Monthly_Variable_Cost[[#This Row],[ProductID]])</f>
        <v>1123.73</v>
      </c>
      <c r="R3">
        <f>SUMIFS(Table21[5/1/2025],Table21[ProductID],Product_CustomerSegment_Monthly_Variable_Cost[[#This Row],[ProductID]])</f>
        <v>1153.56</v>
      </c>
      <c r="S3">
        <f>SUMIFS(Table21[6/1/2025],Table21[ProductID],Product_CustomerSegment_Monthly_Variable_Cost[[#This Row],[ProductID]])</f>
        <v>1118.05</v>
      </c>
      <c r="V3" t="s">
        <v>133</v>
      </c>
      <c r="W3" t="s">
        <v>36</v>
      </c>
      <c r="X3">
        <f>Product_CustomerSegment_Monthly_Variable_Cost[[#This Row],[25-Jan]]*Product_Segment_Monthly_Quantity[[#This Row],[1/1/2025]]</f>
        <v>2252.5</v>
      </c>
      <c r="Y3">
        <f>Product_CustomerSegment_Monthly_Variable_Cost[[#This Row],[25-Feb]]*Product_Segment_Monthly_Quantity[[#This Row],[2/1/2025]]</f>
        <v>0</v>
      </c>
      <c r="Z3">
        <f>Product_CustomerSegment_Monthly_Variable_Cost[[#This Row],[25-Mar]]*Product_Segment_Monthly_Quantity[[#This Row],[3/1/2025]]</f>
        <v>3324.24</v>
      </c>
      <c r="AA3">
        <f>Product_CustomerSegment_Monthly_Variable_Cost[[#This Row],[25-Apr]]*Product_Segment_Monthly_Quantity[[#This Row],[4/1/2025]]</f>
        <v>3371.19</v>
      </c>
      <c r="AB3">
        <f>Product_CustomerSegment_Monthly_Variable_Cost[[#This Row],[25-May]]*Product_Segment_Monthly_Quantity[[#This Row],[5/1/2025]]</f>
        <v>3460.68</v>
      </c>
      <c r="AC3">
        <f>Product_CustomerSegment_Monthly_Variable_Cost[[#This Row],[25-Jun]]*Product_Segment_Monthly_Quantity[[#This Row],[6/1/2025]]</f>
        <v>6708.2999999999993</v>
      </c>
      <c r="AD3">
        <f>SUM(Product_CustomerSegment_Monthly_Variable_Cost_Amount[[#This Row],[25-Jan]:[25-Jun]])</f>
        <v>19116.91</v>
      </c>
      <c r="AG3" t="s">
        <v>133</v>
      </c>
      <c r="AH3" t="s">
        <v>36</v>
      </c>
      <c r="AI3">
        <f>SUMIFS(Product_Fixed_Allocation[1/1/2025],Product_Fixed_Allocation[ProductID],Product_CustomerSegment_Monthly_Actual_Fixed_Cost[[#This Row],[ProductID]])</f>
        <v>220</v>
      </c>
      <c r="AJ3">
        <f>SUMIFS(Product_Fixed_Allocation[2/1/2025],Product_Fixed_Allocation[ProductID],Product_CustomerSegment_Monthly_Actual_Fixed_Cost[[#This Row],[ProductID]])</f>
        <v>220</v>
      </c>
      <c r="AK3">
        <f>SUMIFS(Product_Fixed_Allocation[3/1/2025],Product_Fixed_Allocation[ProductID],Product_CustomerSegment_Monthly_Actual_Fixed_Cost[[#This Row],[ProductID]])</f>
        <v>220</v>
      </c>
      <c r="AL3">
        <f>SUMIFS(Product_Fixed_Allocation[4/1/2025],Product_Fixed_Allocation[ProductID],Product_CustomerSegment_Monthly_Actual_Fixed_Cost[[#This Row],[ProductID]])</f>
        <v>220</v>
      </c>
      <c r="AM3">
        <f>SUMIFS(Product_Fixed_Allocation[5/1/2025],Product_Fixed_Allocation[ProductID],Product_CustomerSegment_Monthly_Actual_Fixed_Cost[[#This Row],[ProductID]])</f>
        <v>220</v>
      </c>
      <c r="AN3">
        <f>SUMIFS(Product_Fixed_Allocation[6/1/2025],Product_Fixed_Allocation[ProductID],Product_CustomerSegment_Monthly_Actual_Fixed_Cost[[#This Row],[ProductID]])</f>
        <v>220</v>
      </c>
      <c r="AO3">
        <f>SUM(Product_CustomerSegment_Monthly_Actual_Fixed_Cost[[#This Row],[25-Jan]:[25-Jun]])</f>
        <v>1320</v>
      </c>
      <c r="AR3" t="s">
        <v>133</v>
      </c>
      <c r="AS3" t="s">
        <v>36</v>
      </c>
      <c r="AT3">
        <f>Product_CustomerSegment_Monthly_Actual_Fixed_Cost[[#This Row],[25-Jan]]*Product_Segment_Monthly_Quantity[[#This Row],[1/1/2025]]</f>
        <v>440</v>
      </c>
      <c r="AU3">
        <f>Product_CustomerSegment_Monthly_Actual_Fixed_Cost[[#This Row],[25-Feb]]*Product_Segment_Monthly_Quantity[[#This Row],[2/1/2025]]</f>
        <v>0</v>
      </c>
      <c r="AV3">
        <f>Product_CustomerSegment_Monthly_Actual_Fixed_Cost[[#This Row],[25-Mar]]*Product_Segment_Monthly_Quantity[[#This Row],[3/1/2025]]</f>
        <v>660</v>
      </c>
      <c r="AW3">
        <f>Product_CustomerSegment_Monthly_Actual_Fixed_Cost[[#This Row],[25-Apr]]*Product_Segment_Monthly_Quantity[[#This Row],[4/1/2025]]</f>
        <v>660</v>
      </c>
      <c r="AX3">
        <f>Product_CustomerSegment_Monthly_Actual_Fixed_Cost[[#This Row],[25-May]]*Product_Segment_Monthly_Quantity[[#This Row],[5/1/2025]]</f>
        <v>660</v>
      </c>
      <c r="AY3">
        <f>Product_CustomerSegment_Monthly_Actual_Fixed_Cost[[#This Row],[25-Jun]]*Product_Segment_Monthly_Quantity[[#This Row],[6/1/2025]]</f>
        <v>1320</v>
      </c>
      <c r="AZ3">
        <f>SUM(Product_CustomerSegment_Monthly_Fixed_Cost_Amount[[#This Row],[25-Jan]:[25-Jun]])</f>
        <v>3740</v>
      </c>
      <c r="BC3" t="s">
        <v>133</v>
      </c>
      <c r="BD3" t="s">
        <v>36</v>
      </c>
      <c r="BE3">
        <f>Product_CustomerSegment_Monthly_Fixed_Cost_Amount[[#This Row],[25-Jan]]+Product_CustomerSegment_Monthly_Variable_Cost_Amount[[#This Row],[25-Jan]]</f>
        <v>2692.5</v>
      </c>
      <c r="BF3">
        <f>Product_CustomerSegment_Monthly_Fixed_Cost_Amount[[#This Row],[25-Feb]]+Product_CustomerSegment_Monthly_Variable_Cost_Amount[[#This Row],[25-Feb]]</f>
        <v>0</v>
      </c>
      <c r="BG3">
        <f>Product_CustomerSegment_Monthly_Fixed_Cost_Amount[[#This Row],[25-Mar]]+Product_CustomerSegment_Monthly_Variable_Cost_Amount[[#This Row],[25-Mar]]</f>
        <v>3984.24</v>
      </c>
      <c r="BH3">
        <f>Product_CustomerSegment_Monthly_Fixed_Cost_Amount[[#This Row],[25-Apr]]+Product_CustomerSegment_Monthly_Variable_Cost_Amount[[#This Row],[25-Apr]]</f>
        <v>4031.19</v>
      </c>
      <c r="BI3">
        <f>Product_CustomerSegment_Monthly_Fixed_Cost_Amount[[#This Row],[25-May]]+Product_CustomerSegment_Monthly_Variable_Cost_Amount[[#This Row],[25-May]]</f>
        <v>4120.68</v>
      </c>
      <c r="BJ3">
        <f>Product_CustomerSegment_Monthly_Fixed_Cost_Amount[[#This Row],[25-Jun]]+Product_CustomerSegment_Monthly_Variable_Cost_Amount[[#This Row],[25-Jun]]</f>
        <v>8028.2999999999993</v>
      </c>
      <c r="BK3">
        <f>SUM(Product_CustomerSegment_Monthly_COGS[[#This Row],[25-Jan]:[25-Jun]])</f>
        <v>22856.91</v>
      </c>
    </row>
    <row r="4" spans="1:63" ht="15" customHeight="1">
      <c r="A4" t="s">
        <v>133</v>
      </c>
      <c r="B4" t="s">
        <v>48</v>
      </c>
      <c r="C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4">
        <f>SUM(Product_Segment_Monthly_Quantity[[#This Row],[1/1/2025]:[6/1/2025]])</f>
        <v>10</v>
      </c>
      <c r="L4" t="s">
        <v>133</v>
      </c>
      <c r="M4" t="s">
        <v>48</v>
      </c>
      <c r="N4">
        <f>SUMIFS(Table21[1/1/2025],Table21[ProductID],Product_CustomerSegment_Monthly_Variable_Cost[[#This Row],[ProductID]])</f>
        <v>1126.25</v>
      </c>
      <c r="O4">
        <f>SUMIFS(Table21[2/1/2025],Table21[ProductID],Product_CustomerSegment_Monthly_Variable_Cost[[#This Row],[ProductID]])</f>
        <v>1124.28</v>
      </c>
      <c r="P4">
        <f>SUMIFS(Table21[3/1/2025],Table21[ProductID],Product_CustomerSegment_Monthly_Variable_Cost[[#This Row],[ProductID]])</f>
        <v>1108.08</v>
      </c>
      <c r="Q4">
        <f>SUMIFS(Table21[4/1/2025],Table21[ProductID],Product_CustomerSegment_Monthly_Variable_Cost[[#This Row],[ProductID]])</f>
        <v>1123.73</v>
      </c>
      <c r="R4">
        <f>SUMIFS(Table21[5/1/2025],Table21[ProductID],Product_CustomerSegment_Monthly_Variable_Cost[[#This Row],[ProductID]])</f>
        <v>1153.56</v>
      </c>
      <c r="S4">
        <f>SUMIFS(Table21[6/1/2025],Table21[ProductID],Product_CustomerSegment_Monthly_Variable_Cost[[#This Row],[ProductID]])</f>
        <v>1118.05</v>
      </c>
      <c r="V4" t="s">
        <v>133</v>
      </c>
      <c r="W4" t="s">
        <v>48</v>
      </c>
      <c r="X4">
        <f>Product_CustomerSegment_Monthly_Variable_Cost[[#This Row],[25-Jan]]*Product_Segment_Monthly_Quantity[[#This Row],[1/1/2025]]</f>
        <v>0</v>
      </c>
      <c r="Y4">
        <f>Product_CustomerSegment_Monthly_Variable_Cost[[#This Row],[25-Feb]]*Product_Segment_Monthly_Quantity[[#This Row],[2/1/2025]]</f>
        <v>3372.84</v>
      </c>
      <c r="Z4">
        <f>Product_CustomerSegment_Monthly_Variable_Cost[[#This Row],[25-Mar]]*Product_Segment_Monthly_Quantity[[#This Row],[3/1/2025]]</f>
        <v>1108.08</v>
      </c>
      <c r="AA4">
        <f>Product_CustomerSegment_Monthly_Variable_Cost[[#This Row],[25-Apr]]*Product_Segment_Monthly_Quantity[[#This Row],[4/1/2025]]</f>
        <v>2247.46</v>
      </c>
      <c r="AB4">
        <f>Product_CustomerSegment_Monthly_Variable_Cost[[#This Row],[25-May]]*Product_Segment_Monthly_Quantity[[#This Row],[5/1/2025]]</f>
        <v>2307.12</v>
      </c>
      <c r="AC4">
        <f>Product_CustomerSegment_Monthly_Variable_Cost[[#This Row],[25-Jun]]*Product_Segment_Monthly_Quantity[[#This Row],[6/1/2025]]</f>
        <v>2236.1</v>
      </c>
      <c r="AD4">
        <f>SUM(Product_CustomerSegment_Monthly_Variable_Cost_Amount[[#This Row],[25-Jan]:[25-Jun]])</f>
        <v>11271.6</v>
      </c>
      <c r="AG4" t="s">
        <v>133</v>
      </c>
      <c r="AH4" t="s">
        <v>48</v>
      </c>
      <c r="AI4">
        <f>SUMIFS(Product_Fixed_Allocation[1/1/2025],Product_Fixed_Allocation[ProductID],Product_CustomerSegment_Monthly_Actual_Fixed_Cost[[#This Row],[ProductID]])</f>
        <v>220</v>
      </c>
      <c r="AJ4">
        <f>SUMIFS(Product_Fixed_Allocation[2/1/2025],Product_Fixed_Allocation[ProductID],Product_CustomerSegment_Monthly_Actual_Fixed_Cost[[#This Row],[ProductID]])</f>
        <v>220</v>
      </c>
      <c r="AK4">
        <f>SUMIFS(Product_Fixed_Allocation[3/1/2025],Product_Fixed_Allocation[ProductID],Product_CustomerSegment_Monthly_Actual_Fixed_Cost[[#This Row],[ProductID]])</f>
        <v>220</v>
      </c>
      <c r="AL4">
        <f>SUMIFS(Product_Fixed_Allocation[4/1/2025],Product_Fixed_Allocation[ProductID],Product_CustomerSegment_Monthly_Actual_Fixed_Cost[[#This Row],[ProductID]])</f>
        <v>220</v>
      </c>
      <c r="AM4">
        <f>SUMIFS(Product_Fixed_Allocation[5/1/2025],Product_Fixed_Allocation[ProductID],Product_CustomerSegment_Monthly_Actual_Fixed_Cost[[#This Row],[ProductID]])</f>
        <v>220</v>
      </c>
      <c r="AN4">
        <f>SUMIFS(Product_Fixed_Allocation[6/1/2025],Product_Fixed_Allocation[ProductID],Product_CustomerSegment_Monthly_Actual_Fixed_Cost[[#This Row],[ProductID]])</f>
        <v>220</v>
      </c>
      <c r="AO4">
        <f>SUM(Product_CustomerSegment_Monthly_Actual_Fixed_Cost[[#This Row],[25-Jan]:[25-Jun]])</f>
        <v>1320</v>
      </c>
      <c r="AR4" t="s">
        <v>133</v>
      </c>
      <c r="AS4" t="s">
        <v>48</v>
      </c>
      <c r="AT4">
        <f>Product_CustomerSegment_Monthly_Actual_Fixed_Cost[[#This Row],[25-Jan]]*Product_Segment_Monthly_Quantity[[#This Row],[1/1/2025]]</f>
        <v>0</v>
      </c>
      <c r="AU4">
        <f>Product_CustomerSegment_Monthly_Actual_Fixed_Cost[[#This Row],[25-Feb]]*Product_Segment_Monthly_Quantity[[#This Row],[2/1/2025]]</f>
        <v>660</v>
      </c>
      <c r="AV4">
        <f>Product_CustomerSegment_Monthly_Actual_Fixed_Cost[[#This Row],[25-Mar]]*Product_Segment_Monthly_Quantity[[#This Row],[3/1/2025]]</f>
        <v>220</v>
      </c>
      <c r="AW4">
        <f>Product_CustomerSegment_Monthly_Actual_Fixed_Cost[[#This Row],[25-Apr]]*Product_Segment_Monthly_Quantity[[#This Row],[4/1/2025]]</f>
        <v>440</v>
      </c>
      <c r="AX4">
        <f>Product_CustomerSegment_Monthly_Actual_Fixed_Cost[[#This Row],[25-May]]*Product_Segment_Monthly_Quantity[[#This Row],[5/1/2025]]</f>
        <v>440</v>
      </c>
      <c r="AY4">
        <f>Product_CustomerSegment_Monthly_Actual_Fixed_Cost[[#This Row],[25-Jun]]*Product_Segment_Monthly_Quantity[[#This Row],[6/1/2025]]</f>
        <v>440</v>
      </c>
      <c r="AZ4">
        <f>SUM(Product_CustomerSegment_Monthly_Fixed_Cost_Amount[[#This Row],[25-Jan]:[25-Jun]])</f>
        <v>2200</v>
      </c>
      <c r="BC4" t="s">
        <v>133</v>
      </c>
      <c r="BD4" t="s">
        <v>48</v>
      </c>
      <c r="BE4">
        <f>Product_CustomerSegment_Monthly_Fixed_Cost_Amount[[#This Row],[25-Jan]]+Product_CustomerSegment_Monthly_Variable_Cost_Amount[[#This Row],[25-Jan]]</f>
        <v>0</v>
      </c>
      <c r="BF4">
        <f>Product_CustomerSegment_Monthly_Fixed_Cost_Amount[[#This Row],[25-Feb]]+Product_CustomerSegment_Monthly_Variable_Cost_Amount[[#This Row],[25-Feb]]</f>
        <v>4032.84</v>
      </c>
      <c r="BG4">
        <f>Product_CustomerSegment_Monthly_Fixed_Cost_Amount[[#This Row],[25-Mar]]+Product_CustomerSegment_Monthly_Variable_Cost_Amount[[#This Row],[25-Mar]]</f>
        <v>1328.08</v>
      </c>
      <c r="BH4">
        <f>Product_CustomerSegment_Monthly_Fixed_Cost_Amount[[#This Row],[25-Apr]]+Product_CustomerSegment_Monthly_Variable_Cost_Amount[[#This Row],[25-Apr]]</f>
        <v>2687.46</v>
      </c>
      <c r="BI4">
        <f>Product_CustomerSegment_Monthly_Fixed_Cost_Amount[[#This Row],[25-May]]+Product_CustomerSegment_Monthly_Variable_Cost_Amount[[#This Row],[25-May]]</f>
        <v>2747.12</v>
      </c>
      <c r="BJ4">
        <f>Product_CustomerSegment_Monthly_Fixed_Cost_Amount[[#This Row],[25-Jun]]+Product_CustomerSegment_Monthly_Variable_Cost_Amount[[#This Row],[25-Jun]]</f>
        <v>2676.1</v>
      </c>
      <c r="BK4">
        <f>SUM(Product_CustomerSegment_Monthly_COGS[[#This Row],[25-Jan]:[25-Jun]])</f>
        <v>13471.6</v>
      </c>
    </row>
    <row r="5" spans="1:63" ht="15" customHeight="1">
      <c r="A5" t="s">
        <v>133</v>
      </c>
      <c r="B5" t="s">
        <v>59</v>
      </c>
      <c r="C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5">
        <f>SUM(Product_Segment_Monthly_Quantity[[#This Row],[1/1/2025]:[6/1/2025]])</f>
        <v>7</v>
      </c>
      <c r="L5" t="s">
        <v>133</v>
      </c>
      <c r="M5" t="s">
        <v>59</v>
      </c>
      <c r="N5">
        <f>SUMIFS(Table21[1/1/2025],Table21[ProductID],Product_CustomerSegment_Monthly_Variable_Cost[[#This Row],[ProductID]])</f>
        <v>1126.25</v>
      </c>
      <c r="O5">
        <f>SUMIFS(Table21[2/1/2025],Table21[ProductID],Product_CustomerSegment_Monthly_Variable_Cost[[#This Row],[ProductID]])</f>
        <v>1124.28</v>
      </c>
      <c r="P5">
        <f>SUMIFS(Table21[3/1/2025],Table21[ProductID],Product_CustomerSegment_Monthly_Variable_Cost[[#This Row],[ProductID]])</f>
        <v>1108.08</v>
      </c>
      <c r="Q5">
        <f>SUMIFS(Table21[4/1/2025],Table21[ProductID],Product_CustomerSegment_Monthly_Variable_Cost[[#This Row],[ProductID]])</f>
        <v>1123.73</v>
      </c>
      <c r="R5">
        <f>SUMIFS(Table21[5/1/2025],Table21[ProductID],Product_CustomerSegment_Monthly_Variable_Cost[[#This Row],[ProductID]])</f>
        <v>1153.56</v>
      </c>
      <c r="S5">
        <f>SUMIFS(Table21[6/1/2025],Table21[ProductID],Product_CustomerSegment_Monthly_Variable_Cost[[#This Row],[ProductID]])</f>
        <v>1118.05</v>
      </c>
      <c r="V5" t="s">
        <v>133</v>
      </c>
      <c r="W5" t="s">
        <v>59</v>
      </c>
      <c r="X5">
        <f>Product_CustomerSegment_Monthly_Variable_Cost[[#This Row],[25-Jan]]*Product_Segment_Monthly_Quantity[[#This Row],[1/1/2025]]</f>
        <v>2252.5</v>
      </c>
      <c r="Y5">
        <f>Product_CustomerSegment_Monthly_Variable_Cost[[#This Row],[25-Feb]]*Product_Segment_Monthly_Quantity[[#This Row],[2/1/2025]]</f>
        <v>1124.28</v>
      </c>
      <c r="Z5">
        <f>Product_CustomerSegment_Monthly_Variable_Cost[[#This Row],[25-Mar]]*Product_Segment_Monthly_Quantity[[#This Row],[3/1/2025]]</f>
        <v>3324.24</v>
      </c>
      <c r="AA5">
        <f>Product_CustomerSegment_Monthly_Variable_Cost[[#This Row],[25-Apr]]*Product_Segment_Monthly_Quantity[[#This Row],[4/1/2025]]</f>
        <v>0</v>
      </c>
      <c r="AB5">
        <f>Product_CustomerSegment_Monthly_Variable_Cost[[#This Row],[25-May]]*Product_Segment_Monthly_Quantity[[#This Row],[5/1/2025]]</f>
        <v>1153.56</v>
      </c>
      <c r="AC5">
        <f>Product_CustomerSegment_Monthly_Variable_Cost[[#This Row],[25-Jun]]*Product_Segment_Monthly_Quantity[[#This Row],[6/1/2025]]</f>
        <v>0</v>
      </c>
      <c r="AD5">
        <f>SUM(Product_CustomerSegment_Monthly_Variable_Cost_Amount[[#This Row],[25-Jan]:[25-Jun]])</f>
        <v>7854.58</v>
      </c>
      <c r="AG5" t="s">
        <v>133</v>
      </c>
      <c r="AH5" t="s">
        <v>59</v>
      </c>
      <c r="AI5">
        <f>SUMIFS(Product_Fixed_Allocation[1/1/2025],Product_Fixed_Allocation[ProductID],Product_CustomerSegment_Monthly_Actual_Fixed_Cost[[#This Row],[ProductID]])</f>
        <v>220</v>
      </c>
      <c r="AJ5">
        <f>SUMIFS(Product_Fixed_Allocation[2/1/2025],Product_Fixed_Allocation[ProductID],Product_CustomerSegment_Monthly_Actual_Fixed_Cost[[#This Row],[ProductID]])</f>
        <v>220</v>
      </c>
      <c r="AK5">
        <f>SUMIFS(Product_Fixed_Allocation[3/1/2025],Product_Fixed_Allocation[ProductID],Product_CustomerSegment_Monthly_Actual_Fixed_Cost[[#This Row],[ProductID]])</f>
        <v>220</v>
      </c>
      <c r="AL5">
        <f>SUMIFS(Product_Fixed_Allocation[4/1/2025],Product_Fixed_Allocation[ProductID],Product_CustomerSegment_Monthly_Actual_Fixed_Cost[[#This Row],[ProductID]])</f>
        <v>220</v>
      </c>
      <c r="AM5">
        <f>SUMIFS(Product_Fixed_Allocation[5/1/2025],Product_Fixed_Allocation[ProductID],Product_CustomerSegment_Monthly_Actual_Fixed_Cost[[#This Row],[ProductID]])</f>
        <v>220</v>
      </c>
      <c r="AN5">
        <f>SUMIFS(Product_Fixed_Allocation[6/1/2025],Product_Fixed_Allocation[ProductID],Product_CustomerSegment_Monthly_Actual_Fixed_Cost[[#This Row],[ProductID]])</f>
        <v>220</v>
      </c>
      <c r="AO5">
        <f>SUM(Product_CustomerSegment_Monthly_Actual_Fixed_Cost[[#This Row],[25-Jan]:[25-Jun]])</f>
        <v>1320</v>
      </c>
      <c r="AR5" t="s">
        <v>133</v>
      </c>
      <c r="AS5" t="s">
        <v>59</v>
      </c>
      <c r="AT5">
        <f>Product_CustomerSegment_Monthly_Actual_Fixed_Cost[[#This Row],[25-Jan]]*Product_Segment_Monthly_Quantity[[#This Row],[1/1/2025]]</f>
        <v>440</v>
      </c>
      <c r="AU5">
        <f>Product_CustomerSegment_Monthly_Actual_Fixed_Cost[[#This Row],[25-Feb]]*Product_Segment_Monthly_Quantity[[#This Row],[2/1/2025]]</f>
        <v>220</v>
      </c>
      <c r="AV5">
        <f>Product_CustomerSegment_Monthly_Actual_Fixed_Cost[[#This Row],[25-Mar]]*Product_Segment_Monthly_Quantity[[#This Row],[3/1/2025]]</f>
        <v>660</v>
      </c>
      <c r="AW5">
        <f>Product_CustomerSegment_Monthly_Actual_Fixed_Cost[[#This Row],[25-Apr]]*Product_Segment_Monthly_Quantity[[#This Row],[4/1/2025]]</f>
        <v>0</v>
      </c>
      <c r="AX5">
        <f>Product_CustomerSegment_Monthly_Actual_Fixed_Cost[[#This Row],[25-May]]*Product_Segment_Monthly_Quantity[[#This Row],[5/1/2025]]</f>
        <v>220</v>
      </c>
      <c r="AY5">
        <f>Product_CustomerSegment_Monthly_Actual_Fixed_Cost[[#This Row],[25-Jun]]*Product_Segment_Monthly_Quantity[[#This Row],[6/1/2025]]</f>
        <v>0</v>
      </c>
      <c r="AZ5">
        <f>SUM(Product_CustomerSegment_Monthly_Fixed_Cost_Amount[[#This Row],[25-Jan]:[25-Jun]])</f>
        <v>1540</v>
      </c>
      <c r="BC5" t="s">
        <v>133</v>
      </c>
      <c r="BD5" t="s">
        <v>59</v>
      </c>
      <c r="BE5">
        <f>Product_CustomerSegment_Monthly_Fixed_Cost_Amount[[#This Row],[25-Jan]]+Product_CustomerSegment_Monthly_Variable_Cost_Amount[[#This Row],[25-Jan]]</f>
        <v>2692.5</v>
      </c>
      <c r="BF5">
        <f>Product_CustomerSegment_Monthly_Fixed_Cost_Amount[[#This Row],[25-Feb]]+Product_CustomerSegment_Monthly_Variable_Cost_Amount[[#This Row],[25-Feb]]</f>
        <v>1344.28</v>
      </c>
      <c r="BG5">
        <f>Product_CustomerSegment_Monthly_Fixed_Cost_Amount[[#This Row],[25-Mar]]+Product_CustomerSegment_Monthly_Variable_Cost_Amount[[#This Row],[25-Mar]]</f>
        <v>3984.24</v>
      </c>
      <c r="BH5">
        <f>Product_CustomerSegment_Monthly_Fixed_Cost_Amount[[#This Row],[25-Apr]]+Product_CustomerSegment_Monthly_Variable_Cost_Amount[[#This Row],[25-Apr]]</f>
        <v>0</v>
      </c>
      <c r="BI5">
        <f>Product_CustomerSegment_Monthly_Fixed_Cost_Amount[[#This Row],[25-May]]+Product_CustomerSegment_Monthly_Variable_Cost_Amount[[#This Row],[25-May]]</f>
        <v>1373.56</v>
      </c>
      <c r="BJ5">
        <f>Product_CustomerSegment_Monthly_Fixed_Cost_Amount[[#This Row],[25-Jun]]+Product_CustomerSegment_Monthly_Variable_Cost_Amount[[#This Row],[25-Jun]]</f>
        <v>0</v>
      </c>
      <c r="BK5">
        <f>SUM(Product_CustomerSegment_Monthly_COGS[[#This Row],[25-Jan]:[25-Jun]])</f>
        <v>9394.58</v>
      </c>
    </row>
    <row r="6" spans="1:63" ht="15" customHeight="1">
      <c r="A6" t="s">
        <v>133</v>
      </c>
      <c r="B6" t="s">
        <v>44</v>
      </c>
      <c r="C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6">
        <f>SUM(Product_Segment_Monthly_Quantity[[#This Row],[1/1/2025]:[6/1/2025]])</f>
        <v>8</v>
      </c>
      <c r="L6" t="s">
        <v>133</v>
      </c>
      <c r="M6" t="s">
        <v>44</v>
      </c>
      <c r="N6">
        <f>SUMIFS(Table21[1/1/2025],Table21[ProductID],Product_CustomerSegment_Monthly_Variable_Cost[[#This Row],[ProductID]])</f>
        <v>1126.25</v>
      </c>
      <c r="O6">
        <f>SUMIFS(Table21[2/1/2025],Table21[ProductID],Product_CustomerSegment_Monthly_Variable_Cost[[#This Row],[ProductID]])</f>
        <v>1124.28</v>
      </c>
      <c r="P6">
        <f>SUMIFS(Table21[3/1/2025],Table21[ProductID],Product_CustomerSegment_Monthly_Variable_Cost[[#This Row],[ProductID]])</f>
        <v>1108.08</v>
      </c>
      <c r="Q6">
        <f>SUMIFS(Table21[4/1/2025],Table21[ProductID],Product_CustomerSegment_Monthly_Variable_Cost[[#This Row],[ProductID]])</f>
        <v>1123.73</v>
      </c>
      <c r="R6">
        <f>SUMIFS(Table21[5/1/2025],Table21[ProductID],Product_CustomerSegment_Monthly_Variable_Cost[[#This Row],[ProductID]])</f>
        <v>1153.56</v>
      </c>
      <c r="S6">
        <f>SUMIFS(Table21[6/1/2025],Table21[ProductID],Product_CustomerSegment_Monthly_Variable_Cost[[#This Row],[ProductID]])</f>
        <v>1118.05</v>
      </c>
      <c r="V6" t="s">
        <v>133</v>
      </c>
      <c r="W6" t="s">
        <v>44</v>
      </c>
      <c r="X6">
        <f>Product_CustomerSegment_Monthly_Variable_Cost[[#This Row],[25-Jan]]*Product_Segment_Monthly_Quantity[[#This Row],[1/1/2025]]</f>
        <v>0</v>
      </c>
      <c r="Y6">
        <f>Product_CustomerSegment_Monthly_Variable_Cost[[#This Row],[25-Feb]]*Product_Segment_Monthly_Quantity[[#This Row],[2/1/2025]]</f>
        <v>3372.84</v>
      </c>
      <c r="Z6">
        <f>Product_CustomerSegment_Monthly_Variable_Cost[[#This Row],[25-Mar]]*Product_Segment_Monthly_Quantity[[#This Row],[3/1/2025]]</f>
        <v>2216.16</v>
      </c>
      <c r="AA6">
        <f>Product_CustomerSegment_Monthly_Variable_Cost[[#This Row],[25-Apr]]*Product_Segment_Monthly_Quantity[[#This Row],[4/1/2025]]</f>
        <v>0</v>
      </c>
      <c r="AB6">
        <f>Product_CustomerSegment_Monthly_Variable_Cost[[#This Row],[25-May]]*Product_Segment_Monthly_Quantity[[#This Row],[5/1/2025]]</f>
        <v>2307.12</v>
      </c>
      <c r="AC6">
        <f>Product_CustomerSegment_Monthly_Variable_Cost[[#This Row],[25-Jun]]*Product_Segment_Monthly_Quantity[[#This Row],[6/1/2025]]</f>
        <v>1118.05</v>
      </c>
      <c r="AD6">
        <f>SUM(Product_CustomerSegment_Monthly_Variable_Cost_Amount[[#This Row],[25-Jan]:[25-Jun]])</f>
        <v>9014.17</v>
      </c>
      <c r="AG6" t="s">
        <v>133</v>
      </c>
      <c r="AH6" t="s">
        <v>44</v>
      </c>
      <c r="AI6">
        <f>SUMIFS(Product_Fixed_Allocation[1/1/2025],Product_Fixed_Allocation[ProductID],Product_CustomerSegment_Monthly_Actual_Fixed_Cost[[#This Row],[ProductID]])</f>
        <v>220</v>
      </c>
      <c r="AJ6">
        <f>SUMIFS(Product_Fixed_Allocation[2/1/2025],Product_Fixed_Allocation[ProductID],Product_CustomerSegment_Monthly_Actual_Fixed_Cost[[#This Row],[ProductID]])</f>
        <v>220</v>
      </c>
      <c r="AK6">
        <f>SUMIFS(Product_Fixed_Allocation[3/1/2025],Product_Fixed_Allocation[ProductID],Product_CustomerSegment_Monthly_Actual_Fixed_Cost[[#This Row],[ProductID]])</f>
        <v>220</v>
      </c>
      <c r="AL6">
        <f>SUMIFS(Product_Fixed_Allocation[4/1/2025],Product_Fixed_Allocation[ProductID],Product_CustomerSegment_Monthly_Actual_Fixed_Cost[[#This Row],[ProductID]])</f>
        <v>220</v>
      </c>
      <c r="AM6">
        <f>SUMIFS(Product_Fixed_Allocation[5/1/2025],Product_Fixed_Allocation[ProductID],Product_CustomerSegment_Monthly_Actual_Fixed_Cost[[#This Row],[ProductID]])</f>
        <v>220</v>
      </c>
      <c r="AN6">
        <f>SUMIFS(Product_Fixed_Allocation[6/1/2025],Product_Fixed_Allocation[ProductID],Product_CustomerSegment_Monthly_Actual_Fixed_Cost[[#This Row],[ProductID]])</f>
        <v>220</v>
      </c>
      <c r="AO6">
        <f>SUM(Product_CustomerSegment_Monthly_Actual_Fixed_Cost[[#This Row],[25-Jan]:[25-Jun]])</f>
        <v>1320</v>
      </c>
      <c r="AR6" t="s">
        <v>133</v>
      </c>
      <c r="AS6" t="s">
        <v>44</v>
      </c>
      <c r="AT6">
        <f>Product_CustomerSegment_Monthly_Actual_Fixed_Cost[[#This Row],[25-Jan]]*Product_Segment_Monthly_Quantity[[#This Row],[1/1/2025]]</f>
        <v>0</v>
      </c>
      <c r="AU6">
        <f>Product_CustomerSegment_Monthly_Actual_Fixed_Cost[[#This Row],[25-Feb]]*Product_Segment_Monthly_Quantity[[#This Row],[2/1/2025]]</f>
        <v>660</v>
      </c>
      <c r="AV6">
        <f>Product_CustomerSegment_Monthly_Actual_Fixed_Cost[[#This Row],[25-Mar]]*Product_Segment_Monthly_Quantity[[#This Row],[3/1/2025]]</f>
        <v>440</v>
      </c>
      <c r="AW6">
        <f>Product_CustomerSegment_Monthly_Actual_Fixed_Cost[[#This Row],[25-Apr]]*Product_Segment_Monthly_Quantity[[#This Row],[4/1/2025]]</f>
        <v>0</v>
      </c>
      <c r="AX6">
        <f>Product_CustomerSegment_Monthly_Actual_Fixed_Cost[[#This Row],[25-May]]*Product_Segment_Monthly_Quantity[[#This Row],[5/1/2025]]</f>
        <v>440</v>
      </c>
      <c r="AY6">
        <f>Product_CustomerSegment_Monthly_Actual_Fixed_Cost[[#This Row],[25-Jun]]*Product_Segment_Monthly_Quantity[[#This Row],[6/1/2025]]</f>
        <v>220</v>
      </c>
      <c r="AZ6">
        <f>SUM(Product_CustomerSegment_Monthly_Fixed_Cost_Amount[[#This Row],[25-Jan]:[25-Jun]])</f>
        <v>1760</v>
      </c>
      <c r="BC6" t="s">
        <v>133</v>
      </c>
      <c r="BD6" t="s">
        <v>44</v>
      </c>
      <c r="BE6">
        <f>Product_CustomerSegment_Monthly_Fixed_Cost_Amount[[#This Row],[25-Jan]]+Product_CustomerSegment_Monthly_Variable_Cost_Amount[[#This Row],[25-Jan]]</f>
        <v>0</v>
      </c>
      <c r="BF6">
        <f>Product_CustomerSegment_Monthly_Fixed_Cost_Amount[[#This Row],[25-Feb]]+Product_CustomerSegment_Monthly_Variable_Cost_Amount[[#This Row],[25-Feb]]</f>
        <v>4032.84</v>
      </c>
      <c r="BG6">
        <f>Product_CustomerSegment_Monthly_Fixed_Cost_Amount[[#This Row],[25-Mar]]+Product_CustomerSegment_Monthly_Variable_Cost_Amount[[#This Row],[25-Mar]]</f>
        <v>2656.16</v>
      </c>
      <c r="BH6">
        <f>Product_CustomerSegment_Monthly_Fixed_Cost_Amount[[#This Row],[25-Apr]]+Product_CustomerSegment_Monthly_Variable_Cost_Amount[[#This Row],[25-Apr]]</f>
        <v>0</v>
      </c>
      <c r="BI6">
        <f>Product_CustomerSegment_Monthly_Fixed_Cost_Amount[[#This Row],[25-May]]+Product_CustomerSegment_Monthly_Variable_Cost_Amount[[#This Row],[25-May]]</f>
        <v>2747.12</v>
      </c>
      <c r="BJ6">
        <f>Product_CustomerSegment_Monthly_Fixed_Cost_Amount[[#This Row],[25-Jun]]+Product_CustomerSegment_Monthly_Variable_Cost_Amount[[#This Row],[25-Jun]]</f>
        <v>1338.05</v>
      </c>
      <c r="BK6">
        <f>SUM(Product_CustomerSegment_Monthly_COGS[[#This Row],[25-Jan]:[25-Jun]])</f>
        <v>10774.169999999998</v>
      </c>
    </row>
    <row r="7" spans="1:63" ht="15" customHeight="1">
      <c r="A7" t="s">
        <v>81</v>
      </c>
      <c r="B7" t="s">
        <v>28</v>
      </c>
      <c r="C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7">
        <f>SUM(Product_Segment_Monthly_Quantity[[#This Row],[1/1/2025]:[6/1/2025]])</f>
        <v>4</v>
      </c>
      <c r="L7" t="s">
        <v>81</v>
      </c>
      <c r="M7" t="s">
        <v>28</v>
      </c>
      <c r="N7">
        <f>SUMIFS(Table21[1/1/2025],Table21[ProductID],Product_CustomerSegment_Monthly_Variable_Cost[[#This Row],[ProductID]])</f>
        <v>1263.71</v>
      </c>
      <c r="O7">
        <f>SUMIFS(Table21[2/1/2025],Table21[ProductID],Product_CustomerSegment_Monthly_Variable_Cost[[#This Row],[ProductID]])</f>
        <v>1242.76</v>
      </c>
      <c r="P7">
        <f>SUMIFS(Table21[3/1/2025],Table21[ProductID],Product_CustomerSegment_Monthly_Variable_Cost[[#This Row],[ProductID]])</f>
        <v>1218.76</v>
      </c>
      <c r="Q7">
        <f>SUMIFS(Table21[4/1/2025],Table21[ProductID],Product_CustomerSegment_Monthly_Variable_Cost[[#This Row],[ProductID]])</f>
        <v>1247.48</v>
      </c>
      <c r="R7">
        <f>SUMIFS(Table21[5/1/2025],Table21[ProductID],Product_CustomerSegment_Monthly_Variable_Cost[[#This Row],[ProductID]])</f>
        <v>1247.2</v>
      </c>
      <c r="S7">
        <f>SUMIFS(Table21[6/1/2025],Table21[ProductID],Product_CustomerSegment_Monthly_Variable_Cost[[#This Row],[ProductID]])</f>
        <v>1271.29</v>
      </c>
      <c r="V7" t="s">
        <v>81</v>
      </c>
      <c r="W7" t="s">
        <v>28</v>
      </c>
      <c r="X7">
        <f>Product_CustomerSegment_Monthly_Variable_Cost[[#This Row],[25-Jan]]*Product_Segment_Monthly_Quantity[[#This Row],[1/1/2025]]</f>
        <v>1263.71</v>
      </c>
      <c r="Y7">
        <f>Product_CustomerSegment_Monthly_Variable_Cost[[#This Row],[25-Feb]]*Product_Segment_Monthly_Quantity[[#This Row],[2/1/2025]]</f>
        <v>0</v>
      </c>
      <c r="Z7">
        <f>Product_CustomerSegment_Monthly_Variable_Cost[[#This Row],[25-Mar]]*Product_Segment_Monthly_Quantity[[#This Row],[3/1/2025]]</f>
        <v>0</v>
      </c>
      <c r="AA7">
        <f>Product_CustomerSegment_Monthly_Variable_Cost[[#This Row],[25-Apr]]*Product_Segment_Monthly_Quantity[[#This Row],[4/1/2025]]</f>
        <v>0</v>
      </c>
      <c r="AB7">
        <f>Product_CustomerSegment_Monthly_Variable_Cost[[#This Row],[25-May]]*Product_Segment_Monthly_Quantity[[#This Row],[5/1/2025]]</f>
        <v>2494.4</v>
      </c>
      <c r="AC7">
        <f>Product_CustomerSegment_Monthly_Variable_Cost[[#This Row],[25-Jun]]*Product_Segment_Monthly_Quantity[[#This Row],[6/1/2025]]</f>
        <v>1271.29</v>
      </c>
      <c r="AD7">
        <f>SUM(Product_CustomerSegment_Monthly_Variable_Cost_Amount[[#This Row],[25-Jan]:[25-Jun]])</f>
        <v>5029.3999999999996</v>
      </c>
      <c r="AG7" t="s">
        <v>81</v>
      </c>
      <c r="AH7" t="s">
        <v>28</v>
      </c>
      <c r="AI7">
        <f>SUMIFS(Product_Fixed_Allocation[1/1/2025],Product_Fixed_Allocation[ProductID],Product_CustomerSegment_Monthly_Actual_Fixed_Cost[[#This Row],[ProductID]])</f>
        <v>280</v>
      </c>
      <c r="AJ7">
        <f>SUMIFS(Product_Fixed_Allocation[2/1/2025],Product_Fixed_Allocation[ProductID],Product_CustomerSegment_Monthly_Actual_Fixed_Cost[[#This Row],[ProductID]])</f>
        <v>280</v>
      </c>
      <c r="AK7">
        <f>SUMIFS(Product_Fixed_Allocation[3/1/2025],Product_Fixed_Allocation[ProductID],Product_CustomerSegment_Monthly_Actual_Fixed_Cost[[#This Row],[ProductID]])</f>
        <v>280</v>
      </c>
      <c r="AL7">
        <f>SUMIFS(Product_Fixed_Allocation[4/1/2025],Product_Fixed_Allocation[ProductID],Product_CustomerSegment_Monthly_Actual_Fixed_Cost[[#This Row],[ProductID]])</f>
        <v>280</v>
      </c>
      <c r="AM7">
        <f>SUMIFS(Product_Fixed_Allocation[5/1/2025],Product_Fixed_Allocation[ProductID],Product_CustomerSegment_Monthly_Actual_Fixed_Cost[[#This Row],[ProductID]])</f>
        <v>280</v>
      </c>
      <c r="AN7">
        <f>SUMIFS(Product_Fixed_Allocation[6/1/2025],Product_Fixed_Allocation[ProductID],Product_CustomerSegment_Monthly_Actual_Fixed_Cost[[#This Row],[ProductID]])</f>
        <v>280</v>
      </c>
      <c r="AO7">
        <f>SUM(Product_CustomerSegment_Monthly_Actual_Fixed_Cost[[#This Row],[25-Jan]:[25-Jun]])</f>
        <v>1680</v>
      </c>
      <c r="AR7" t="s">
        <v>81</v>
      </c>
      <c r="AS7" t="s">
        <v>28</v>
      </c>
      <c r="AT7">
        <f>Product_CustomerSegment_Monthly_Actual_Fixed_Cost[[#This Row],[25-Jan]]*Product_Segment_Monthly_Quantity[[#This Row],[1/1/2025]]</f>
        <v>280</v>
      </c>
      <c r="AU7">
        <f>Product_CustomerSegment_Monthly_Actual_Fixed_Cost[[#This Row],[25-Feb]]*Product_Segment_Monthly_Quantity[[#This Row],[2/1/2025]]</f>
        <v>0</v>
      </c>
      <c r="AV7">
        <f>Product_CustomerSegment_Monthly_Actual_Fixed_Cost[[#This Row],[25-Mar]]*Product_Segment_Monthly_Quantity[[#This Row],[3/1/2025]]</f>
        <v>0</v>
      </c>
      <c r="AW7">
        <f>Product_CustomerSegment_Monthly_Actual_Fixed_Cost[[#This Row],[25-Apr]]*Product_Segment_Monthly_Quantity[[#This Row],[4/1/2025]]</f>
        <v>0</v>
      </c>
      <c r="AX7">
        <f>Product_CustomerSegment_Monthly_Actual_Fixed_Cost[[#This Row],[25-May]]*Product_Segment_Monthly_Quantity[[#This Row],[5/1/2025]]</f>
        <v>560</v>
      </c>
      <c r="AY7">
        <f>Product_CustomerSegment_Monthly_Actual_Fixed_Cost[[#This Row],[25-Jun]]*Product_Segment_Monthly_Quantity[[#This Row],[6/1/2025]]</f>
        <v>280</v>
      </c>
      <c r="AZ7">
        <f>SUM(Product_CustomerSegment_Monthly_Fixed_Cost_Amount[[#This Row],[25-Jan]:[25-Jun]])</f>
        <v>1120</v>
      </c>
      <c r="BC7" t="s">
        <v>81</v>
      </c>
      <c r="BD7" t="s">
        <v>28</v>
      </c>
      <c r="BE7">
        <f>Product_CustomerSegment_Monthly_Fixed_Cost_Amount[[#This Row],[25-Jan]]+Product_CustomerSegment_Monthly_Variable_Cost_Amount[[#This Row],[25-Jan]]</f>
        <v>1543.71</v>
      </c>
      <c r="BF7">
        <f>Product_CustomerSegment_Monthly_Fixed_Cost_Amount[[#This Row],[25-Feb]]+Product_CustomerSegment_Monthly_Variable_Cost_Amount[[#This Row],[25-Feb]]</f>
        <v>0</v>
      </c>
      <c r="BG7">
        <f>Product_CustomerSegment_Monthly_Fixed_Cost_Amount[[#This Row],[25-Mar]]+Product_CustomerSegment_Monthly_Variable_Cost_Amount[[#This Row],[25-Mar]]</f>
        <v>0</v>
      </c>
      <c r="BH7">
        <f>Product_CustomerSegment_Monthly_Fixed_Cost_Amount[[#This Row],[25-Apr]]+Product_CustomerSegment_Monthly_Variable_Cost_Amount[[#This Row],[25-Apr]]</f>
        <v>0</v>
      </c>
      <c r="BI7">
        <f>Product_CustomerSegment_Monthly_Fixed_Cost_Amount[[#This Row],[25-May]]+Product_CustomerSegment_Monthly_Variable_Cost_Amount[[#This Row],[25-May]]</f>
        <v>3054.4</v>
      </c>
      <c r="BJ7">
        <f>Product_CustomerSegment_Monthly_Fixed_Cost_Amount[[#This Row],[25-Jun]]+Product_CustomerSegment_Monthly_Variable_Cost_Amount[[#This Row],[25-Jun]]</f>
        <v>1551.29</v>
      </c>
      <c r="BK7">
        <f>SUM(Product_CustomerSegment_Monthly_COGS[[#This Row],[25-Jan]:[25-Jun]])</f>
        <v>6149.4000000000005</v>
      </c>
    </row>
    <row r="8" spans="1:63" ht="15" customHeight="1">
      <c r="A8" t="s">
        <v>81</v>
      </c>
      <c r="B8" t="s">
        <v>36</v>
      </c>
      <c r="C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5</v>
      </c>
      <c r="G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6</v>
      </c>
      <c r="H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8">
        <f>SUM(Product_Segment_Monthly_Quantity[[#This Row],[1/1/2025]:[6/1/2025]])</f>
        <v>19</v>
      </c>
      <c r="L8" t="s">
        <v>81</v>
      </c>
      <c r="M8" t="s">
        <v>36</v>
      </c>
      <c r="N8">
        <f>SUMIFS(Table21[1/1/2025],Table21[ProductID],Product_CustomerSegment_Monthly_Variable_Cost[[#This Row],[ProductID]])</f>
        <v>1263.71</v>
      </c>
      <c r="O8">
        <f>SUMIFS(Table21[2/1/2025],Table21[ProductID],Product_CustomerSegment_Monthly_Variable_Cost[[#This Row],[ProductID]])</f>
        <v>1242.76</v>
      </c>
      <c r="P8">
        <f>SUMIFS(Table21[3/1/2025],Table21[ProductID],Product_CustomerSegment_Monthly_Variable_Cost[[#This Row],[ProductID]])</f>
        <v>1218.76</v>
      </c>
      <c r="Q8">
        <f>SUMIFS(Table21[4/1/2025],Table21[ProductID],Product_CustomerSegment_Monthly_Variable_Cost[[#This Row],[ProductID]])</f>
        <v>1247.48</v>
      </c>
      <c r="R8">
        <f>SUMIFS(Table21[5/1/2025],Table21[ProductID],Product_CustomerSegment_Monthly_Variable_Cost[[#This Row],[ProductID]])</f>
        <v>1247.2</v>
      </c>
      <c r="S8">
        <f>SUMIFS(Table21[6/1/2025],Table21[ProductID],Product_CustomerSegment_Monthly_Variable_Cost[[#This Row],[ProductID]])</f>
        <v>1271.29</v>
      </c>
      <c r="V8" t="s">
        <v>81</v>
      </c>
      <c r="W8" t="s">
        <v>36</v>
      </c>
      <c r="X8">
        <f>Product_CustomerSegment_Monthly_Variable_Cost[[#This Row],[25-Jan]]*Product_Segment_Monthly_Quantity[[#This Row],[1/1/2025]]</f>
        <v>3791.13</v>
      </c>
      <c r="Y8">
        <f>Product_CustomerSegment_Monthly_Variable_Cost[[#This Row],[25-Feb]]*Product_Segment_Monthly_Quantity[[#This Row],[2/1/2025]]</f>
        <v>0</v>
      </c>
      <c r="Z8">
        <f>Product_CustomerSegment_Monthly_Variable_Cost[[#This Row],[25-Mar]]*Product_Segment_Monthly_Quantity[[#This Row],[3/1/2025]]</f>
        <v>3656.2799999999997</v>
      </c>
      <c r="AA8">
        <f>Product_CustomerSegment_Monthly_Variable_Cost[[#This Row],[25-Apr]]*Product_Segment_Monthly_Quantity[[#This Row],[4/1/2025]]</f>
        <v>6237.4</v>
      </c>
      <c r="AB8">
        <f>Product_CustomerSegment_Monthly_Variable_Cost[[#This Row],[25-May]]*Product_Segment_Monthly_Quantity[[#This Row],[5/1/2025]]</f>
        <v>7483.2000000000007</v>
      </c>
      <c r="AC8">
        <f>Product_CustomerSegment_Monthly_Variable_Cost[[#This Row],[25-Jun]]*Product_Segment_Monthly_Quantity[[#This Row],[6/1/2025]]</f>
        <v>2542.58</v>
      </c>
      <c r="AD8">
        <f>SUM(Product_CustomerSegment_Monthly_Variable_Cost_Amount[[#This Row],[25-Jan]:[25-Jun]])</f>
        <v>23710.590000000004</v>
      </c>
      <c r="AG8" t="s">
        <v>81</v>
      </c>
      <c r="AH8" t="s">
        <v>36</v>
      </c>
      <c r="AI8">
        <f>SUMIFS(Product_Fixed_Allocation[1/1/2025],Product_Fixed_Allocation[ProductID],Product_CustomerSegment_Monthly_Actual_Fixed_Cost[[#This Row],[ProductID]])</f>
        <v>280</v>
      </c>
      <c r="AJ8">
        <f>SUMIFS(Product_Fixed_Allocation[2/1/2025],Product_Fixed_Allocation[ProductID],Product_CustomerSegment_Monthly_Actual_Fixed_Cost[[#This Row],[ProductID]])</f>
        <v>280</v>
      </c>
      <c r="AK8">
        <f>SUMIFS(Product_Fixed_Allocation[3/1/2025],Product_Fixed_Allocation[ProductID],Product_CustomerSegment_Monthly_Actual_Fixed_Cost[[#This Row],[ProductID]])</f>
        <v>280</v>
      </c>
      <c r="AL8">
        <f>SUMIFS(Product_Fixed_Allocation[4/1/2025],Product_Fixed_Allocation[ProductID],Product_CustomerSegment_Monthly_Actual_Fixed_Cost[[#This Row],[ProductID]])</f>
        <v>280</v>
      </c>
      <c r="AM8">
        <f>SUMIFS(Product_Fixed_Allocation[5/1/2025],Product_Fixed_Allocation[ProductID],Product_CustomerSegment_Monthly_Actual_Fixed_Cost[[#This Row],[ProductID]])</f>
        <v>280</v>
      </c>
      <c r="AN8">
        <f>SUMIFS(Product_Fixed_Allocation[6/1/2025],Product_Fixed_Allocation[ProductID],Product_CustomerSegment_Monthly_Actual_Fixed_Cost[[#This Row],[ProductID]])</f>
        <v>280</v>
      </c>
      <c r="AO8">
        <f>SUM(Product_CustomerSegment_Monthly_Actual_Fixed_Cost[[#This Row],[25-Jan]:[25-Jun]])</f>
        <v>1680</v>
      </c>
      <c r="AR8" t="s">
        <v>81</v>
      </c>
      <c r="AS8" t="s">
        <v>36</v>
      </c>
      <c r="AT8">
        <f>Product_CustomerSegment_Monthly_Actual_Fixed_Cost[[#This Row],[25-Jan]]*Product_Segment_Monthly_Quantity[[#This Row],[1/1/2025]]</f>
        <v>840</v>
      </c>
      <c r="AU8">
        <f>Product_CustomerSegment_Monthly_Actual_Fixed_Cost[[#This Row],[25-Feb]]*Product_Segment_Monthly_Quantity[[#This Row],[2/1/2025]]</f>
        <v>0</v>
      </c>
      <c r="AV8">
        <f>Product_CustomerSegment_Monthly_Actual_Fixed_Cost[[#This Row],[25-Mar]]*Product_Segment_Monthly_Quantity[[#This Row],[3/1/2025]]</f>
        <v>840</v>
      </c>
      <c r="AW8">
        <f>Product_CustomerSegment_Monthly_Actual_Fixed_Cost[[#This Row],[25-Apr]]*Product_Segment_Monthly_Quantity[[#This Row],[4/1/2025]]</f>
        <v>1400</v>
      </c>
      <c r="AX8">
        <f>Product_CustomerSegment_Monthly_Actual_Fixed_Cost[[#This Row],[25-May]]*Product_Segment_Monthly_Quantity[[#This Row],[5/1/2025]]</f>
        <v>1680</v>
      </c>
      <c r="AY8">
        <f>Product_CustomerSegment_Monthly_Actual_Fixed_Cost[[#This Row],[25-Jun]]*Product_Segment_Monthly_Quantity[[#This Row],[6/1/2025]]</f>
        <v>560</v>
      </c>
      <c r="AZ8">
        <f>SUM(Product_CustomerSegment_Monthly_Fixed_Cost_Amount[[#This Row],[25-Jan]:[25-Jun]])</f>
        <v>5320</v>
      </c>
      <c r="BC8" t="s">
        <v>81</v>
      </c>
      <c r="BD8" t="s">
        <v>36</v>
      </c>
      <c r="BE8">
        <f>Product_CustomerSegment_Monthly_Fixed_Cost_Amount[[#This Row],[25-Jan]]+Product_CustomerSegment_Monthly_Variable_Cost_Amount[[#This Row],[25-Jan]]</f>
        <v>4631.13</v>
      </c>
      <c r="BF8">
        <f>Product_CustomerSegment_Monthly_Fixed_Cost_Amount[[#This Row],[25-Feb]]+Product_CustomerSegment_Monthly_Variable_Cost_Amount[[#This Row],[25-Feb]]</f>
        <v>0</v>
      </c>
      <c r="BG8">
        <f>Product_CustomerSegment_Monthly_Fixed_Cost_Amount[[#This Row],[25-Mar]]+Product_CustomerSegment_Monthly_Variable_Cost_Amount[[#This Row],[25-Mar]]</f>
        <v>4496.28</v>
      </c>
      <c r="BH8">
        <f>Product_CustomerSegment_Monthly_Fixed_Cost_Amount[[#This Row],[25-Apr]]+Product_CustomerSegment_Monthly_Variable_Cost_Amount[[#This Row],[25-Apr]]</f>
        <v>7637.4</v>
      </c>
      <c r="BI8">
        <f>Product_CustomerSegment_Monthly_Fixed_Cost_Amount[[#This Row],[25-May]]+Product_CustomerSegment_Monthly_Variable_Cost_Amount[[#This Row],[25-May]]</f>
        <v>9163.2000000000007</v>
      </c>
      <c r="BJ8">
        <f>Product_CustomerSegment_Monthly_Fixed_Cost_Amount[[#This Row],[25-Jun]]+Product_CustomerSegment_Monthly_Variable_Cost_Amount[[#This Row],[25-Jun]]</f>
        <v>3102.58</v>
      </c>
      <c r="BK8">
        <f>SUM(Product_CustomerSegment_Monthly_COGS[[#This Row],[25-Jan]:[25-Jun]])</f>
        <v>29030.589999999997</v>
      </c>
    </row>
    <row r="9" spans="1:63" ht="15" customHeight="1">
      <c r="A9" t="s">
        <v>81</v>
      </c>
      <c r="B9" t="s">
        <v>48</v>
      </c>
      <c r="C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</v>
      </c>
      <c r="H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9">
        <f>SUM(Product_Segment_Monthly_Quantity[[#This Row],[1/1/2025]:[6/1/2025]])</f>
        <v>11</v>
      </c>
      <c r="L9" t="s">
        <v>81</v>
      </c>
      <c r="M9" t="s">
        <v>48</v>
      </c>
      <c r="N9">
        <f>SUMIFS(Table21[1/1/2025],Table21[ProductID],Product_CustomerSegment_Monthly_Variable_Cost[[#This Row],[ProductID]])</f>
        <v>1263.71</v>
      </c>
      <c r="O9">
        <f>SUMIFS(Table21[2/1/2025],Table21[ProductID],Product_CustomerSegment_Monthly_Variable_Cost[[#This Row],[ProductID]])</f>
        <v>1242.76</v>
      </c>
      <c r="P9">
        <f>SUMIFS(Table21[3/1/2025],Table21[ProductID],Product_CustomerSegment_Monthly_Variable_Cost[[#This Row],[ProductID]])</f>
        <v>1218.76</v>
      </c>
      <c r="Q9">
        <f>SUMIFS(Table21[4/1/2025],Table21[ProductID],Product_CustomerSegment_Monthly_Variable_Cost[[#This Row],[ProductID]])</f>
        <v>1247.48</v>
      </c>
      <c r="R9">
        <f>SUMIFS(Table21[5/1/2025],Table21[ProductID],Product_CustomerSegment_Monthly_Variable_Cost[[#This Row],[ProductID]])</f>
        <v>1247.2</v>
      </c>
      <c r="S9">
        <f>SUMIFS(Table21[6/1/2025],Table21[ProductID],Product_CustomerSegment_Monthly_Variable_Cost[[#This Row],[ProductID]])</f>
        <v>1271.29</v>
      </c>
      <c r="V9" t="s">
        <v>81</v>
      </c>
      <c r="W9" t="s">
        <v>48</v>
      </c>
      <c r="X9">
        <f>Product_CustomerSegment_Monthly_Variable_Cost[[#This Row],[25-Jan]]*Product_Segment_Monthly_Quantity[[#This Row],[1/1/2025]]</f>
        <v>3791.13</v>
      </c>
      <c r="Y9">
        <f>Product_CustomerSegment_Monthly_Variable_Cost[[#This Row],[25-Feb]]*Product_Segment_Monthly_Quantity[[#This Row],[2/1/2025]]</f>
        <v>1242.76</v>
      </c>
      <c r="Z9">
        <f>Product_CustomerSegment_Monthly_Variable_Cost[[#This Row],[25-Mar]]*Product_Segment_Monthly_Quantity[[#This Row],[3/1/2025]]</f>
        <v>2437.52</v>
      </c>
      <c r="AA9">
        <f>Product_CustomerSegment_Monthly_Variable_Cost[[#This Row],[25-Apr]]*Product_Segment_Monthly_Quantity[[#This Row],[4/1/2025]]</f>
        <v>0</v>
      </c>
      <c r="AB9">
        <f>Product_CustomerSegment_Monthly_Variable_Cost[[#This Row],[25-May]]*Product_Segment_Monthly_Quantity[[#This Row],[5/1/2025]]</f>
        <v>3741.6000000000004</v>
      </c>
      <c r="AC9">
        <f>Product_CustomerSegment_Monthly_Variable_Cost[[#This Row],[25-Jun]]*Product_Segment_Monthly_Quantity[[#This Row],[6/1/2025]]</f>
        <v>2542.58</v>
      </c>
      <c r="AD9">
        <f>SUM(Product_CustomerSegment_Monthly_Variable_Cost_Amount[[#This Row],[25-Jan]:[25-Jun]])</f>
        <v>13755.59</v>
      </c>
      <c r="AG9" t="s">
        <v>81</v>
      </c>
      <c r="AH9" t="s">
        <v>48</v>
      </c>
      <c r="AI9">
        <f>SUMIFS(Product_Fixed_Allocation[1/1/2025],Product_Fixed_Allocation[ProductID],Product_CustomerSegment_Monthly_Actual_Fixed_Cost[[#This Row],[ProductID]])</f>
        <v>280</v>
      </c>
      <c r="AJ9">
        <f>SUMIFS(Product_Fixed_Allocation[2/1/2025],Product_Fixed_Allocation[ProductID],Product_CustomerSegment_Monthly_Actual_Fixed_Cost[[#This Row],[ProductID]])</f>
        <v>280</v>
      </c>
      <c r="AK9">
        <f>SUMIFS(Product_Fixed_Allocation[3/1/2025],Product_Fixed_Allocation[ProductID],Product_CustomerSegment_Monthly_Actual_Fixed_Cost[[#This Row],[ProductID]])</f>
        <v>280</v>
      </c>
      <c r="AL9">
        <f>SUMIFS(Product_Fixed_Allocation[4/1/2025],Product_Fixed_Allocation[ProductID],Product_CustomerSegment_Monthly_Actual_Fixed_Cost[[#This Row],[ProductID]])</f>
        <v>280</v>
      </c>
      <c r="AM9">
        <f>SUMIFS(Product_Fixed_Allocation[5/1/2025],Product_Fixed_Allocation[ProductID],Product_CustomerSegment_Monthly_Actual_Fixed_Cost[[#This Row],[ProductID]])</f>
        <v>280</v>
      </c>
      <c r="AN9">
        <f>SUMIFS(Product_Fixed_Allocation[6/1/2025],Product_Fixed_Allocation[ProductID],Product_CustomerSegment_Monthly_Actual_Fixed_Cost[[#This Row],[ProductID]])</f>
        <v>280</v>
      </c>
      <c r="AO9">
        <f>SUM(Product_CustomerSegment_Monthly_Actual_Fixed_Cost[[#This Row],[25-Jan]:[25-Jun]])</f>
        <v>1680</v>
      </c>
      <c r="AR9" t="s">
        <v>81</v>
      </c>
      <c r="AS9" t="s">
        <v>48</v>
      </c>
      <c r="AT9">
        <f>Product_CustomerSegment_Monthly_Actual_Fixed_Cost[[#This Row],[25-Jan]]*Product_Segment_Monthly_Quantity[[#This Row],[1/1/2025]]</f>
        <v>840</v>
      </c>
      <c r="AU9">
        <f>Product_CustomerSegment_Monthly_Actual_Fixed_Cost[[#This Row],[25-Feb]]*Product_Segment_Monthly_Quantity[[#This Row],[2/1/2025]]</f>
        <v>280</v>
      </c>
      <c r="AV9">
        <f>Product_CustomerSegment_Monthly_Actual_Fixed_Cost[[#This Row],[25-Mar]]*Product_Segment_Monthly_Quantity[[#This Row],[3/1/2025]]</f>
        <v>560</v>
      </c>
      <c r="AW9">
        <f>Product_CustomerSegment_Monthly_Actual_Fixed_Cost[[#This Row],[25-Apr]]*Product_Segment_Monthly_Quantity[[#This Row],[4/1/2025]]</f>
        <v>0</v>
      </c>
      <c r="AX9">
        <f>Product_CustomerSegment_Monthly_Actual_Fixed_Cost[[#This Row],[25-May]]*Product_Segment_Monthly_Quantity[[#This Row],[5/1/2025]]</f>
        <v>840</v>
      </c>
      <c r="AY9">
        <f>Product_CustomerSegment_Monthly_Actual_Fixed_Cost[[#This Row],[25-Jun]]*Product_Segment_Monthly_Quantity[[#This Row],[6/1/2025]]</f>
        <v>560</v>
      </c>
      <c r="AZ9">
        <f>SUM(Product_CustomerSegment_Monthly_Fixed_Cost_Amount[[#This Row],[25-Jan]:[25-Jun]])</f>
        <v>3080</v>
      </c>
      <c r="BC9" t="s">
        <v>81</v>
      </c>
      <c r="BD9" t="s">
        <v>48</v>
      </c>
      <c r="BE9">
        <f>Product_CustomerSegment_Monthly_Fixed_Cost_Amount[[#This Row],[25-Jan]]+Product_CustomerSegment_Monthly_Variable_Cost_Amount[[#This Row],[25-Jan]]</f>
        <v>4631.13</v>
      </c>
      <c r="BF9">
        <f>Product_CustomerSegment_Monthly_Fixed_Cost_Amount[[#This Row],[25-Feb]]+Product_CustomerSegment_Monthly_Variable_Cost_Amount[[#This Row],[25-Feb]]</f>
        <v>1522.76</v>
      </c>
      <c r="BG9">
        <f>Product_CustomerSegment_Monthly_Fixed_Cost_Amount[[#This Row],[25-Mar]]+Product_CustomerSegment_Monthly_Variable_Cost_Amount[[#This Row],[25-Mar]]</f>
        <v>2997.52</v>
      </c>
      <c r="BH9">
        <f>Product_CustomerSegment_Monthly_Fixed_Cost_Amount[[#This Row],[25-Apr]]+Product_CustomerSegment_Monthly_Variable_Cost_Amount[[#This Row],[25-Apr]]</f>
        <v>0</v>
      </c>
      <c r="BI9">
        <f>Product_CustomerSegment_Monthly_Fixed_Cost_Amount[[#This Row],[25-May]]+Product_CustomerSegment_Monthly_Variable_Cost_Amount[[#This Row],[25-May]]</f>
        <v>4581.6000000000004</v>
      </c>
      <c r="BJ9">
        <f>Product_CustomerSegment_Monthly_Fixed_Cost_Amount[[#This Row],[25-Jun]]+Product_CustomerSegment_Monthly_Variable_Cost_Amount[[#This Row],[25-Jun]]</f>
        <v>3102.58</v>
      </c>
      <c r="BK9">
        <f>SUM(Product_CustomerSegment_Monthly_COGS[[#This Row],[25-Jan]:[25-Jun]])</f>
        <v>16835.59</v>
      </c>
    </row>
    <row r="10" spans="1:63">
      <c r="A10" t="s">
        <v>81</v>
      </c>
      <c r="B10" t="s">
        <v>59</v>
      </c>
      <c r="C1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1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1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1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4</v>
      </c>
      <c r="H1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10">
        <f>SUM(Product_Segment_Monthly_Quantity[[#This Row],[1/1/2025]:[6/1/2025]])</f>
        <v>10</v>
      </c>
      <c r="L10" t="s">
        <v>81</v>
      </c>
      <c r="M10" t="s">
        <v>59</v>
      </c>
      <c r="N10">
        <f>SUMIFS(Table21[1/1/2025],Table21[ProductID],Product_CustomerSegment_Monthly_Variable_Cost[[#This Row],[ProductID]])</f>
        <v>1263.71</v>
      </c>
      <c r="O10">
        <f>SUMIFS(Table21[2/1/2025],Table21[ProductID],Product_CustomerSegment_Monthly_Variable_Cost[[#This Row],[ProductID]])</f>
        <v>1242.76</v>
      </c>
      <c r="P10">
        <f>SUMIFS(Table21[3/1/2025],Table21[ProductID],Product_CustomerSegment_Monthly_Variable_Cost[[#This Row],[ProductID]])</f>
        <v>1218.76</v>
      </c>
      <c r="Q10">
        <f>SUMIFS(Table21[4/1/2025],Table21[ProductID],Product_CustomerSegment_Monthly_Variable_Cost[[#This Row],[ProductID]])</f>
        <v>1247.48</v>
      </c>
      <c r="R10">
        <f>SUMIFS(Table21[5/1/2025],Table21[ProductID],Product_CustomerSegment_Monthly_Variable_Cost[[#This Row],[ProductID]])</f>
        <v>1247.2</v>
      </c>
      <c r="S10">
        <f>SUMIFS(Table21[6/1/2025],Table21[ProductID],Product_CustomerSegment_Monthly_Variable_Cost[[#This Row],[ProductID]])</f>
        <v>1271.29</v>
      </c>
      <c r="V10" t="s">
        <v>81</v>
      </c>
      <c r="W10" t="s">
        <v>59</v>
      </c>
      <c r="X10">
        <f>Product_CustomerSegment_Monthly_Variable_Cost[[#This Row],[25-Jan]]*Product_Segment_Monthly_Quantity[[#This Row],[1/1/2025]]</f>
        <v>3791.13</v>
      </c>
      <c r="Y10">
        <f>Product_CustomerSegment_Monthly_Variable_Cost[[#This Row],[25-Feb]]*Product_Segment_Monthly_Quantity[[#This Row],[2/1/2025]]</f>
        <v>0</v>
      </c>
      <c r="Z10">
        <f>Product_CustomerSegment_Monthly_Variable_Cost[[#This Row],[25-Mar]]*Product_Segment_Monthly_Quantity[[#This Row],[3/1/2025]]</f>
        <v>2437.52</v>
      </c>
      <c r="AA10">
        <f>Product_CustomerSegment_Monthly_Variable_Cost[[#This Row],[25-Apr]]*Product_Segment_Monthly_Quantity[[#This Row],[4/1/2025]]</f>
        <v>1247.48</v>
      </c>
      <c r="AB10">
        <f>Product_CustomerSegment_Monthly_Variable_Cost[[#This Row],[25-May]]*Product_Segment_Monthly_Quantity[[#This Row],[5/1/2025]]</f>
        <v>4988.8</v>
      </c>
      <c r="AC10">
        <f>Product_CustomerSegment_Monthly_Variable_Cost[[#This Row],[25-Jun]]*Product_Segment_Monthly_Quantity[[#This Row],[6/1/2025]]</f>
        <v>0</v>
      </c>
      <c r="AD10">
        <f>SUM(Product_CustomerSegment_Monthly_Variable_Cost_Amount[[#This Row],[25-Jan]:[25-Jun]])</f>
        <v>12464.93</v>
      </c>
      <c r="AG10" t="s">
        <v>81</v>
      </c>
      <c r="AH10" t="s">
        <v>59</v>
      </c>
      <c r="AI10">
        <f>SUMIFS(Product_Fixed_Allocation[1/1/2025],Product_Fixed_Allocation[ProductID],Product_CustomerSegment_Monthly_Actual_Fixed_Cost[[#This Row],[ProductID]])</f>
        <v>280</v>
      </c>
      <c r="AJ10">
        <f>SUMIFS(Product_Fixed_Allocation[2/1/2025],Product_Fixed_Allocation[ProductID],Product_CustomerSegment_Monthly_Actual_Fixed_Cost[[#This Row],[ProductID]])</f>
        <v>280</v>
      </c>
      <c r="AK10">
        <f>SUMIFS(Product_Fixed_Allocation[3/1/2025],Product_Fixed_Allocation[ProductID],Product_CustomerSegment_Monthly_Actual_Fixed_Cost[[#This Row],[ProductID]])</f>
        <v>280</v>
      </c>
      <c r="AL10">
        <f>SUMIFS(Product_Fixed_Allocation[4/1/2025],Product_Fixed_Allocation[ProductID],Product_CustomerSegment_Monthly_Actual_Fixed_Cost[[#This Row],[ProductID]])</f>
        <v>280</v>
      </c>
      <c r="AM10">
        <f>SUMIFS(Product_Fixed_Allocation[5/1/2025],Product_Fixed_Allocation[ProductID],Product_CustomerSegment_Monthly_Actual_Fixed_Cost[[#This Row],[ProductID]])</f>
        <v>280</v>
      </c>
      <c r="AN10">
        <f>SUMIFS(Product_Fixed_Allocation[6/1/2025],Product_Fixed_Allocation[ProductID],Product_CustomerSegment_Monthly_Actual_Fixed_Cost[[#This Row],[ProductID]])</f>
        <v>280</v>
      </c>
      <c r="AO10">
        <f>SUM(Product_CustomerSegment_Monthly_Actual_Fixed_Cost[[#This Row],[25-Jan]:[25-Jun]])</f>
        <v>1680</v>
      </c>
      <c r="AR10" t="s">
        <v>81</v>
      </c>
      <c r="AS10" t="s">
        <v>59</v>
      </c>
      <c r="AT10">
        <f>Product_CustomerSegment_Monthly_Actual_Fixed_Cost[[#This Row],[25-Jan]]*Product_Segment_Monthly_Quantity[[#This Row],[1/1/2025]]</f>
        <v>840</v>
      </c>
      <c r="AU10">
        <f>Product_CustomerSegment_Monthly_Actual_Fixed_Cost[[#This Row],[25-Feb]]*Product_Segment_Monthly_Quantity[[#This Row],[2/1/2025]]</f>
        <v>0</v>
      </c>
      <c r="AV10">
        <f>Product_CustomerSegment_Monthly_Actual_Fixed_Cost[[#This Row],[25-Mar]]*Product_Segment_Monthly_Quantity[[#This Row],[3/1/2025]]</f>
        <v>560</v>
      </c>
      <c r="AW10">
        <f>Product_CustomerSegment_Monthly_Actual_Fixed_Cost[[#This Row],[25-Apr]]*Product_Segment_Monthly_Quantity[[#This Row],[4/1/2025]]</f>
        <v>280</v>
      </c>
      <c r="AX10">
        <f>Product_CustomerSegment_Monthly_Actual_Fixed_Cost[[#This Row],[25-May]]*Product_Segment_Monthly_Quantity[[#This Row],[5/1/2025]]</f>
        <v>1120</v>
      </c>
      <c r="AY10">
        <f>Product_CustomerSegment_Monthly_Actual_Fixed_Cost[[#This Row],[25-Jun]]*Product_Segment_Monthly_Quantity[[#This Row],[6/1/2025]]</f>
        <v>0</v>
      </c>
      <c r="AZ10">
        <f>SUM(Product_CustomerSegment_Monthly_Fixed_Cost_Amount[[#This Row],[25-Jan]:[25-Jun]])</f>
        <v>2800</v>
      </c>
      <c r="BC10" t="s">
        <v>81</v>
      </c>
      <c r="BD10" t="s">
        <v>59</v>
      </c>
      <c r="BE10">
        <f>Product_CustomerSegment_Monthly_Fixed_Cost_Amount[[#This Row],[25-Jan]]+Product_CustomerSegment_Monthly_Variable_Cost_Amount[[#This Row],[25-Jan]]</f>
        <v>4631.13</v>
      </c>
      <c r="BF10">
        <f>Product_CustomerSegment_Monthly_Fixed_Cost_Amount[[#This Row],[25-Feb]]+Product_CustomerSegment_Monthly_Variable_Cost_Amount[[#This Row],[25-Feb]]</f>
        <v>0</v>
      </c>
      <c r="BG10">
        <f>Product_CustomerSegment_Monthly_Fixed_Cost_Amount[[#This Row],[25-Mar]]+Product_CustomerSegment_Monthly_Variable_Cost_Amount[[#This Row],[25-Mar]]</f>
        <v>2997.52</v>
      </c>
      <c r="BH10">
        <f>Product_CustomerSegment_Monthly_Fixed_Cost_Amount[[#This Row],[25-Apr]]+Product_CustomerSegment_Monthly_Variable_Cost_Amount[[#This Row],[25-Apr]]</f>
        <v>1527.48</v>
      </c>
      <c r="BI10">
        <f>Product_CustomerSegment_Monthly_Fixed_Cost_Amount[[#This Row],[25-May]]+Product_CustomerSegment_Monthly_Variable_Cost_Amount[[#This Row],[25-May]]</f>
        <v>6108.8</v>
      </c>
      <c r="BJ10">
        <f>Product_CustomerSegment_Monthly_Fixed_Cost_Amount[[#This Row],[25-Jun]]+Product_CustomerSegment_Monthly_Variable_Cost_Amount[[#This Row],[25-Jun]]</f>
        <v>0</v>
      </c>
      <c r="BK10">
        <f>SUM(Product_CustomerSegment_Monthly_COGS[[#This Row],[25-Jan]:[25-Jun]])</f>
        <v>15264.93</v>
      </c>
    </row>
    <row r="11" spans="1:63">
      <c r="A11" t="s">
        <v>81</v>
      </c>
      <c r="B11" t="s">
        <v>44</v>
      </c>
      <c r="C1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1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1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1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1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11">
        <f>SUM(Product_Segment_Monthly_Quantity[[#This Row],[1/1/2025]:[6/1/2025]])</f>
        <v>7</v>
      </c>
      <c r="L11" t="s">
        <v>81</v>
      </c>
      <c r="M11" t="s">
        <v>44</v>
      </c>
      <c r="N11">
        <f>SUMIFS(Table21[1/1/2025],Table21[ProductID],Product_CustomerSegment_Monthly_Variable_Cost[[#This Row],[ProductID]])</f>
        <v>1263.71</v>
      </c>
      <c r="O11">
        <f>SUMIFS(Table21[2/1/2025],Table21[ProductID],Product_CustomerSegment_Monthly_Variable_Cost[[#This Row],[ProductID]])</f>
        <v>1242.76</v>
      </c>
      <c r="P11">
        <f>SUMIFS(Table21[3/1/2025],Table21[ProductID],Product_CustomerSegment_Monthly_Variable_Cost[[#This Row],[ProductID]])</f>
        <v>1218.76</v>
      </c>
      <c r="Q11">
        <f>SUMIFS(Table21[4/1/2025],Table21[ProductID],Product_CustomerSegment_Monthly_Variable_Cost[[#This Row],[ProductID]])</f>
        <v>1247.48</v>
      </c>
      <c r="R11">
        <f>SUMIFS(Table21[5/1/2025],Table21[ProductID],Product_CustomerSegment_Monthly_Variable_Cost[[#This Row],[ProductID]])</f>
        <v>1247.2</v>
      </c>
      <c r="S11">
        <f>SUMIFS(Table21[6/1/2025],Table21[ProductID],Product_CustomerSegment_Monthly_Variable_Cost[[#This Row],[ProductID]])</f>
        <v>1271.29</v>
      </c>
      <c r="V11" t="s">
        <v>81</v>
      </c>
      <c r="W11" t="s">
        <v>44</v>
      </c>
      <c r="X11">
        <f>Product_CustomerSegment_Monthly_Variable_Cost[[#This Row],[25-Jan]]*Product_Segment_Monthly_Quantity[[#This Row],[1/1/2025]]</f>
        <v>1263.71</v>
      </c>
      <c r="Y11">
        <f>Product_CustomerSegment_Monthly_Variable_Cost[[#This Row],[25-Feb]]*Product_Segment_Monthly_Quantity[[#This Row],[2/1/2025]]</f>
        <v>0</v>
      </c>
      <c r="Z11">
        <f>Product_CustomerSegment_Monthly_Variable_Cost[[#This Row],[25-Mar]]*Product_Segment_Monthly_Quantity[[#This Row],[3/1/2025]]</f>
        <v>0</v>
      </c>
      <c r="AA11">
        <f>Product_CustomerSegment_Monthly_Variable_Cost[[#This Row],[25-Apr]]*Product_Segment_Monthly_Quantity[[#This Row],[4/1/2025]]</f>
        <v>3742.44</v>
      </c>
      <c r="AB11">
        <f>Product_CustomerSegment_Monthly_Variable_Cost[[#This Row],[25-May]]*Product_Segment_Monthly_Quantity[[#This Row],[5/1/2025]]</f>
        <v>2494.4</v>
      </c>
      <c r="AC11">
        <f>Product_CustomerSegment_Monthly_Variable_Cost[[#This Row],[25-Jun]]*Product_Segment_Monthly_Quantity[[#This Row],[6/1/2025]]</f>
        <v>1271.29</v>
      </c>
      <c r="AD11">
        <f>SUM(Product_CustomerSegment_Monthly_Variable_Cost_Amount[[#This Row],[25-Jan]:[25-Jun]])</f>
        <v>8771.84</v>
      </c>
      <c r="AG11" t="s">
        <v>81</v>
      </c>
      <c r="AH11" t="s">
        <v>44</v>
      </c>
      <c r="AI11">
        <f>SUMIFS(Product_Fixed_Allocation[1/1/2025],Product_Fixed_Allocation[ProductID],Product_CustomerSegment_Monthly_Actual_Fixed_Cost[[#This Row],[ProductID]])</f>
        <v>280</v>
      </c>
      <c r="AJ11">
        <f>SUMIFS(Product_Fixed_Allocation[2/1/2025],Product_Fixed_Allocation[ProductID],Product_CustomerSegment_Monthly_Actual_Fixed_Cost[[#This Row],[ProductID]])</f>
        <v>280</v>
      </c>
      <c r="AK11">
        <f>SUMIFS(Product_Fixed_Allocation[3/1/2025],Product_Fixed_Allocation[ProductID],Product_CustomerSegment_Monthly_Actual_Fixed_Cost[[#This Row],[ProductID]])</f>
        <v>280</v>
      </c>
      <c r="AL11">
        <f>SUMIFS(Product_Fixed_Allocation[4/1/2025],Product_Fixed_Allocation[ProductID],Product_CustomerSegment_Monthly_Actual_Fixed_Cost[[#This Row],[ProductID]])</f>
        <v>280</v>
      </c>
      <c r="AM11">
        <f>SUMIFS(Product_Fixed_Allocation[5/1/2025],Product_Fixed_Allocation[ProductID],Product_CustomerSegment_Monthly_Actual_Fixed_Cost[[#This Row],[ProductID]])</f>
        <v>280</v>
      </c>
      <c r="AN11">
        <f>SUMIFS(Product_Fixed_Allocation[6/1/2025],Product_Fixed_Allocation[ProductID],Product_CustomerSegment_Monthly_Actual_Fixed_Cost[[#This Row],[ProductID]])</f>
        <v>280</v>
      </c>
      <c r="AO11">
        <f>SUM(Product_CustomerSegment_Monthly_Actual_Fixed_Cost[[#This Row],[25-Jan]:[25-Jun]])</f>
        <v>1680</v>
      </c>
      <c r="AR11" t="s">
        <v>81</v>
      </c>
      <c r="AS11" t="s">
        <v>44</v>
      </c>
      <c r="AT11">
        <f>Product_CustomerSegment_Monthly_Actual_Fixed_Cost[[#This Row],[25-Jan]]*Product_Segment_Monthly_Quantity[[#This Row],[1/1/2025]]</f>
        <v>280</v>
      </c>
      <c r="AU11">
        <f>Product_CustomerSegment_Monthly_Actual_Fixed_Cost[[#This Row],[25-Feb]]*Product_Segment_Monthly_Quantity[[#This Row],[2/1/2025]]</f>
        <v>0</v>
      </c>
      <c r="AV11">
        <f>Product_CustomerSegment_Monthly_Actual_Fixed_Cost[[#This Row],[25-Mar]]*Product_Segment_Monthly_Quantity[[#This Row],[3/1/2025]]</f>
        <v>0</v>
      </c>
      <c r="AW11">
        <f>Product_CustomerSegment_Monthly_Actual_Fixed_Cost[[#This Row],[25-Apr]]*Product_Segment_Monthly_Quantity[[#This Row],[4/1/2025]]</f>
        <v>840</v>
      </c>
      <c r="AX11">
        <f>Product_CustomerSegment_Monthly_Actual_Fixed_Cost[[#This Row],[25-May]]*Product_Segment_Monthly_Quantity[[#This Row],[5/1/2025]]</f>
        <v>560</v>
      </c>
      <c r="AY11">
        <f>Product_CustomerSegment_Monthly_Actual_Fixed_Cost[[#This Row],[25-Jun]]*Product_Segment_Monthly_Quantity[[#This Row],[6/1/2025]]</f>
        <v>280</v>
      </c>
      <c r="AZ11">
        <f>SUM(Product_CustomerSegment_Monthly_Fixed_Cost_Amount[[#This Row],[25-Jan]:[25-Jun]])</f>
        <v>1960</v>
      </c>
      <c r="BC11" t="s">
        <v>81</v>
      </c>
      <c r="BD11" t="s">
        <v>44</v>
      </c>
      <c r="BE11">
        <f>Product_CustomerSegment_Monthly_Fixed_Cost_Amount[[#This Row],[25-Jan]]+Product_CustomerSegment_Monthly_Variable_Cost_Amount[[#This Row],[25-Jan]]</f>
        <v>1543.71</v>
      </c>
      <c r="BF11">
        <f>Product_CustomerSegment_Monthly_Fixed_Cost_Amount[[#This Row],[25-Feb]]+Product_CustomerSegment_Monthly_Variable_Cost_Amount[[#This Row],[25-Feb]]</f>
        <v>0</v>
      </c>
      <c r="BG11">
        <f>Product_CustomerSegment_Monthly_Fixed_Cost_Amount[[#This Row],[25-Mar]]+Product_CustomerSegment_Monthly_Variable_Cost_Amount[[#This Row],[25-Mar]]</f>
        <v>0</v>
      </c>
      <c r="BH11">
        <f>Product_CustomerSegment_Monthly_Fixed_Cost_Amount[[#This Row],[25-Apr]]+Product_CustomerSegment_Monthly_Variable_Cost_Amount[[#This Row],[25-Apr]]</f>
        <v>4582.4400000000005</v>
      </c>
      <c r="BI11">
        <f>Product_CustomerSegment_Monthly_Fixed_Cost_Amount[[#This Row],[25-May]]+Product_CustomerSegment_Monthly_Variable_Cost_Amount[[#This Row],[25-May]]</f>
        <v>3054.4</v>
      </c>
      <c r="BJ11">
        <f>Product_CustomerSegment_Monthly_Fixed_Cost_Amount[[#This Row],[25-Jun]]+Product_CustomerSegment_Monthly_Variable_Cost_Amount[[#This Row],[25-Jun]]</f>
        <v>1551.29</v>
      </c>
      <c r="BK11">
        <f>SUM(Product_CustomerSegment_Monthly_COGS[[#This Row],[25-Jan]:[25-Jun]])</f>
        <v>10731.84</v>
      </c>
    </row>
    <row r="12" spans="1:63">
      <c r="A12" t="s">
        <v>216</v>
      </c>
      <c r="B12" t="s">
        <v>28</v>
      </c>
      <c r="C1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1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1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1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1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12">
        <f>SUM(Product_Segment_Monthly_Quantity[[#This Row],[1/1/2025]:[6/1/2025]])</f>
        <v>2</v>
      </c>
      <c r="L12" t="s">
        <v>216</v>
      </c>
      <c r="M12" t="s">
        <v>28</v>
      </c>
      <c r="N12">
        <f>SUMIFS(Table21[1/1/2025],Table21[ProductID],Product_CustomerSegment_Monthly_Variable_Cost[[#This Row],[ProductID]])</f>
        <v>2111.06</v>
      </c>
      <c r="O12">
        <f>SUMIFS(Table21[2/1/2025],Table21[ProductID],Product_CustomerSegment_Monthly_Variable_Cost[[#This Row],[ProductID]])</f>
        <v>2067.25</v>
      </c>
      <c r="P12">
        <f>SUMIFS(Table21[3/1/2025],Table21[ProductID],Product_CustomerSegment_Monthly_Variable_Cost[[#This Row],[ProductID]])</f>
        <v>2105</v>
      </c>
      <c r="Q12">
        <f>SUMIFS(Table21[4/1/2025],Table21[ProductID],Product_CustomerSegment_Monthly_Variable_Cost[[#This Row],[ProductID]])</f>
        <v>2112.37</v>
      </c>
      <c r="R12">
        <f>SUMIFS(Table21[5/1/2025],Table21[ProductID],Product_CustomerSegment_Monthly_Variable_Cost[[#This Row],[ProductID]])</f>
        <v>2122.36</v>
      </c>
      <c r="S12">
        <f>SUMIFS(Table21[6/1/2025],Table21[ProductID],Product_CustomerSegment_Monthly_Variable_Cost[[#This Row],[ProductID]])</f>
        <v>2152.2199999999998</v>
      </c>
      <c r="V12" t="s">
        <v>216</v>
      </c>
      <c r="W12" t="s">
        <v>28</v>
      </c>
      <c r="X12">
        <f>Product_CustomerSegment_Monthly_Variable_Cost[[#This Row],[25-Jan]]*Product_Segment_Monthly_Quantity[[#This Row],[1/1/2025]]</f>
        <v>0</v>
      </c>
      <c r="Y12">
        <f>Product_CustomerSegment_Monthly_Variable_Cost[[#This Row],[25-Feb]]*Product_Segment_Monthly_Quantity[[#This Row],[2/1/2025]]</f>
        <v>0</v>
      </c>
      <c r="Z12">
        <f>Product_CustomerSegment_Monthly_Variable_Cost[[#This Row],[25-Mar]]*Product_Segment_Monthly_Quantity[[#This Row],[3/1/2025]]</f>
        <v>0</v>
      </c>
      <c r="AA12">
        <f>Product_CustomerSegment_Monthly_Variable_Cost[[#This Row],[25-Apr]]*Product_Segment_Monthly_Quantity[[#This Row],[4/1/2025]]</f>
        <v>2112.37</v>
      </c>
      <c r="AB12">
        <f>Product_CustomerSegment_Monthly_Variable_Cost[[#This Row],[25-May]]*Product_Segment_Monthly_Quantity[[#This Row],[5/1/2025]]</f>
        <v>2122.36</v>
      </c>
      <c r="AC12">
        <f>Product_CustomerSegment_Monthly_Variable_Cost[[#This Row],[25-Jun]]*Product_Segment_Monthly_Quantity[[#This Row],[6/1/2025]]</f>
        <v>0</v>
      </c>
      <c r="AD12">
        <f>SUM(Product_CustomerSegment_Monthly_Variable_Cost_Amount[[#This Row],[25-Jan]:[25-Jun]])</f>
        <v>4234.7299999999996</v>
      </c>
      <c r="AG12" t="s">
        <v>216</v>
      </c>
      <c r="AH12" t="s">
        <v>28</v>
      </c>
      <c r="AI12">
        <f>SUMIFS(Product_Fixed_Allocation[1/1/2025],Product_Fixed_Allocation[ProductID],Product_CustomerSegment_Monthly_Actual_Fixed_Cost[[#This Row],[ProductID]])</f>
        <v>410</v>
      </c>
      <c r="AJ12">
        <f>SUMIFS(Product_Fixed_Allocation[2/1/2025],Product_Fixed_Allocation[ProductID],Product_CustomerSegment_Monthly_Actual_Fixed_Cost[[#This Row],[ProductID]])</f>
        <v>410</v>
      </c>
      <c r="AK12">
        <f>SUMIFS(Product_Fixed_Allocation[3/1/2025],Product_Fixed_Allocation[ProductID],Product_CustomerSegment_Monthly_Actual_Fixed_Cost[[#This Row],[ProductID]])</f>
        <v>410</v>
      </c>
      <c r="AL12">
        <f>SUMIFS(Product_Fixed_Allocation[4/1/2025],Product_Fixed_Allocation[ProductID],Product_CustomerSegment_Monthly_Actual_Fixed_Cost[[#This Row],[ProductID]])</f>
        <v>410</v>
      </c>
      <c r="AM12">
        <f>SUMIFS(Product_Fixed_Allocation[5/1/2025],Product_Fixed_Allocation[ProductID],Product_CustomerSegment_Monthly_Actual_Fixed_Cost[[#This Row],[ProductID]])</f>
        <v>410</v>
      </c>
      <c r="AN12">
        <f>SUMIFS(Product_Fixed_Allocation[6/1/2025],Product_Fixed_Allocation[ProductID],Product_CustomerSegment_Monthly_Actual_Fixed_Cost[[#This Row],[ProductID]])</f>
        <v>410</v>
      </c>
      <c r="AO12">
        <f>SUM(Product_CustomerSegment_Monthly_Actual_Fixed_Cost[[#This Row],[25-Jan]:[25-Jun]])</f>
        <v>2460</v>
      </c>
      <c r="AR12" t="s">
        <v>216</v>
      </c>
      <c r="AS12" t="s">
        <v>28</v>
      </c>
      <c r="AT12">
        <f>Product_CustomerSegment_Monthly_Actual_Fixed_Cost[[#This Row],[25-Jan]]*Product_Segment_Monthly_Quantity[[#This Row],[1/1/2025]]</f>
        <v>0</v>
      </c>
      <c r="AU12">
        <f>Product_CustomerSegment_Monthly_Actual_Fixed_Cost[[#This Row],[25-Feb]]*Product_Segment_Monthly_Quantity[[#This Row],[2/1/2025]]</f>
        <v>0</v>
      </c>
      <c r="AV12">
        <f>Product_CustomerSegment_Monthly_Actual_Fixed_Cost[[#This Row],[25-Mar]]*Product_Segment_Monthly_Quantity[[#This Row],[3/1/2025]]</f>
        <v>0</v>
      </c>
      <c r="AW12">
        <f>Product_CustomerSegment_Monthly_Actual_Fixed_Cost[[#This Row],[25-Apr]]*Product_Segment_Monthly_Quantity[[#This Row],[4/1/2025]]</f>
        <v>410</v>
      </c>
      <c r="AX12">
        <f>Product_CustomerSegment_Monthly_Actual_Fixed_Cost[[#This Row],[25-May]]*Product_Segment_Monthly_Quantity[[#This Row],[5/1/2025]]</f>
        <v>410</v>
      </c>
      <c r="AY12">
        <f>Product_CustomerSegment_Monthly_Actual_Fixed_Cost[[#This Row],[25-Jun]]*Product_Segment_Monthly_Quantity[[#This Row],[6/1/2025]]</f>
        <v>0</v>
      </c>
      <c r="AZ12">
        <f>SUM(Product_CustomerSegment_Monthly_Fixed_Cost_Amount[[#This Row],[25-Jan]:[25-Jun]])</f>
        <v>820</v>
      </c>
      <c r="BC12" t="s">
        <v>216</v>
      </c>
      <c r="BD12" t="s">
        <v>28</v>
      </c>
      <c r="BE12">
        <f>Product_CustomerSegment_Monthly_Fixed_Cost_Amount[[#This Row],[25-Jan]]+Product_CustomerSegment_Monthly_Variable_Cost_Amount[[#This Row],[25-Jan]]</f>
        <v>0</v>
      </c>
      <c r="BF12">
        <f>Product_CustomerSegment_Monthly_Fixed_Cost_Amount[[#This Row],[25-Feb]]+Product_CustomerSegment_Monthly_Variable_Cost_Amount[[#This Row],[25-Feb]]</f>
        <v>0</v>
      </c>
      <c r="BG12">
        <f>Product_CustomerSegment_Monthly_Fixed_Cost_Amount[[#This Row],[25-Mar]]+Product_CustomerSegment_Monthly_Variable_Cost_Amount[[#This Row],[25-Mar]]</f>
        <v>0</v>
      </c>
      <c r="BH12">
        <f>Product_CustomerSegment_Monthly_Fixed_Cost_Amount[[#This Row],[25-Apr]]+Product_CustomerSegment_Monthly_Variable_Cost_Amount[[#This Row],[25-Apr]]</f>
        <v>2522.37</v>
      </c>
      <c r="BI12">
        <f>Product_CustomerSegment_Monthly_Fixed_Cost_Amount[[#This Row],[25-May]]+Product_CustomerSegment_Monthly_Variable_Cost_Amount[[#This Row],[25-May]]</f>
        <v>2532.36</v>
      </c>
      <c r="BJ12">
        <f>Product_CustomerSegment_Monthly_Fixed_Cost_Amount[[#This Row],[25-Jun]]+Product_CustomerSegment_Monthly_Variable_Cost_Amount[[#This Row],[25-Jun]]</f>
        <v>0</v>
      </c>
      <c r="BK12">
        <f>SUM(Product_CustomerSegment_Monthly_COGS[[#This Row],[25-Jan]:[25-Jun]])</f>
        <v>5054.7299999999996</v>
      </c>
    </row>
    <row r="13" spans="1:63">
      <c r="A13" t="s">
        <v>216</v>
      </c>
      <c r="B13" t="s">
        <v>36</v>
      </c>
      <c r="C1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1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1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5</v>
      </c>
      <c r="G1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1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13">
        <f>SUM(Product_Segment_Monthly_Quantity[[#This Row],[1/1/2025]:[6/1/2025]])</f>
        <v>12</v>
      </c>
      <c r="L13" t="s">
        <v>216</v>
      </c>
      <c r="M13" t="s">
        <v>36</v>
      </c>
      <c r="N13">
        <f>SUMIFS(Table21[1/1/2025],Table21[ProductID],Product_CustomerSegment_Monthly_Variable_Cost[[#This Row],[ProductID]])</f>
        <v>2111.06</v>
      </c>
      <c r="O13">
        <f>SUMIFS(Table21[2/1/2025],Table21[ProductID],Product_CustomerSegment_Monthly_Variable_Cost[[#This Row],[ProductID]])</f>
        <v>2067.25</v>
      </c>
      <c r="P13">
        <f>SUMIFS(Table21[3/1/2025],Table21[ProductID],Product_CustomerSegment_Monthly_Variable_Cost[[#This Row],[ProductID]])</f>
        <v>2105</v>
      </c>
      <c r="Q13">
        <f>SUMIFS(Table21[4/1/2025],Table21[ProductID],Product_CustomerSegment_Monthly_Variable_Cost[[#This Row],[ProductID]])</f>
        <v>2112.37</v>
      </c>
      <c r="R13">
        <f>SUMIFS(Table21[5/1/2025],Table21[ProductID],Product_CustomerSegment_Monthly_Variable_Cost[[#This Row],[ProductID]])</f>
        <v>2122.36</v>
      </c>
      <c r="S13">
        <f>SUMIFS(Table21[6/1/2025],Table21[ProductID],Product_CustomerSegment_Monthly_Variable_Cost[[#This Row],[ProductID]])</f>
        <v>2152.2199999999998</v>
      </c>
      <c r="V13" t="s">
        <v>216</v>
      </c>
      <c r="W13" t="s">
        <v>36</v>
      </c>
      <c r="X13">
        <f>Product_CustomerSegment_Monthly_Variable_Cost[[#This Row],[25-Jan]]*Product_Segment_Monthly_Quantity[[#This Row],[1/1/2025]]</f>
        <v>0</v>
      </c>
      <c r="Y13">
        <f>Product_CustomerSegment_Monthly_Variable_Cost[[#This Row],[25-Feb]]*Product_Segment_Monthly_Quantity[[#This Row],[2/1/2025]]</f>
        <v>0</v>
      </c>
      <c r="Z13">
        <f>Product_CustomerSegment_Monthly_Variable_Cost[[#This Row],[25-Mar]]*Product_Segment_Monthly_Quantity[[#This Row],[3/1/2025]]</f>
        <v>2105</v>
      </c>
      <c r="AA13">
        <f>Product_CustomerSegment_Monthly_Variable_Cost[[#This Row],[25-Apr]]*Product_Segment_Monthly_Quantity[[#This Row],[4/1/2025]]</f>
        <v>10561.849999999999</v>
      </c>
      <c r="AB13">
        <f>Product_CustomerSegment_Monthly_Variable_Cost[[#This Row],[25-May]]*Product_Segment_Monthly_Quantity[[#This Row],[5/1/2025]]</f>
        <v>2122.36</v>
      </c>
      <c r="AC13">
        <f>Product_CustomerSegment_Monthly_Variable_Cost[[#This Row],[25-Jun]]*Product_Segment_Monthly_Quantity[[#This Row],[6/1/2025]]</f>
        <v>10761.099999999999</v>
      </c>
      <c r="AD13">
        <f>SUM(Product_CustomerSegment_Monthly_Variable_Cost_Amount[[#This Row],[25-Jan]:[25-Jun]])</f>
        <v>25550.309999999998</v>
      </c>
      <c r="AG13" t="s">
        <v>216</v>
      </c>
      <c r="AH13" t="s">
        <v>36</v>
      </c>
      <c r="AI13">
        <f>SUMIFS(Product_Fixed_Allocation[1/1/2025],Product_Fixed_Allocation[ProductID],Product_CustomerSegment_Monthly_Actual_Fixed_Cost[[#This Row],[ProductID]])</f>
        <v>410</v>
      </c>
      <c r="AJ13">
        <f>SUMIFS(Product_Fixed_Allocation[2/1/2025],Product_Fixed_Allocation[ProductID],Product_CustomerSegment_Monthly_Actual_Fixed_Cost[[#This Row],[ProductID]])</f>
        <v>410</v>
      </c>
      <c r="AK13">
        <f>SUMIFS(Product_Fixed_Allocation[3/1/2025],Product_Fixed_Allocation[ProductID],Product_CustomerSegment_Monthly_Actual_Fixed_Cost[[#This Row],[ProductID]])</f>
        <v>410</v>
      </c>
      <c r="AL13">
        <f>SUMIFS(Product_Fixed_Allocation[4/1/2025],Product_Fixed_Allocation[ProductID],Product_CustomerSegment_Monthly_Actual_Fixed_Cost[[#This Row],[ProductID]])</f>
        <v>410</v>
      </c>
      <c r="AM13">
        <f>SUMIFS(Product_Fixed_Allocation[5/1/2025],Product_Fixed_Allocation[ProductID],Product_CustomerSegment_Monthly_Actual_Fixed_Cost[[#This Row],[ProductID]])</f>
        <v>410</v>
      </c>
      <c r="AN13">
        <f>SUMIFS(Product_Fixed_Allocation[6/1/2025],Product_Fixed_Allocation[ProductID],Product_CustomerSegment_Monthly_Actual_Fixed_Cost[[#This Row],[ProductID]])</f>
        <v>410</v>
      </c>
      <c r="AO13">
        <f>SUM(Product_CustomerSegment_Monthly_Actual_Fixed_Cost[[#This Row],[25-Jan]:[25-Jun]])</f>
        <v>2460</v>
      </c>
      <c r="AR13" t="s">
        <v>216</v>
      </c>
      <c r="AS13" t="s">
        <v>36</v>
      </c>
      <c r="AT13">
        <f>Product_CustomerSegment_Monthly_Actual_Fixed_Cost[[#This Row],[25-Jan]]*Product_Segment_Monthly_Quantity[[#This Row],[1/1/2025]]</f>
        <v>0</v>
      </c>
      <c r="AU13">
        <f>Product_CustomerSegment_Monthly_Actual_Fixed_Cost[[#This Row],[25-Feb]]*Product_Segment_Monthly_Quantity[[#This Row],[2/1/2025]]</f>
        <v>0</v>
      </c>
      <c r="AV13">
        <f>Product_CustomerSegment_Monthly_Actual_Fixed_Cost[[#This Row],[25-Mar]]*Product_Segment_Monthly_Quantity[[#This Row],[3/1/2025]]</f>
        <v>410</v>
      </c>
      <c r="AW13">
        <f>Product_CustomerSegment_Monthly_Actual_Fixed_Cost[[#This Row],[25-Apr]]*Product_Segment_Monthly_Quantity[[#This Row],[4/1/2025]]</f>
        <v>2050</v>
      </c>
      <c r="AX13">
        <f>Product_CustomerSegment_Monthly_Actual_Fixed_Cost[[#This Row],[25-May]]*Product_Segment_Monthly_Quantity[[#This Row],[5/1/2025]]</f>
        <v>410</v>
      </c>
      <c r="AY13">
        <f>Product_CustomerSegment_Monthly_Actual_Fixed_Cost[[#This Row],[25-Jun]]*Product_Segment_Monthly_Quantity[[#This Row],[6/1/2025]]</f>
        <v>2050</v>
      </c>
      <c r="AZ13">
        <f>SUM(Product_CustomerSegment_Monthly_Fixed_Cost_Amount[[#This Row],[25-Jan]:[25-Jun]])</f>
        <v>4920</v>
      </c>
      <c r="BC13" t="s">
        <v>216</v>
      </c>
      <c r="BD13" t="s">
        <v>36</v>
      </c>
      <c r="BE13">
        <f>Product_CustomerSegment_Monthly_Fixed_Cost_Amount[[#This Row],[25-Jan]]+Product_CustomerSegment_Monthly_Variable_Cost_Amount[[#This Row],[25-Jan]]</f>
        <v>0</v>
      </c>
      <c r="BF13">
        <f>Product_CustomerSegment_Monthly_Fixed_Cost_Amount[[#This Row],[25-Feb]]+Product_CustomerSegment_Monthly_Variable_Cost_Amount[[#This Row],[25-Feb]]</f>
        <v>0</v>
      </c>
      <c r="BG13">
        <f>Product_CustomerSegment_Monthly_Fixed_Cost_Amount[[#This Row],[25-Mar]]+Product_CustomerSegment_Monthly_Variable_Cost_Amount[[#This Row],[25-Mar]]</f>
        <v>2515</v>
      </c>
      <c r="BH13">
        <f>Product_CustomerSegment_Monthly_Fixed_Cost_Amount[[#This Row],[25-Apr]]+Product_CustomerSegment_Monthly_Variable_Cost_Amount[[#This Row],[25-Apr]]</f>
        <v>12611.849999999999</v>
      </c>
      <c r="BI13">
        <f>Product_CustomerSegment_Monthly_Fixed_Cost_Amount[[#This Row],[25-May]]+Product_CustomerSegment_Monthly_Variable_Cost_Amount[[#This Row],[25-May]]</f>
        <v>2532.36</v>
      </c>
      <c r="BJ13">
        <f>Product_CustomerSegment_Monthly_Fixed_Cost_Amount[[#This Row],[25-Jun]]+Product_CustomerSegment_Monthly_Variable_Cost_Amount[[#This Row],[25-Jun]]</f>
        <v>12811.099999999999</v>
      </c>
      <c r="BK13">
        <f>SUM(Product_CustomerSegment_Monthly_COGS[[#This Row],[25-Jan]:[25-Jun]])</f>
        <v>30470.309999999998</v>
      </c>
    </row>
    <row r="14" spans="1:63">
      <c r="A14" t="s">
        <v>216</v>
      </c>
      <c r="B14" t="s">
        <v>48</v>
      </c>
      <c r="C1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1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1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1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1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14">
        <f>SUM(Product_Segment_Monthly_Quantity[[#This Row],[1/1/2025]:[6/1/2025]])</f>
        <v>6</v>
      </c>
      <c r="L14" t="s">
        <v>216</v>
      </c>
      <c r="M14" t="s">
        <v>48</v>
      </c>
      <c r="N14">
        <f>SUMIFS(Table21[1/1/2025],Table21[ProductID],Product_CustomerSegment_Monthly_Variable_Cost[[#This Row],[ProductID]])</f>
        <v>2111.06</v>
      </c>
      <c r="O14">
        <f>SUMIFS(Table21[2/1/2025],Table21[ProductID],Product_CustomerSegment_Monthly_Variable_Cost[[#This Row],[ProductID]])</f>
        <v>2067.25</v>
      </c>
      <c r="P14">
        <f>SUMIFS(Table21[3/1/2025],Table21[ProductID],Product_CustomerSegment_Monthly_Variable_Cost[[#This Row],[ProductID]])</f>
        <v>2105</v>
      </c>
      <c r="Q14">
        <f>SUMIFS(Table21[4/1/2025],Table21[ProductID],Product_CustomerSegment_Monthly_Variable_Cost[[#This Row],[ProductID]])</f>
        <v>2112.37</v>
      </c>
      <c r="R14">
        <f>SUMIFS(Table21[5/1/2025],Table21[ProductID],Product_CustomerSegment_Monthly_Variable_Cost[[#This Row],[ProductID]])</f>
        <v>2122.36</v>
      </c>
      <c r="S14">
        <f>SUMIFS(Table21[6/1/2025],Table21[ProductID],Product_CustomerSegment_Monthly_Variable_Cost[[#This Row],[ProductID]])</f>
        <v>2152.2199999999998</v>
      </c>
      <c r="V14" t="s">
        <v>216</v>
      </c>
      <c r="W14" t="s">
        <v>48</v>
      </c>
      <c r="X14">
        <f>Product_CustomerSegment_Monthly_Variable_Cost[[#This Row],[25-Jan]]*Product_Segment_Monthly_Quantity[[#This Row],[1/1/2025]]</f>
        <v>0</v>
      </c>
      <c r="Y14">
        <f>Product_CustomerSegment_Monthly_Variable_Cost[[#This Row],[25-Feb]]*Product_Segment_Monthly_Quantity[[#This Row],[2/1/2025]]</f>
        <v>0</v>
      </c>
      <c r="Z14">
        <f>Product_CustomerSegment_Monthly_Variable_Cost[[#This Row],[25-Mar]]*Product_Segment_Monthly_Quantity[[#This Row],[3/1/2025]]</f>
        <v>6315</v>
      </c>
      <c r="AA14">
        <f>Product_CustomerSegment_Monthly_Variable_Cost[[#This Row],[25-Apr]]*Product_Segment_Monthly_Quantity[[#This Row],[4/1/2025]]</f>
        <v>0</v>
      </c>
      <c r="AB14">
        <f>Product_CustomerSegment_Monthly_Variable_Cost[[#This Row],[25-May]]*Product_Segment_Monthly_Quantity[[#This Row],[5/1/2025]]</f>
        <v>2122.36</v>
      </c>
      <c r="AC14">
        <f>Product_CustomerSegment_Monthly_Variable_Cost[[#This Row],[25-Jun]]*Product_Segment_Monthly_Quantity[[#This Row],[6/1/2025]]</f>
        <v>4304.4399999999996</v>
      </c>
      <c r="AD14">
        <f>SUM(Product_CustomerSegment_Monthly_Variable_Cost_Amount[[#This Row],[25-Jan]:[25-Jun]])</f>
        <v>12741.8</v>
      </c>
      <c r="AG14" t="s">
        <v>216</v>
      </c>
      <c r="AH14" t="s">
        <v>48</v>
      </c>
      <c r="AI14">
        <f>SUMIFS(Product_Fixed_Allocation[1/1/2025],Product_Fixed_Allocation[ProductID],Product_CustomerSegment_Monthly_Actual_Fixed_Cost[[#This Row],[ProductID]])</f>
        <v>410</v>
      </c>
      <c r="AJ14">
        <f>SUMIFS(Product_Fixed_Allocation[2/1/2025],Product_Fixed_Allocation[ProductID],Product_CustomerSegment_Monthly_Actual_Fixed_Cost[[#This Row],[ProductID]])</f>
        <v>410</v>
      </c>
      <c r="AK14">
        <f>SUMIFS(Product_Fixed_Allocation[3/1/2025],Product_Fixed_Allocation[ProductID],Product_CustomerSegment_Monthly_Actual_Fixed_Cost[[#This Row],[ProductID]])</f>
        <v>410</v>
      </c>
      <c r="AL14">
        <f>SUMIFS(Product_Fixed_Allocation[4/1/2025],Product_Fixed_Allocation[ProductID],Product_CustomerSegment_Monthly_Actual_Fixed_Cost[[#This Row],[ProductID]])</f>
        <v>410</v>
      </c>
      <c r="AM14">
        <f>SUMIFS(Product_Fixed_Allocation[5/1/2025],Product_Fixed_Allocation[ProductID],Product_CustomerSegment_Monthly_Actual_Fixed_Cost[[#This Row],[ProductID]])</f>
        <v>410</v>
      </c>
      <c r="AN14">
        <f>SUMIFS(Product_Fixed_Allocation[6/1/2025],Product_Fixed_Allocation[ProductID],Product_CustomerSegment_Monthly_Actual_Fixed_Cost[[#This Row],[ProductID]])</f>
        <v>410</v>
      </c>
      <c r="AO14">
        <f>SUM(Product_CustomerSegment_Monthly_Actual_Fixed_Cost[[#This Row],[25-Jan]:[25-Jun]])</f>
        <v>2460</v>
      </c>
      <c r="AR14" t="s">
        <v>216</v>
      </c>
      <c r="AS14" t="s">
        <v>48</v>
      </c>
      <c r="AT14">
        <f>Product_CustomerSegment_Monthly_Actual_Fixed_Cost[[#This Row],[25-Jan]]*Product_Segment_Monthly_Quantity[[#This Row],[1/1/2025]]</f>
        <v>0</v>
      </c>
      <c r="AU14">
        <f>Product_CustomerSegment_Monthly_Actual_Fixed_Cost[[#This Row],[25-Feb]]*Product_Segment_Monthly_Quantity[[#This Row],[2/1/2025]]</f>
        <v>0</v>
      </c>
      <c r="AV14">
        <f>Product_CustomerSegment_Monthly_Actual_Fixed_Cost[[#This Row],[25-Mar]]*Product_Segment_Monthly_Quantity[[#This Row],[3/1/2025]]</f>
        <v>1230</v>
      </c>
      <c r="AW14">
        <f>Product_CustomerSegment_Monthly_Actual_Fixed_Cost[[#This Row],[25-Apr]]*Product_Segment_Monthly_Quantity[[#This Row],[4/1/2025]]</f>
        <v>0</v>
      </c>
      <c r="AX14">
        <f>Product_CustomerSegment_Monthly_Actual_Fixed_Cost[[#This Row],[25-May]]*Product_Segment_Monthly_Quantity[[#This Row],[5/1/2025]]</f>
        <v>410</v>
      </c>
      <c r="AY14">
        <f>Product_CustomerSegment_Monthly_Actual_Fixed_Cost[[#This Row],[25-Jun]]*Product_Segment_Monthly_Quantity[[#This Row],[6/1/2025]]</f>
        <v>820</v>
      </c>
      <c r="AZ14">
        <f>SUM(Product_CustomerSegment_Monthly_Fixed_Cost_Amount[[#This Row],[25-Jan]:[25-Jun]])</f>
        <v>2460</v>
      </c>
      <c r="BC14" t="s">
        <v>216</v>
      </c>
      <c r="BD14" t="s">
        <v>48</v>
      </c>
      <c r="BE14">
        <f>Product_CustomerSegment_Monthly_Fixed_Cost_Amount[[#This Row],[25-Jan]]+Product_CustomerSegment_Monthly_Variable_Cost_Amount[[#This Row],[25-Jan]]</f>
        <v>0</v>
      </c>
      <c r="BF14">
        <f>Product_CustomerSegment_Monthly_Fixed_Cost_Amount[[#This Row],[25-Feb]]+Product_CustomerSegment_Monthly_Variable_Cost_Amount[[#This Row],[25-Feb]]</f>
        <v>0</v>
      </c>
      <c r="BG14">
        <f>Product_CustomerSegment_Monthly_Fixed_Cost_Amount[[#This Row],[25-Mar]]+Product_CustomerSegment_Monthly_Variable_Cost_Amount[[#This Row],[25-Mar]]</f>
        <v>7545</v>
      </c>
      <c r="BH14">
        <f>Product_CustomerSegment_Monthly_Fixed_Cost_Amount[[#This Row],[25-Apr]]+Product_CustomerSegment_Monthly_Variable_Cost_Amount[[#This Row],[25-Apr]]</f>
        <v>0</v>
      </c>
      <c r="BI14">
        <f>Product_CustomerSegment_Monthly_Fixed_Cost_Amount[[#This Row],[25-May]]+Product_CustomerSegment_Monthly_Variable_Cost_Amount[[#This Row],[25-May]]</f>
        <v>2532.36</v>
      </c>
      <c r="BJ14">
        <f>Product_CustomerSegment_Monthly_Fixed_Cost_Amount[[#This Row],[25-Jun]]+Product_CustomerSegment_Monthly_Variable_Cost_Amount[[#This Row],[25-Jun]]</f>
        <v>5124.4399999999996</v>
      </c>
      <c r="BK14">
        <f>SUM(Product_CustomerSegment_Monthly_COGS[[#This Row],[25-Jan]:[25-Jun]])</f>
        <v>15201.8</v>
      </c>
    </row>
    <row r="15" spans="1:63">
      <c r="A15" t="s">
        <v>216</v>
      </c>
      <c r="B15" t="s">
        <v>59</v>
      </c>
      <c r="C1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1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1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1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1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15">
        <f>SUM(Product_Segment_Monthly_Quantity[[#This Row],[1/1/2025]:[6/1/2025]])</f>
        <v>1</v>
      </c>
      <c r="L15" t="s">
        <v>216</v>
      </c>
      <c r="M15" t="s">
        <v>59</v>
      </c>
      <c r="N15">
        <f>SUMIFS(Table21[1/1/2025],Table21[ProductID],Product_CustomerSegment_Monthly_Variable_Cost[[#This Row],[ProductID]])</f>
        <v>2111.06</v>
      </c>
      <c r="O15">
        <f>SUMIFS(Table21[2/1/2025],Table21[ProductID],Product_CustomerSegment_Monthly_Variable_Cost[[#This Row],[ProductID]])</f>
        <v>2067.25</v>
      </c>
      <c r="P15">
        <f>SUMIFS(Table21[3/1/2025],Table21[ProductID],Product_CustomerSegment_Monthly_Variable_Cost[[#This Row],[ProductID]])</f>
        <v>2105</v>
      </c>
      <c r="Q15">
        <f>SUMIFS(Table21[4/1/2025],Table21[ProductID],Product_CustomerSegment_Monthly_Variable_Cost[[#This Row],[ProductID]])</f>
        <v>2112.37</v>
      </c>
      <c r="R15">
        <f>SUMIFS(Table21[5/1/2025],Table21[ProductID],Product_CustomerSegment_Monthly_Variable_Cost[[#This Row],[ProductID]])</f>
        <v>2122.36</v>
      </c>
      <c r="S15">
        <f>SUMIFS(Table21[6/1/2025],Table21[ProductID],Product_CustomerSegment_Monthly_Variable_Cost[[#This Row],[ProductID]])</f>
        <v>2152.2199999999998</v>
      </c>
      <c r="V15" t="s">
        <v>216</v>
      </c>
      <c r="W15" t="s">
        <v>59</v>
      </c>
      <c r="X15">
        <f>Product_CustomerSegment_Monthly_Variable_Cost[[#This Row],[25-Jan]]*Product_Segment_Monthly_Quantity[[#This Row],[1/1/2025]]</f>
        <v>2111.06</v>
      </c>
      <c r="Y15">
        <f>Product_CustomerSegment_Monthly_Variable_Cost[[#This Row],[25-Feb]]*Product_Segment_Monthly_Quantity[[#This Row],[2/1/2025]]</f>
        <v>0</v>
      </c>
      <c r="Z15">
        <f>Product_CustomerSegment_Monthly_Variable_Cost[[#This Row],[25-Mar]]*Product_Segment_Monthly_Quantity[[#This Row],[3/1/2025]]</f>
        <v>0</v>
      </c>
      <c r="AA15">
        <f>Product_CustomerSegment_Monthly_Variable_Cost[[#This Row],[25-Apr]]*Product_Segment_Monthly_Quantity[[#This Row],[4/1/2025]]</f>
        <v>0</v>
      </c>
      <c r="AB15">
        <f>Product_CustomerSegment_Monthly_Variable_Cost[[#This Row],[25-May]]*Product_Segment_Monthly_Quantity[[#This Row],[5/1/2025]]</f>
        <v>0</v>
      </c>
      <c r="AC15">
        <f>Product_CustomerSegment_Monthly_Variable_Cost[[#This Row],[25-Jun]]*Product_Segment_Monthly_Quantity[[#This Row],[6/1/2025]]</f>
        <v>0</v>
      </c>
      <c r="AD15">
        <f>SUM(Product_CustomerSegment_Monthly_Variable_Cost_Amount[[#This Row],[25-Jan]:[25-Jun]])</f>
        <v>2111.06</v>
      </c>
      <c r="AG15" t="s">
        <v>216</v>
      </c>
      <c r="AH15" t="s">
        <v>59</v>
      </c>
      <c r="AI15">
        <f>SUMIFS(Product_Fixed_Allocation[1/1/2025],Product_Fixed_Allocation[ProductID],Product_CustomerSegment_Monthly_Actual_Fixed_Cost[[#This Row],[ProductID]])</f>
        <v>410</v>
      </c>
      <c r="AJ15">
        <f>SUMIFS(Product_Fixed_Allocation[2/1/2025],Product_Fixed_Allocation[ProductID],Product_CustomerSegment_Monthly_Actual_Fixed_Cost[[#This Row],[ProductID]])</f>
        <v>410</v>
      </c>
      <c r="AK15">
        <f>SUMIFS(Product_Fixed_Allocation[3/1/2025],Product_Fixed_Allocation[ProductID],Product_CustomerSegment_Monthly_Actual_Fixed_Cost[[#This Row],[ProductID]])</f>
        <v>410</v>
      </c>
      <c r="AL15">
        <f>SUMIFS(Product_Fixed_Allocation[4/1/2025],Product_Fixed_Allocation[ProductID],Product_CustomerSegment_Monthly_Actual_Fixed_Cost[[#This Row],[ProductID]])</f>
        <v>410</v>
      </c>
      <c r="AM15">
        <f>SUMIFS(Product_Fixed_Allocation[5/1/2025],Product_Fixed_Allocation[ProductID],Product_CustomerSegment_Monthly_Actual_Fixed_Cost[[#This Row],[ProductID]])</f>
        <v>410</v>
      </c>
      <c r="AN15">
        <f>SUMIFS(Product_Fixed_Allocation[6/1/2025],Product_Fixed_Allocation[ProductID],Product_CustomerSegment_Monthly_Actual_Fixed_Cost[[#This Row],[ProductID]])</f>
        <v>410</v>
      </c>
      <c r="AO15">
        <f>SUM(Product_CustomerSegment_Monthly_Actual_Fixed_Cost[[#This Row],[25-Jan]:[25-Jun]])</f>
        <v>2460</v>
      </c>
      <c r="AR15" t="s">
        <v>216</v>
      </c>
      <c r="AS15" t="s">
        <v>59</v>
      </c>
      <c r="AT15">
        <f>Product_CustomerSegment_Monthly_Actual_Fixed_Cost[[#This Row],[25-Jan]]*Product_Segment_Monthly_Quantity[[#This Row],[1/1/2025]]</f>
        <v>410</v>
      </c>
      <c r="AU15">
        <f>Product_CustomerSegment_Monthly_Actual_Fixed_Cost[[#This Row],[25-Feb]]*Product_Segment_Monthly_Quantity[[#This Row],[2/1/2025]]</f>
        <v>0</v>
      </c>
      <c r="AV15">
        <f>Product_CustomerSegment_Monthly_Actual_Fixed_Cost[[#This Row],[25-Mar]]*Product_Segment_Monthly_Quantity[[#This Row],[3/1/2025]]</f>
        <v>0</v>
      </c>
      <c r="AW15">
        <f>Product_CustomerSegment_Monthly_Actual_Fixed_Cost[[#This Row],[25-Apr]]*Product_Segment_Monthly_Quantity[[#This Row],[4/1/2025]]</f>
        <v>0</v>
      </c>
      <c r="AX15">
        <f>Product_CustomerSegment_Monthly_Actual_Fixed_Cost[[#This Row],[25-May]]*Product_Segment_Monthly_Quantity[[#This Row],[5/1/2025]]</f>
        <v>0</v>
      </c>
      <c r="AY15">
        <f>Product_CustomerSegment_Monthly_Actual_Fixed_Cost[[#This Row],[25-Jun]]*Product_Segment_Monthly_Quantity[[#This Row],[6/1/2025]]</f>
        <v>0</v>
      </c>
      <c r="AZ15">
        <f>SUM(Product_CustomerSegment_Monthly_Fixed_Cost_Amount[[#This Row],[25-Jan]:[25-Jun]])</f>
        <v>410</v>
      </c>
      <c r="BC15" t="s">
        <v>216</v>
      </c>
      <c r="BD15" t="s">
        <v>59</v>
      </c>
      <c r="BE15">
        <f>Product_CustomerSegment_Monthly_Fixed_Cost_Amount[[#This Row],[25-Jan]]+Product_CustomerSegment_Monthly_Variable_Cost_Amount[[#This Row],[25-Jan]]</f>
        <v>2521.06</v>
      </c>
      <c r="BF15">
        <f>Product_CustomerSegment_Monthly_Fixed_Cost_Amount[[#This Row],[25-Feb]]+Product_CustomerSegment_Monthly_Variable_Cost_Amount[[#This Row],[25-Feb]]</f>
        <v>0</v>
      </c>
      <c r="BG15">
        <f>Product_CustomerSegment_Monthly_Fixed_Cost_Amount[[#This Row],[25-Mar]]+Product_CustomerSegment_Monthly_Variable_Cost_Amount[[#This Row],[25-Mar]]</f>
        <v>0</v>
      </c>
      <c r="BH15">
        <f>Product_CustomerSegment_Monthly_Fixed_Cost_Amount[[#This Row],[25-Apr]]+Product_CustomerSegment_Monthly_Variable_Cost_Amount[[#This Row],[25-Apr]]</f>
        <v>0</v>
      </c>
      <c r="BI15">
        <f>Product_CustomerSegment_Monthly_Fixed_Cost_Amount[[#This Row],[25-May]]+Product_CustomerSegment_Monthly_Variable_Cost_Amount[[#This Row],[25-May]]</f>
        <v>0</v>
      </c>
      <c r="BJ15">
        <f>Product_CustomerSegment_Monthly_Fixed_Cost_Amount[[#This Row],[25-Jun]]+Product_CustomerSegment_Monthly_Variable_Cost_Amount[[#This Row],[25-Jun]]</f>
        <v>0</v>
      </c>
      <c r="BK15">
        <f>SUM(Product_CustomerSegment_Monthly_COGS[[#This Row],[25-Jan]:[25-Jun]])</f>
        <v>2521.06</v>
      </c>
    </row>
    <row r="16" spans="1:63">
      <c r="A16" t="s">
        <v>216</v>
      </c>
      <c r="B16" t="s">
        <v>44</v>
      </c>
      <c r="C1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1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1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1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1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16">
        <f>SUM(Product_Segment_Monthly_Quantity[[#This Row],[1/1/2025]:[6/1/2025]])</f>
        <v>4</v>
      </c>
      <c r="L16" t="s">
        <v>216</v>
      </c>
      <c r="M16" t="s">
        <v>44</v>
      </c>
      <c r="N16">
        <f>SUMIFS(Table21[1/1/2025],Table21[ProductID],Product_CustomerSegment_Monthly_Variable_Cost[[#This Row],[ProductID]])</f>
        <v>2111.06</v>
      </c>
      <c r="O16">
        <f>SUMIFS(Table21[2/1/2025],Table21[ProductID],Product_CustomerSegment_Monthly_Variable_Cost[[#This Row],[ProductID]])</f>
        <v>2067.25</v>
      </c>
      <c r="P16">
        <f>SUMIFS(Table21[3/1/2025],Table21[ProductID],Product_CustomerSegment_Monthly_Variable_Cost[[#This Row],[ProductID]])</f>
        <v>2105</v>
      </c>
      <c r="Q16">
        <f>SUMIFS(Table21[4/1/2025],Table21[ProductID],Product_CustomerSegment_Monthly_Variable_Cost[[#This Row],[ProductID]])</f>
        <v>2112.37</v>
      </c>
      <c r="R16">
        <f>SUMIFS(Table21[5/1/2025],Table21[ProductID],Product_CustomerSegment_Monthly_Variable_Cost[[#This Row],[ProductID]])</f>
        <v>2122.36</v>
      </c>
      <c r="S16">
        <f>SUMIFS(Table21[6/1/2025],Table21[ProductID],Product_CustomerSegment_Monthly_Variable_Cost[[#This Row],[ProductID]])</f>
        <v>2152.2199999999998</v>
      </c>
      <c r="V16" t="s">
        <v>216</v>
      </c>
      <c r="W16" t="s">
        <v>44</v>
      </c>
      <c r="X16">
        <f>Product_CustomerSegment_Monthly_Variable_Cost[[#This Row],[25-Jan]]*Product_Segment_Monthly_Quantity[[#This Row],[1/1/2025]]</f>
        <v>2111.06</v>
      </c>
      <c r="Y16">
        <f>Product_CustomerSegment_Monthly_Variable_Cost[[#This Row],[25-Feb]]*Product_Segment_Monthly_Quantity[[#This Row],[2/1/2025]]</f>
        <v>0</v>
      </c>
      <c r="Z16">
        <f>Product_CustomerSegment_Monthly_Variable_Cost[[#This Row],[25-Mar]]*Product_Segment_Monthly_Quantity[[#This Row],[3/1/2025]]</f>
        <v>4210</v>
      </c>
      <c r="AA16">
        <f>Product_CustomerSegment_Monthly_Variable_Cost[[#This Row],[25-Apr]]*Product_Segment_Monthly_Quantity[[#This Row],[4/1/2025]]</f>
        <v>0</v>
      </c>
      <c r="AB16">
        <f>Product_CustomerSegment_Monthly_Variable_Cost[[#This Row],[25-May]]*Product_Segment_Monthly_Quantity[[#This Row],[5/1/2025]]</f>
        <v>0</v>
      </c>
      <c r="AC16">
        <f>Product_CustomerSegment_Monthly_Variable_Cost[[#This Row],[25-Jun]]*Product_Segment_Monthly_Quantity[[#This Row],[6/1/2025]]</f>
        <v>2152.2199999999998</v>
      </c>
      <c r="AD16">
        <f>SUM(Product_CustomerSegment_Monthly_Variable_Cost_Amount[[#This Row],[25-Jan]:[25-Jun]])</f>
        <v>8473.2799999999988</v>
      </c>
      <c r="AG16" t="s">
        <v>216</v>
      </c>
      <c r="AH16" t="s">
        <v>44</v>
      </c>
      <c r="AI16">
        <f>SUMIFS(Product_Fixed_Allocation[1/1/2025],Product_Fixed_Allocation[ProductID],Product_CustomerSegment_Monthly_Actual_Fixed_Cost[[#This Row],[ProductID]])</f>
        <v>410</v>
      </c>
      <c r="AJ16">
        <f>SUMIFS(Product_Fixed_Allocation[2/1/2025],Product_Fixed_Allocation[ProductID],Product_CustomerSegment_Monthly_Actual_Fixed_Cost[[#This Row],[ProductID]])</f>
        <v>410</v>
      </c>
      <c r="AK16">
        <f>SUMIFS(Product_Fixed_Allocation[3/1/2025],Product_Fixed_Allocation[ProductID],Product_CustomerSegment_Monthly_Actual_Fixed_Cost[[#This Row],[ProductID]])</f>
        <v>410</v>
      </c>
      <c r="AL16">
        <f>SUMIFS(Product_Fixed_Allocation[4/1/2025],Product_Fixed_Allocation[ProductID],Product_CustomerSegment_Monthly_Actual_Fixed_Cost[[#This Row],[ProductID]])</f>
        <v>410</v>
      </c>
      <c r="AM16">
        <f>SUMIFS(Product_Fixed_Allocation[5/1/2025],Product_Fixed_Allocation[ProductID],Product_CustomerSegment_Monthly_Actual_Fixed_Cost[[#This Row],[ProductID]])</f>
        <v>410</v>
      </c>
      <c r="AN16">
        <f>SUMIFS(Product_Fixed_Allocation[6/1/2025],Product_Fixed_Allocation[ProductID],Product_CustomerSegment_Monthly_Actual_Fixed_Cost[[#This Row],[ProductID]])</f>
        <v>410</v>
      </c>
      <c r="AO16">
        <f>SUM(Product_CustomerSegment_Monthly_Actual_Fixed_Cost[[#This Row],[25-Jan]:[25-Jun]])</f>
        <v>2460</v>
      </c>
      <c r="AR16" t="s">
        <v>216</v>
      </c>
      <c r="AS16" t="s">
        <v>44</v>
      </c>
      <c r="AT16">
        <f>Product_CustomerSegment_Monthly_Actual_Fixed_Cost[[#This Row],[25-Jan]]*Product_Segment_Monthly_Quantity[[#This Row],[1/1/2025]]</f>
        <v>410</v>
      </c>
      <c r="AU16">
        <f>Product_CustomerSegment_Monthly_Actual_Fixed_Cost[[#This Row],[25-Feb]]*Product_Segment_Monthly_Quantity[[#This Row],[2/1/2025]]</f>
        <v>0</v>
      </c>
      <c r="AV16">
        <f>Product_CustomerSegment_Monthly_Actual_Fixed_Cost[[#This Row],[25-Mar]]*Product_Segment_Monthly_Quantity[[#This Row],[3/1/2025]]</f>
        <v>820</v>
      </c>
      <c r="AW16">
        <f>Product_CustomerSegment_Monthly_Actual_Fixed_Cost[[#This Row],[25-Apr]]*Product_Segment_Monthly_Quantity[[#This Row],[4/1/2025]]</f>
        <v>0</v>
      </c>
      <c r="AX16">
        <f>Product_CustomerSegment_Monthly_Actual_Fixed_Cost[[#This Row],[25-May]]*Product_Segment_Monthly_Quantity[[#This Row],[5/1/2025]]</f>
        <v>0</v>
      </c>
      <c r="AY16">
        <f>Product_CustomerSegment_Monthly_Actual_Fixed_Cost[[#This Row],[25-Jun]]*Product_Segment_Monthly_Quantity[[#This Row],[6/1/2025]]</f>
        <v>410</v>
      </c>
      <c r="AZ16">
        <f>SUM(Product_CustomerSegment_Monthly_Fixed_Cost_Amount[[#This Row],[25-Jan]:[25-Jun]])</f>
        <v>1640</v>
      </c>
      <c r="BC16" t="s">
        <v>216</v>
      </c>
      <c r="BD16" t="s">
        <v>44</v>
      </c>
      <c r="BE16">
        <f>Product_CustomerSegment_Monthly_Fixed_Cost_Amount[[#This Row],[25-Jan]]+Product_CustomerSegment_Monthly_Variable_Cost_Amount[[#This Row],[25-Jan]]</f>
        <v>2521.06</v>
      </c>
      <c r="BF16">
        <f>Product_CustomerSegment_Monthly_Fixed_Cost_Amount[[#This Row],[25-Feb]]+Product_CustomerSegment_Monthly_Variable_Cost_Amount[[#This Row],[25-Feb]]</f>
        <v>0</v>
      </c>
      <c r="BG16">
        <f>Product_CustomerSegment_Monthly_Fixed_Cost_Amount[[#This Row],[25-Mar]]+Product_CustomerSegment_Monthly_Variable_Cost_Amount[[#This Row],[25-Mar]]</f>
        <v>5030</v>
      </c>
      <c r="BH16">
        <f>Product_CustomerSegment_Monthly_Fixed_Cost_Amount[[#This Row],[25-Apr]]+Product_CustomerSegment_Monthly_Variable_Cost_Amount[[#This Row],[25-Apr]]</f>
        <v>0</v>
      </c>
      <c r="BI16">
        <f>Product_CustomerSegment_Monthly_Fixed_Cost_Amount[[#This Row],[25-May]]+Product_CustomerSegment_Monthly_Variable_Cost_Amount[[#This Row],[25-May]]</f>
        <v>0</v>
      </c>
      <c r="BJ16">
        <f>Product_CustomerSegment_Monthly_Fixed_Cost_Amount[[#This Row],[25-Jun]]+Product_CustomerSegment_Monthly_Variable_Cost_Amount[[#This Row],[25-Jun]]</f>
        <v>2562.2199999999998</v>
      </c>
      <c r="BK16">
        <f>SUM(Product_CustomerSegment_Monthly_COGS[[#This Row],[25-Jan]:[25-Jun]])</f>
        <v>10113.279999999999</v>
      </c>
    </row>
    <row r="17" spans="1:63">
      <c r="A17" t="s">
        <v>432</v>
      </c>
      <c r="B17" t="s">
        <v>28</v>
      </c>
      <c r="C1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1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1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1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1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17">
        <f>SUM(Product_Segment_Monthly_Quantity[[#This Row],[1/1/2025]:[6/1/2025]])</f>
        <v>2</v>
      </c>
      <c r="L17" t="s">
        <v>432</v>
      </c>
      <c r="M17" t="s">
        <v>28</v>
      </c>
      <c r="N17">
        <f>SUMIFS(Table21[1/1/2025],Table21[ProductID],Product_CustomerSegment_Monthly_Variable_Cost[[#This Row],[ProductID]])</f>
        <v>2021.96</v>
      </c>
      <c r="O17">
        <f>SUMIFS(Table21[2/1/2025],Table21[ProductID],Product_CustomerSegment_Monthly_Variable_Cost[[#This Row],[ProductID]])</f>
        <v>2067.88</v>
      </c>
      <c r="P17">
        <f>SUMIFS(Table21[3/1/2025],Table21[ProductID],Product_CustomerSegment_Monthly_Variable_Cost[[#This Row],[ProductID]])</f>
        <v>2041.18</v>
      </c>
      <c r="Q17">
        <f>SUMIFS(Table21[4/1/2025],Table21[ProductID],Product_CustomerSegment_Monthly_Variable_Cost[[#This Row],[ProductID]])</f>
        <v>2023.48</v>
      </c>
      <c r="R17">
        <f>SUMIFS(Table21[5/1/2025],Table21[ProductID],Product_CustomerSegment_Monthly_Variable_Cost[[#This Row],[ProductID]])</f>
        <v>2070.92</v>
      </c>
      <c r="S17">
        <f>SUMIFS(Table21[6/1/2025],Table21[ProductID],Product_CustomerSegment_Monthly_Variable_Cost[[#This Row],[ProductID]])</f>
        <v>2059.7800000000002</v>
      </c>
      <c r="V17" t="s">
        <v>432</v>
      </c>
      <c r="W17" t="s">
        <v>28</v>
      </c>
      <c r="X17">
        <f>Product_CustomerSegment_Monthly_Variable_Cost[[#This Row],[25-Jan]]*Product_Segment_Monthly_Quantity[[#This Row],[1/1/2025]]</f>
        <v>4043.92</v>
      </c>
      <c r="Y17">
        <f>Product_CustomerSegment_Monthly_Variable_Cost[[#This Row],[25-Feb]]*Product_Segment_Monthly_Quantity[[#This Row],[2/1/2025]]</f>
        <v>0</v>
      </c>
      <c r="Z17">
        <f>Product_CustomerSegment_Monthly_Variable_Cost[[#This Row],[25-Mar]]*Product_Segment_Monthly_Quantity[[#This Row],[3/1/2025]]</f>
        <v>0</v>
      </c>
      <c r="AA17">
        <f>Product_CustomerSegment_Monthly_Variable_Cost[[#This Row],[25-Apr]]*Product_Segment_Monthly_Quantity[[#This Row],[4/1/2025]]</f>
        <v>0</v>
      </c>
      <c r="AB17">
        <f>Product_CustomerSegment_Monthly_Variable_Cost[[#This Row],[25-May]]*Product_Segment_Monthly_Quantity[[#This Row],[5/1/2025]]</f>
        <v>0</v>
      </c>
      <c r="AC17">
        <f>Product_CustomerSegment_Monthly_Variable_Cost[[#This Row],[25-Jun]]*Product_Segment_Monthly_Quantity[[#This Row],[6/1/2025]]</f>
        <v>0</v>
      </c>
      <c r="AD17">
        <f>SUM(Product_CustomerSegment_Monthly_Variable_Cost_Amount[[#This Row],[25-Jan]:[25-Jun]])</f>
        <v>4043.92</v>
      </c>
      <c r="AG17" t="s">
        <v>432</v>
      </c>
      <c r="AH17" t="s">
        <v>28</v>
      </c>
      <c r="AI17">
        <f>SUMIFS(Product_Fixed_Allocation[1/1/2025],Product_Fixed_Allocation[ProductID],Product_CustomerSegment_Monthly_Actual_Fixed_Cost[[#This Row],[ProductID]])</f>
        <v>350</v>
      </c>
      <c r="AJ17">
        <f>SUMIFS(Product_Fixed_Allocation[2/1/2025],Product_Fixed_Allocation[ProductID],Product_CustomerSegment_Monthly_Actual_Fixed_Cost[[#This Row],[ProductID]])</f>
        <v>350</v>
      </c>
      <c r="AK17">
        <f>SUMIFS(Product_Fixed_Allocation[3/1/2025],Product_Fixed_Allocation[ProductID],Product_CustomerSegment_Monthly_Actual_Fixed_Cost[[#This Row],[ProductID]])</f>
        <v>350</v>
      </c>
      <c r="AL17">
        <f>SUMIFS(Product_Fixed_Allocation[4/1/2025],Product_Fixed_Allocation[ProductID],Product_CustomerSegment_Monthly_Actual_Fixed_Cost[[#This Row],[ProductID]])</f>
        <v>350</v>
      </c>
      <c r="AM17">
        <f>SUMIFS(Product_Fixed_Allocation[5/1/2025],Product_Fixed_Allocation[ProductID],Product_CustomerSegment_Monthly_Actual_Fixed_Cost[[#This Row],[ProductID]])</f>
        <v>350</v>
      </c>
      <c r="AN17">
        <f>SUMIFS(Product_Fixed_Allocation[6/1/2025],Product_Fixed_Allocation[ProductID],Product_CustomerSegment_Monthly_Actual_Fixed_Cost[[#This Row],[ProductID]])</f>
        <v>350</v>
      </c>
      <c r="AO17">
        <f>SUM(Product_CustomerSegment_Monthly_Actual_Fixed_Cost[[#This Row],[25-Jan]:[25-Jun]])</f>
        <v>2100</v>
      </c>
      <c r="AR17" t="s">
        <v>432</v>
      </c>
      <c r="AS17" t="s">
        <v>28</v>
      </c>
      <c r="AT17">
        <f>Product_CustomerSegment_Monthly_Actual_Fixed_Cost[[#This Row],[25-Jan]]*Product_Segment_Monthly_Quantity[[#This Row],[1/1/2025]]</f>
        <v>700</v>
      </c>
      <c r="AU17">
        <f>Product_CustomerSegment_Monthly_Actual_Fixed_Cost[[#This Row],[25-Feb]]*Product_Segment_Monthly_Quantity[[#This Row],[2/1/2025]]</f>
        <v>0</v>
      </c>
      <c r="AV17">
        <f>Product_CustomerSegment_Monthly_Actual_Fixed_Cost[[#This Row],[25-Mar]]*Product_Segment_Monthly_Quantity[[#This Row],[3/1/2025]]</f>
        <v>0</v>
      </c>
      <c r="AW17">
        <f>Product_CustomerSegment_Monthly_Actual_Fixed_Cost[[#This Row],[25-Apr]]*Product_Segment_Monthly_Quantity[[#This Row],[4/1/2025]]</f>
        <v>0</v>
      </c>
      <c r="AX17">
        <f>Product_CustomerSegment_Monthly_Actual_Fixed_Cost[[#This Row],[25-May]]*Product_Segment_Monthly_Quantity[[#This Row],[5/1/2025]]</f>
        <v>0</v>
      </c>
      <c r="AY17">
        <f>Product_CustomerSegment_Monthly_Actual_Fixed_Cost[[#This Row],[25-Jun]]*Product_Segment_Monthly_Quantity[[#This Row],[6/1/2025]]</f>
        <v>0</v>
      </c>
      <c r="AZ17">
        <f>SUM(Product_CustomerSegment_Monthly_Fixed_Cost_Amount[[#This Row],[25-Jan]:[25-Jun]])</f>
        <v>700</v>
      </c>
      <c r="BC17" t="s">
        <v>432</v>
      </c>
      <c r="BD17" t="s">
        <v>28</v>
      </c>
      <c r="BE17">
        <f>Product_CustomerSegment_Monthly_Fixed_Cost_Amount[[#This Row],[25-Jan]]+Product_CustomerSegment_Monthly_Variable_Cost_Amount[[#This Row],[25-Jan]]</f>
        <v>4743.92</v>
      </c>
      <c r="BF17">
        <f>Product_CustomerSegment_Monthly_Fixed_Cost_Amount[[#This Row],[25-Feb]]+Product_CustomerSegment_Monthly_Variable_Cost_Amount[[#This Row],[25-Feb]]</f>
        <v>0</v>
      </c>
      <c r="BG17">
        <f>Product_CustomerSegment_Monthly_Fixed_Cost_Amount[[#This Row],[25-Mar]]+Product_CustomerSegment_Monthly_Variable_Cost_Amount[[#This Row],[25-Mar]]</f>
        <v>0</v>
      </c>
      <c r="BH17">
        <f>Product_CustomerSegment_Monthly_Fixed_Cost_Amount[[#This Row],[25-Apr]]+Product_CustomerSegment_Monthly_Variable_Cost_Amount[[#This Row],[25-Apr]]</f>
        <v>0</v>
      </c>
      <c r="BI17">
        <f>Product_CustomerSegment_Monthly_Fixed_Cost_Amount[[#This Row],[25-May]]+Product_CustomerSegment_Monthly_Variable_Cost_Amount[[#This Row],[25-May]]</f>
        <v>0</v>
      </c>
      <c r="BJ17">
        <f>Product_CustomerSegment_Monthly_Fixed_Cost_Amount[[#This Row],[25-Jun]]+Product_CustomerSegment_Monthly_Variable_Cost_Amount[[#This Row],[25-Jun]]</f>
        <v>0</v>
      </c>
      <c r="BK17">
        <f>SUM(Product_CustomerSegment_Monthly_COGS[[#This Row],[25-Jan]:[25-Jun]])</f>
        <v>4743.92</v>
      </c>
    </row>
    <row r="18" spans="1:63">
      <c r="A18" t="s">
        <v>432</v>
      </c>
      <c r="B18" t="s">
        <v>36</v>
      </c>
      <c r="C1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1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1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1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1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1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18">
        <f>SUM(Product_Segment_Monthly_Quantity[[#This Row],[1/1/2025]:[6/1/2025]])</f>
        <v>5</v>
      </c>
      <c r="L18" t="s">
        <v>432</v>
      </c>
      <c r="M18" t="s">
        <v>36</v>
      </c>
      <c r="N18">
        <f>SUMIFS(Table21[1/1/2025],Table21[ProductID],Product_CustomerSegment_Monthly_Variable_Cost[[#This Row],[ProductID]])</f>
        <v>2021.96</v>
      </c>
      <c r="O18">
        <f>SUMIFS(Table21[2/1/2025],Table21[ProductID],Product_CustomerSegment_Monthly_Variable_Cost[[#This Row],[ProductID]])</f>
        <v>2067.88</v>
      </c>
      <c r="P18">
        <f>SUMIFS(Table21[3/1/2025],Table21[ProductID],Product_CustomerSegment_Monthly_Variable_Cost[[#This Row],[ProductID]])</f>
        <v>2041.18</v>
      </c>
      <c r="Q18">
        <f>SUMIFS(Table21[4/1/2025],Table21[ProductID],Product_CustomerSegment_Monthly_Variable_Cost[[#This Row],[ProductID]])</f>
        <v>2023.48</v>
      </c>
      <c r="R18">
        <f>SUMIFS(Table21[5/1/2025],Table21[ProductID],Product_CustomerSegment_Monthly_Variable_Cost[[#This Row],[ProductID]])</f>
        <v>2070.92</v>
      </c>
      <c r="S18">
        <f>SUMIFS(Table21[6/1/2025],Table21[ProductID],Product_CustomerSegment_Monthly_Variable_Cost[[#This Row],[ProductID]])</f>
        <v>2059.7800000000002</v>
      </c>
      <c r="V18" t="s">
        <v>432</v>
      </c>
      <c r="W18" t="s">
        <v>36</v>
      </c>
      <c r="X18">
        <f>Product_CustomerSegment_Monthly_Variable_Cost[[#This Row],[25-Jan]]*Product_Segment_Monthly_Quantity[[#This Row],[1/1/2025]]</f>
        <v>2021.96</v>
      </c>
      <c r="Y18">
        <f>Product_CustomerSegment_Monthly_Variable_Cost[[#This Row],[25-Feb]]*Product_Segment_Monthly_Quantity[[#This Row],[2/1/2025]]</f>
        <v>2067.88</v>
      </c>
      <c r="Z18">
        <f>Product_CustomerSegment_Monthly_Variable_Cost[[#This Row],[25-Mar]]*Product_Segment_Monthly_Quantity[[#This Row],[3/1/2025]]</f>
        <v>6123.54</v>
      </c>
      <c r="AA18">
        <f>Product_CustomerSegment_Monthly_Variable_Cost[[#This Row],[25-Apr]]*Product_Segment_Monthly_Quantity[[#This Row],[4/1/2025]]</f>
        <v>0</v>
      </c>
      <c r="AB18">
        <f>Product_CustomerSegment_Monthly_Variable_Cost[[#This Row],[25-May]]*Product_Segment_Monthly_Quantity[[#This Row],[5/1/2025]]</f>
        <v>0</v>
      </c>
      <c r="AC18">
        <f>Product_CustomerSegment_Monthly_Variable_Cost[[#This Row],[25-Jun]]*Product_Segment_Monthly_Quantity[[#This Row],[6/1/2025]]</f>
        <v>0</v>
      </c>
      <c r="AD18">
        <f>SUM(Product_CustomerSegment_Monthly_Variable_Cost_Amount[[#This Row],[25-Jan]:[25-Jun]])</f>
        <v>10213.380000000001</v>
      </c>
      <c r="AG18" t="s">
        <v>432</v>
      </c>
      <c r="AH18" t="s">
        <v>36</v>
      </c>
      <c r="AI18">
        <f>SUMIFS(Product_Fixed_Allocation[1/1/2025],Product_Fixed_Allocation[ProductID],Product_CustomerSegment_Monthly_Actual_Fixed_Cost[[#This Row],[ProductID]])</f>
        <v>350</v>
      </c>
      <c r="AJ18">
        <f>SUMIFS(Product_Fixed_Allocation[2/1/2025],Product_Fixed_Allocation[ProductID],Product_CustomerSegment_Monthly_Actual_Fixed_Cost[[#This Row],[ProductID]])</f>
        <v>350</v>
      </c>
      <c r="AK18">
        <f>SUMIFS(Product_Fixed_Allocation[3/1/2025],Product_Fixed_Allocation[ProductID],Product_CustomerSegment_Monthly_Actual_Fixed_Cost[[#This Row],[ProductID]])</f>
        <v>350</v>
      </c>
      <c r="AL18">
        <f>SUMIFS(Product_Fixed_Allocation[4/1/2025],Product_Fixed_Allocation[ProductID],Product_CustomerSegment_Monthly_Actual_Fixed_Cost[[#This Row],[ProductID]])</f>
        <v>350</v>
      </c>
      <c r="AM18">
        <f>SUMIFS(Product_Fixed_Allocation[5/1/2025],Product_Fixed_Allocation[ProductID],Product_CustomerSegment_Monthly_Actual_Fixed_Cost[[#This Row],[ProductID]])</f>
        <v>350</v>
      </c>
      <c r="AN18">
        <f>SUMIFS(Product_Fixed_Allocation[6/1/2025],Product_Fixed_Allocation[ProductID],Product_CustomerSegment_Monthly_Actual_Fixed_Cost[[#This Row],[ProductID]])</f>
        <v>350</v>
      </c>
      <c r="AO18">
        <f>SUM(Product_CustomerSegment_Monthly_Actual_Fixed_Cost[[#This Row],[25-Jan]:[25-Jun]])</f>
        <v>2100</v>
      </c>
      <c r="AR18" t="s">
        <v>432</v>
      </c>
      <c r="AS18" t="s">
        <v>36</v>
      </c>
      <c r="AT18">
        <f>Product_CustomerSegment_Monthly_Actual_Fixed_Cost[[#This Row],[25-Jan]]*Product_Segment_Monthly_Quantity[[#This Row],[1/1/2025]]</f>
        <v>350</v>
      </c>
      <c r="AU18">
        <f>Product_CustomerSegment_Monthly_Actual_Fixed_Cost[[#This Row],[25-Feb]]*Product_Segment_Monthly_Quantity[[#This Row],[2/1/2025]]</f>
        <v>350</v>
      </c>
      <c r="AV18">
        <f>Product_CustomerSegment_Monthly_Actual_Fixed_Cost[[#This Row],[25-Mar]]*Product_Segment_Monthly_Quantity[[#This Row],[3/1/2025]]</f>
        <v>1050</v>
      </c>
      <c r="AW18">
        <f>Product_CustomerSegment_Monthly_Actual_Fixed_Cost[[#This Row],[25-Apr]]*Product_Segment_Monthly_Quantity[[#This Row],[4/1/2025]]</f>
        <v>0</v>
      </c>
      <c r="AX18">
        <f>Product_CustomerSegment_Monthly_Actual_Fixed_Cost[[#This Row],[25-May]]*Product_Segment_Monthly_Quantity[[#This Row],[5/1/2025]]</f>
        <v>0</v>
      </c>
      <c r="AY18">
        <f>Product_CustomerSegment_Monthly_Actual_Fixed_Cost[[#This Row],[25-Jun]]*Product_Segment_Monthly_Quantity[[#This Row],[6/1/2025]]</f>
        <v>0</v>
      </c>
      <c r="AZ18">
        <f>SUM(Product_CustomerSegment_Monthly_Fixed_Cost_Amount[[#This Row],[25-Jan]:[25-Jun]])</f>
        <v>1750</v>
      </c>
      <c r="BC18" t="s">
        <v>432</v>
      </c>
      <c r="BD18" t="s">
        <v>36</v>
      </c>
      <c r="BE18">
        <f>Product_CustomerSegment_Monthly_Fixed_Cost_Amount[[#This Row],[25-Jan]]+Product_CustomerSegment_Monthly_Variable_Cost_Amount[[#This Row],[25-Jan]]</f>
        <v>2371.96</v>
      </c>
      <c r="BF18">
        <f>Product_CustomerSegment_Monthly_Fixed_Cost_Amount[[#This Row],[25-Feb]]+Product_CustomerSegment_Monthly_Variable_Cost_Amount[[#This Row],[25-Feb]]</f>
        <v>2417.88</v>
      </c>
      <c r="BG18">
        <f>Product_CustomerSegment_Monthly_Fixed_Cost_Amount[[#This Row],[25-Mar]]+Product_CustomerSegment_Monthly_Variable_Cost_Amount[[#This Row],[25-Mar]]</f>
        <v>7173.54</v>
      </c>
      <c r="BH18">
        <f>Product_CustomerSegment_Monthly_Fixed_Cost_Amount[[#This Row],[25-Apr]]+Product_CustomerSegment_Monthly_Variable_Cost_Amount[[#This Row],[25-Apr]]</f>
        <v>0</v>
      </c>
      <c r="BI18">
        <f>Product_CustomerSegment_Monthly_Fixed_Cost_Amount[[#This Row],[25-May]]+Product_CustomerSegment_Monthly_Variable_Cost_Amount[[#This Row],[25-May]]</f>
        <v>0</v>
      </c>
      <c r="BJ18">
        <f>Product_CustomerSegment_Monthly_Fixed_Cost_Amount[[#This Row],[25-Jun]]+Product_CustomerSegment_Monthly_Variable_Cost_Amount[[#This Row],[25-Jun]]</f>
        <v>0</v>
      </c>
      <c r="BK18">
        <f>SUM(Product_CustomerSegment_Monthly_COGS[[#This Row],[25-Jan]:[25-Jun]])</f>
        <v>11963.380000000001</v>
      </c>
    </row>
    <row r="19" spans="1:63">
      <c r="A19" t="s">
        <v>432</v>
      </c>
      <c r="B19" t="s">
        <v>48</v>
      </c>
      <c r="C1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1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1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1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1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1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19">
        <f>SUM(Product_Segment_Monthly_Quantity[[#This Row],[1/1/2025]:[6/1/2025]])</f>
        <v>3</v>
      </c>
      <c r="L19" t="s">
        <v>432</v>
      </c>
      <c r="M19" t="s">
        <v>48</v>
      </c>
      <c r="N19">
        <f>SUMIFS(Table21[1/1/2025],Table21[ProductID],Product_CustomerSegment_Monthly_Variable_Cost[[#This Row],[ProductID]])</f>
        <v>2021.96</v>
      </c>
      <c r="O19">
        <f>SUMIFS(Table21[2/1/2025],Table21[ProductID],Product_CustomerSegment_Monthly_Variable_Cost[[#This Row],[ProductID]])</f>
        <v>2067.88</v>
      </c>
      <c r="P19">
        <f>SUMIFS(Table21[3/1/2025],Table21[ProductID],Product_CustomerSegment_Monthly_Variable_Cost[[#This Row],[ProductID]])</f>
        <v>2041.18</v>
      </c>
      <c r="Q19">
        <f>SUMIFS(Table21[4/1/2025],Table21[ProductID],Product_CustomerSegment_Monthly_Variable_Cost[[#This Row],[ProductID]])</f>
        <v>2023.48</v>
      </c>
      <c r="R19">
        <f>SUMIFS(Table21[5/1/2025],Table21[ProductID],Product_CustomerSegment_Monthly_Variable_Cost[[#This Row],[ProductID]])</f>
        <v>2070.92</v>
      </c>
      <c r="S19">
        <f>SUMIFS(Table21[6/1/2025],Table21[ProductID],Product_CustomerSegment_Monthly_Variable_Cost[[#This Row],[ProductID]])</f>
        <v>2059.7800000000002</v>
      </c>
      <c r="V19" t="s">
        <v>432</v>
      </c>
      <c r="W19" t="s">
        <v>48</v>
      </c>
      <c r="X19">
        <f>Product_CustomerSegment_Monthly_Variable_Cost[[#This Row],[25-Jan]]*Product_Segment_Monthly_Quantity[[#This Row],[1/1/2025]]</f>
        <v>0</v>
      </c>
      <c r="Y19">
        <f>Product_CustomerSegment_Monthly_Variable_Cost[[#This Row],[25-Feb]]*Product_Segment_Monthly_Quantity[[#This Row],[2/1/2025]]</f>
        <v>0</v>
      </c>
      <c r="Z19">
        <f>Product_CustomerSegment_Monthly_Variable_Cost[[#This Row],[25-Mar]]*Product_Segment_Monthly_Quantity[[#This Row],[3/1/2025]]</f>
        <v>0</v>
      </c>
      <c r="AA19">
        <f>Product_CustomerSegment_Monthly_Variable_Cost[[#This Row],[25-Apr]]*Product_Segment_Monthly_Quantity[[#This Row],[4/1/2025]]</f>
        <v>0</v>
      </c>
      <c r="AB19">
        <f>Product_CustomerSegment_Monthly_Variable_Cost[[#This Row],[25-May]]*Product_Segment_Monthly_Quantity[[#This Row],[5/1/2025]]</f>
        <v>2070.92</v>
      </c>
      <c r="AC19">
        <f>Product_CustomerSegment_Monthly_Variable_Cost[[#This Row],[25-Jun]]*Product_Segment_Monthly_Quantity[[#This Row],[6/1/2025]]</f>
        <v>4119.5600000000004</v>
      </c>
      <c r="AD19">
        <f>SUM(Product_CustomerSegment_Monthly_Variable_Cost_Amount[[#This Row],[25-Jan]:[25-Jun]])</f>
        <v>6190.4800000000005</v>
      </c>
      <c r="AG19" t="s">
        <v>432</v>
      </c>
      <c r="AH19" t="s">
        <v>48</v>
      </c>
      <c r="AI19">
        <f>SUMIFS(Product_Fixed_Allocation[1/1/2025],Product_Fixed_Allocation[ProductID],Product_CustomerSegment_Monthly_Actual_Fixed_Cost[[#This Row],[ProductID]])</f>
        <v>350</v>
      </c>
      <c r="AJ19">
        <f>SUMIFS(Product_Fixed_Allocation[2/1/2025],Product_Fixed_Allocation[ProductID],Product_CustomerSegment_Monthly_Actual_Fixed_Cost[[#This Row],[ProductID]])</f>
        <v>350</v>
      </c>
      <c r="AK19">
        <f>SUMIFS(Product_Fixed_Allocation[3/1/2025],Product_Fixed_Allocation[ProductID],Product_CustomerSegment_Monthly_Actual_Fixed_Cost[[#This Row],[ProductID]])</f>
        <v>350</v>
      </c>
      <c r="AL19">
        <f>SUMIFS(Product_Fixed_Allocation[4/1/2025],Product_Fixed_Allocation[ProductID],Product_CustomerSegment_Monthly_Actual_Fixed_Cost[[#This Row],[ProductID]])</f>
        <v>350</v>
      </c>
      <c r="AM19">
        <f>SUMIFS(Product_Fixed_Allocation[5/1/2025],Product_Fixed_Allocation[ProductID],Product_CustomerSegment_Monthly_Actual_Fixed_Cost[[#This Row],[ProductID]])</f>
        <v>350</v>
      </c>
      <c r="AN19">
        <f>SUMIFS(Product_Fixed_Allocation[6/1/2025],Product_Fixed_Allocation[ProductID],Product_CustomerSegment_Monthly_Actual_Fixed_Cost[[#This Row],[ProductID]])</f>
        <v>350</v>
      </c>
      <c r="AO19">
        <f>SUM(Product_CustomerSegment_Monthly_Actual_Fixed_Cost[[#This Row],[25-Jan]:[25-Jun]])</f>
        <v>2100</v>
      </c>
      <c r="AR19" t="s">
        <v>432</v>
      </c>
      <c r="AS19" t="s">
        <v>48</v>
      </c>
      <c r="AT19">
        <f>Product_CustomerSegment_Monthly_Actual_Fixed_Cost[[#This Row],[25-Jan]]*Product_Segment_Monthly_Quantity[[#This Row],[1/1/2025]]</f>
        <v>0</v>
      </c>
      <c r="AU19">
        <f>Product_CustomerSegment_Monthly_Actual_Fixed_Cost[[#This Row],[25-Feb]]*Product_Segment_Monthly_Quantity[[#This Row],[2/1/2025]]</f>
        <v>0</v>
      </c>
      <c r="AV19">
        <f>Product_CustomerSegment_Monthly_Actual_Fixed_Cost[[#This Row],[25-Mar]]*Product_Segment_Monthly_Quantity[[#This Row],[3/1/2025]]</f>
        <v>0</v>
      </c>
      <c r="AW19">
        <f>Product_CustomerSegment_Monthly_Actual_Fixed_Cost[[#This Row],[25-Apr]]*Product_Segment_Monthly_Quantity[[#This Row],[4/1/2025]]</f>
        <v>0</v>
      </c>
      <c r="AX19">
        <f>Product_CustomerSegment_Monthly_Actual_Fixed_Cost[[#This Row],[25-May]]*Product_Segment_Monthly_Quantity[[#This Row],[5/1/2025]]</f>
        <v>350</v>
      </c>
      <c r="AY19">
        <f>Product_CustomerSegment_Monthly_Actual_Fixed_Cost[[#This Row],[25-Jun]]*Product_Segment_Monthly_Quantity[[#This Row],[6/1/2025]]</f>
        <v>700</v>
      </c>
      <c r="AZ19">
        <f>SUM(Product_CustomerSegment_Monthly_Fixed_Cost_Amount[[#This Row],[25-Jan]:[25-Jun]])</f>
        <v>1050</v>
      </c>
      <c r="BC19" t="s">
        <v>432</v>
      </c>
      <c r="BD19" t="s">
        <v>48</v>
      </c>
      <c r="BE19">
        <f>Product_CustomerSegment_Monthly_Fixed_Cost_Amount[[#This Row],[25-Jan]]+Product_CustomerSegment_Monthly_Variable_Cost_Amount[[#This Row],[25-Jan]]</f>
        <v>0</v>
      </c>
      <c r="BF19">
        <f>Product_CustomerSegment_Monthly_Fixed_Cost_Amount[[#This Row],[25-Feb]]+Product_CustomerSegment_Monthly_Variable_Cost_Amount[[#This Row],[25-Feb]]</f>
        <v>0</v>
      </c>
      <c r="BG19">
        <f>Product_CustomerSegment_Monthly_Fixed_Cost_Amount[[#This Row],[25-Mar]]+Product_CustomerSegment_Monthly_Variable_Cost_Amount[[#This Row],[25-Mar]]</f>
        <v>0</v>
      </c>
      <c r="BH19">
        <f>Product_CustomerSegment_Monthly_Fixed_Cost_Amount[[#This Row],[25-Apr]]+Product_CustomerSegment_Monthly_Variable_Cost_Amount[[#This Row],[25-Apr]]</f>
        <v>0</v>
      </c>
      <c r="BI19">
        <f>Product_CustomerSegment_Monthly_Fixed_Cost_Amount[[#This Row],[25-May]]+Product_CustomerSegment_Monthly_Variable_Cost_Amount[[#This Row],[25-May]]</f>
        <v>2420.92</v>
      </c>
      <c r="BJ19">
        <f>Product_CustomerSegment_Monthly_Fixed_Cost_Amount[[#This Row],[25-Jun]]+Product_CustomerSegment_Monthly_Variable_Cost_Amount[[#This Row],[25-Jun]]</f>
        <v>4819.5600000000004</v>
      </c>
      <c r="BK19">
        <f>SUM(Product_CustomerSegment_Monthly_COGS[[#This Row],[25-Jan]:[25-Jun]])</f>
        <v>7240.4800000000005</v>
      </c>
    </row>
    <row r="20" spans="1:63">
      <c r="A20" t="s">
        <v>432</v>
      </c>
      <c r="B20" t="s">
        <v>59</v>
      </c>
      <c r="C2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2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2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2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2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2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20">
        <f>SUM(Product_Segment_Monthly_Quantity[[#This Row],[1/1/2025]:[6/1/2025]])</f>
        <v>1</v>
      </c>
      <c r="L20" t="s">
        <v>432</v>
      </c>
      <c r="M20" t="s">
        <v>59</v>
      </c>
      <c r="N20">
        <f>SUMIFS(Table21[1/1/2025],Table21[ProductID],Product_CustomerSegment_Monthly_Variable_Cost[[#This Row],[ProductID]])</f>
        <v>2021.96</v>
      </c>
      <c r="O20">
        <f>SUMIFS(Table21[2/1/2025],Table21[ProductID],Product_CustomerSegment_Monthly_Variable_Cost[[#This Row],[ProductID]])</f>
        <v>2067.88</v>
      </c>
      <c r="P20">
        <f>SUMIFS(Table21[3/1/2025],Table21[ProductID],Product_CustomerSegment_Monthly_Variable_Cost[[#This Row],[ProductID]])</f>
        <v>2041.18</v>
      </c>
      <c r="Q20">
        <f>SUMIFS(Table21[4/1/2025],Table21[ProductID],Product_CustomerSegment_Monthly_Variable_Cost[[#This Row],[ProductID]])</f>
        <v>2023.48</v>
      </c>
      <c r="R20">
        <f>SUMIFS(Table21[5/1/2025],Table21[ProductID],Product_CustomerSegment_Monthly_Variable_Cost[[#This Row],[ProductID]])</f>
        <v>2070.92</v>
      </c>
      <c r="S20">
        <f>SUMIFS(Table21[6/1/2025],Table21[ProductID],Product_CustomerSegment_Monthly_Variable_Cost[[#This Row],[ProductID]])</f>
        <v>2059.7800000000002</v>
      </c>
      <c r="V20" t="s">
        <v>432</v>
      </c>
      <c r="W20" t="s">
        <v>59</v>
      </c>
      <c r="X20">
        <f>Product_CustomerSegment_Monthly_Variable_Cost[[#This Row],[25-Jan]]*Product_Segment_Monthly_Quantity[[#This Row],[1/1/2025]]</f>
        <v>0</v>
      </c>
      <c r="Y20">
        <f>Product_CustomerSegment_Monthly_Variable_Cost[[#This Row],[25-Feb]]*Product_Segment_Monthly_Quantity[[#This Row],[2/1/2025]]</f>
        <v>0</v>
      </c>
      <c r="Z20">
        <f>Product_CustomerSegment_Monthly_Variable_Cost[[#This Row],[25-Mar]]*Product_Segment_Monthly_Quantity[[#This Row],[3/1/2025]]</f>
        <v>0</v>
      </c>
      <c r="AA20">
        <f>Product_CustomerSegment_Monthly_Variable_Cost[[#This Row],[25-Apr]]*Product_Segment_Monthly_Quantity[[#This Row],[4/1/2025]]</f>
        <v>0</v>
      </c>
      <c r="AB20">
        <f>Product_CustomerSegment_Monthly_Variable_Cost[[#This Row],[25-May]]*Product_Segment_Monthly_Quantity[[#This Row],[5/1/2025]]</f>
        <v>0</v>
      </c>
      <c r="AC20">
        <f>Product_CustomerSegment_Monthly_Variable_Cost[[#This Row],[25-Jun]]*Product_Segment_Monthly_Quantity[[#This Row],[6/1/2025]]</f>
        <v>2059.7800000000002</v>
      </c>
      <c r="AD20">
        <f>SUM(Product_CustomerSegment_Monthly_Variable_Cost_Amount[[#This Row],[25-Jan]:[25-Jun]])</f>
        <v>2059.7800000000002</v>
      </c>
      <c r="AG20" t="s">
        <v>432</v>
      </c>
      <c r="AH20" t="s">
        <v>59</v>
      </c>
      <c r="AI20">
        <f>SUMIFS(Product_Fixed_Allocation[1/1/2025],Product_Fixed_Allocation[ProductID],Product_CustomerSegment_Monthly_Actual_Fixed_Cost[[#This Row],[ProductID]])</f>
        <v>350</v>
      </c>
      <c r="AJ20">
        <f>SUMIFS(Product_Fixed_Allocation[2/1/2025],Product_Fixed_Allocation[ProductID],Product_CustomerSegment_Monthly_Actual_Fixed_Cost[[#This Row],[ProductID]])</f>
        <v>350</v>
      </c>
      <c r="AK20">
        <f>SUMIFS(Product_Fixed_Allocation[3/1/2025],Product_Fixed_Allocation[ProductID],Product_CustomerSegment_Monthly_Actual_Fixed_Cost[[#This Row],[ProductID]])</f>
        <v>350</v>
      </c>
      <c r="AL20">
        <f>SUMIFS(Product_Fixed_Allocation[4/1/2025],Product_Fixed_Allocation[ProductID],Product_CustomerSegment_Monthly_Actual_Fixed_Cost[[#This Row],[ProductID]])</f>
        <v>350</v>
      </c>
      <c r="AM20">
        <f>SUMIFS(Product_Fixed_Allocation[5/1/2025],Product_Fixed_Allocation[ProductID],Product_CustomerSegment_Monthly_Actual_Fixed_Cost[[#This Row],[ProductID]])</f>
        <v>350</v>
      </c>
      <c r="AN20">
        <f>SUMIFS(Product_Fixed_Allocation[6/1/2025],Product_Fixed_Allocation[ProductID],Product_CustomerSegment_Monthly_Actual_Fixed_Cost[[#This Row],[ProductID]])</f>
        <v>350</v>
      </c>
      <c r="AO20">
        <f>SUM(Product_CustomerSegment_Monthly_Actual_Fixed_Cost[[#This Row],[25-Jan]:[25-Jun]])</f>
        <v>2100</v>
      </c>
      <c r="AR20" t="s">
        <v>432</v>
      </c>
      <c r="AS20" t="s">
        <v>59</v>
      </c>
      <c r="AT20">
        <f>Product_CustomerSegment_Monthly_Actual_Fixed_Cost[[#This Row],[25-Jan]]*Product_Segment_Monthly_Quantity[[#This Row],[1/1/2025]]</f>
        <v>0</v>
      </c>
      <c r="AU20">
        <f>Product_CustomerSegment_Monthly_Actual_Fixed_Cost[[#This Row],[25-Feb]]*Product_Segment_Monthly_Quantity[[#This Row],[2/1/2025]]</f>
        <v>0</v>
      </c>
      <c r="AV20">
        <f>Product_CustomerSegment_Monthly_Actual_Fixed_Cost[[#This Row],[25-Mar]]*Product_Segment_Monthly_Quantity[[#This Row],[3/1/2025]]</f>
        <v>0</v>
      </c>
      <c r="AW20">
        <f>Product_CustomerSegment_Monthly_Actual_Fixed_Cost[[#This Row],[25-Apr]]*Product_Segment_Monthly_Quantity[[#This Row],[4/1/2025]]</f>
        <v>0</v>
      </c>
      <c r="AX20">
        <f>Product_CustomerSegment_Monthly_Actual_Fixed_Cost[[#This Row],[25-May]]*Product_Segment_Monthly_Quantity[[#This Row],[5/1/2025]]</f>
        <v>0</v>
      </c>
      <c r="AY20">
        <f>Product_CustomerSegment_Monthly_Actual_Fixed_Cost[[#This Row],[25-Jun]]*Product_Segment_Monthly_Quantity[[#This Row],[6/1/2025]]</f>
        <v>350</v>
      </c>
      <c r="AZ20">
        <f>SUM(Product_CustomerSegment_Monthly_Fixed_Cost_Amount[[#This Row],[25-Jan]:[25-Jun]])</f>
        <v>350</v>
      </c>
      <c r="BC20" t="s">
        <v>432</v>
      </c>
      <c r="BD20" t="s">
        <v>59</v>
      </c>
      <c r="BE20">
        <f>Product_CustomerSegment_Monthly_Fixed_Cost_Amount[[#This Row],[25-Jan]]+Product_CustomerSegment_Monthly_Variable_Cost_Amount[[#This Row],[25-Jan]]</f>
        <v>0</v>
      </c>
      <c r="BF20">
        <f>Product_CustomerSegment_Monthly_Fixed_Cost_Amount[[#This Row],[25-Feb]]+Product_CustomerSegment_Monthly_Variable_Cost_Amount[[#This Row],[25-Feb]]</f>
        <v>0</v>
      </c>
      <c r="BG20">
        <f>Product_CustomerSegment_Monthly_Fixed_Cost_Amount[[#This Row],[25-Mar]]+Product_CustomerSegment_Monthly_Variable_Cost_Amount[[#This Row],[25-Mar]]</f>
        <v>0</v>
      </c>
      <c r="BH20">
        <f>Product_CustomerSegment_Monthly_Fixed_Cost_Amount[[#This Row],[25-Apr]]+Product_CustomerSegment_Monthly_Variable_Cost_Amount[[#This Row],[25-Apr]]</f>
        <v>0</v>
      </c>
      <c r="BI20">
        <f>Product_CustomerSegment_Monthly_Fixed_Cost_Amount[[#This Row],[25-May]]+Product_CustomerSegment_Monthly_Variable_Cost_Amount[[#This Row],[25-May]]</f>
        <v>0</v>
      </c>
      <c r="BJ20">
        <f>Product_CustomerSegment_Monthly_Fixed_Cost_Amount[[#This Row],[25-Jun]]+Product_CustomerSegment_Monthly_Variable_Cost_Amount[[#This Row],[25-Jun]]</f>
        <v>2409.7800000000002</v>
      </c>
      <c r="BK20">
        <f>SUM(Product_CustomerSegment_Monthly_COGS[[#This Row],[25-Jan]:[25-Jun]])</f>
        <v>2409.7800000000002</v>
      </c>
    </row>
    <row r="21" spans="1:63">
      <c r="A21" t="s">
        <v>432</v>
      </c>
      <c r="B21" t="s">
        <v>44</v>
      </c>
      <c r="C2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2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2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2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2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2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21">
        <f>SUM(Product_Segment_Monthly_Quantity[[#This Row],[1/1/2025]:[6/1/2025]])</f>
        <v>5</v>
      </c>
      <c r="L21" t="s">
        <v>432</v>
      </c>
      <c r="M21" t="s">
        <v>44</v>
      </c>
      <c r="N21">
        <f>SUMIFS(Table21[1/1/2025],Table21[ProductID],Product_CustomerSegment_Monthly_Variable_Cost[[#This Row],[ProductID]])</f>
        <v>2021.96</v>
      </c>
      <c r="O21">
        <f>SUMIFS(Table21[2/1/2025],Table21[ProductID],Product_CustomerSegment_Monthly_Variable_Cost[[#This Row],[ProductID]])</f>
        <v>2067.88</v>
      </c>
      <c r="P21">
        <f>SUMIFS(Table21[3/1/2025],Table21[ProductID],Product_CustomerSegment_Monthly_Variable_Cost[[#This Row],[ProductID]])</f>
        <v>2041.18</v>
      </c>
      <c r="Q21">
        <f>SUMIFS(Table21[4/1/2025],Table21[ProductID],Product_CustomerSegment_Monthly_Variable_Cost[[#This Row],[ProductID]])</f>
        <v>2023.48</v>
      </c>
      <c r="R21">
        <f>SUMIFS(Table21[5/1/2025],Table21[ProductID],Product_CustomerSegment_Monthly_Variable_Cost[[#This Row],[ProductID]])</f>
        <v>2070.92</v>
      </c>
      <c r="S21">
        <f>SUMIFS(Table21[6/1/2025],Table21[ProductID],Product_CustomerSegment_Monthly_Variable_Cost[[#This Row],[ProductID]])</f>
        <v>2059.7800000000002</v>
      </c>
      <c r="V21" t="s">
        <v>432</v>
      </c>
      <c r="W21" t="s">
        <v>44</v>
      </c>
      <c r="X21">
        <f>Product_CustomerSegment_Monthly_Variable_Cost[[#This Row],[25-Jan]]*Product_Segment_Monthly_Quantity[[#This Row],[1/1/2025]]</f>
        <v>4043.92</v>
      </c>
      <c r="Y21">
        <f>Product_CustomerSegment_Monthly_Variable_Cost[[#This Row],[25-Feb]]*Product_Segment_Monthly_Quantity[[#This Row],[2/1/2025]]</f>
        <v>0</v>
      </c>
      <c r="Z21">
        <f>Product_CustomerSegment_Monthly_Variable_Cost[[#This Row],[25-Mar]]*Product_Segment_Monthly_Quantity[[#This Row],[3/1/2025]]</f>
        <v>2041.18</v>
      </c>
      <c r="AA21">
        <f>Product_CustomerSegment_Monthly_Variable_Cost[[#This Row],[25-Apr]]*Product_Segment_Monthly_Quantity[[#This Row],[4/1/2025]]</f>
        <v>0</v>
      </c>
      <c r="AB21">
        <f>Product_CustomerSegment_Monthly_Variable_Cost[[#This Row],[25-May]]*Product_Segment_Monthly_Quantity[[#This Row],[5/1/2025]]</f>
        <v>2070.92</v>
      </c>
      <c r="AC21">
        <f>Product_CustomerSegment_Monthly_Variable_Cost[[#This Row],[25-Jun]]*Product_Segment_Monthly_Quantity[[#This Row],[6/1/2025]]</f>
        <v>2059.7800000000002</v>
      </c>
      <c r="AD21">
        <f>SUM(Product_CustomerSegment_Monthly_Variable_Cost_Amount[[#This Row],[25-Jan]:[25-Jun]])</f>
        <v>10215.800000000001</v>
      </c>
      <c r="AG21" t="s">
        <v>432</v>
      </c>
      <c r="AH21" t="s">
        <v>44</v>
      </c>
      <c r="AI21">
        <f>SUMIFS(Product_Fixed_Allocation[1/1/2025],Product_Fixed_Allocation[ProductID],Product_CustomerSegment_Monthly_Actual_Fixed_Cost[[#This Row],[ProductID]])</f>
        <v>350</v>
      </c>
      <c r="AJ21">
        <f>SUMIFS(Product_Fixed_Allocation[2/1/2025],Product_Fixed_Allocation[ProductID],Product_CustomerSegment_Monthly_Actual_Fixed_Cost[[#This Row],[ProductID]])</f>
        <v>350</v>
      </c>
      <c r="AK21">
        <f>SUMIFS(Product_Fixed_Allocation[3/1/2025],Product_Fixed_Allocation[ProductID],Product_CustomerSegment_Monthly_Actual_Fixed_Cost[[#This Row],[ProductID]])</f>
        <v>350</v>
      </c>
      <c r="AL21">
        <f>SUMIFS(Product_Fixed_Allocation[4/1/2025],Product_Fixed_Allocation[ProductID],Product_CustomerSegment_Monthly_Actual_Fixed_Cost[[#This Row],[ProductID]])</f>
        <v>350</v>
      </c>
      <c r="AM21">
        <f>SUMIFS(Product_Fixed_Allocation[5/1/2025],Product_Fixed_Allocation[ProductID],Product_CustomerSegment_Monthly_Actual_Fixed_Cost[[#This Row],[ProductID]])</f>
        <v>350</v>
      </c>
      <c r="AN21">
        <f>SUMIFS(Product_Fixed_Allocation[6/1/2025],Product_Fixed_Allocation[ProductID],Product_CustomerSegment_Monthly_Actual_Fixed_Cost[[#This Row],[ProductID]])</f>
        <v>350</v>
      </c>
      <c r="AO21">
        <f>SUM(Product_CustomerSegment_Monthly_Actual_Fixed_Cost[[#This Row],[25-Jan]:[25-Jun]])</f>
        <v>2100</v>
      </c>
      <c r="AR21" t="s">
        <v>432</v>
      </c>
      <c r="AS21" t="s">
        <v>44</v>
      </c>
      <c r="AT21">
        <f>Product_CustomerSegment_Monthly_Actual_Fixed_Cost[[#This Row],[25-Jan]]*Product_Segment_Monthly_Quantity[[#This Row],[1/1/2025]]</f>
        <v>700</v>
      </c>
      <c r="AU21">
        <f>Product_CustomerSegment_Monthly_Actual_Fixed_Cost[[#This Row],[25-Feb]]*Product_Segment_Monthly_Quantity[[#This Row],[2/1/2025]]</f>
        <v>0</v>
      </c>
      <c r="AV21">
        <f>Product_CustomerSegment_Monthly_Actual_Fixed_Cost[[#This Row],[25-Mar]]*Product_Segment_Monthly_Quantity[[#This Row],[3/1/2025]]</f>
        <v>350</v>
      </c>
      <c r="AW21">
        <f>Product_CustomerSegment_Monthly_Actual_Fixed_Cost[[#This Row],[25-Apr]]*Product_Segment_Monthly_Quantity[[#This Row],[4/1/2025]]</f>
        <v>0</v>
      </c>
      <c r="AX21">
        <f>Product_CustomerSegment_Monthly_Actual_Fixed_Cost[[#This Row],[25-May]]*Product_Segment_Monthly_Quantity[[#This Row],[5/1/2025]]</f>
        <v>350</v>
      </c>
      <c r="AY21">
        <f>Product_CustomerSegment_Monthly_Actual_Fixed_Cost[[#This Row],[25-Jun]]*Product_Segment_Monthly_Quantity[[#This Row],[6/1/2025]]</f>
        <v>350</v>
      </c>
      <c r="AZ21">
        <f>SUM(Product_CustomerSegment_Monthly_Fixed_Cost_Amount[[#This Row],[25-Jan]:[25-Jun]])</f>
        <v>1750</v>
      </c>
      <c r="BC21" t="s">
        <v>432</v>
      </c>
      <c r="BD21" t="s">
        <v>44</v>
      </c>
      <c r="BE21">
        <f>Product_CustomerSegment_Monthly_Fixed_Cost_Amount[[#This Row],[25-Jan]]+Product_CustomerSegment_Monthly_Variable_Cost_Amount[[#This Row],[25-Jan]]</f>
        <v>4743.92</v>
      </c>
      <c r="BF21">
        <f>Product_CustomerSegment_Monthly_Fixed_Cost_Amount[[#This Row],[25-Feb]]+Product_CustomerSegment_Monthly_Variable_Cost_Amount[[#This Row],[25-Feb]]</f>
        <v>0</v>
      </c>
      <c r="BG21">
        <f>Product_CustomerSegment_Monthly_Fixed_Cost_Amount[[#This Row],[25-Mar]]+Product_CustomerSegment_Monthly_Variable_Cost_Amount[[#This Row],[25-Mar]]</f>
        <v>2391.1800000000003</v>
      </c>
      <c r="BH21">
        <f>Product_CustomerSegment_Monthly_Fixed_Cost_Amount[[#This Row],[25-Apr]]+Product_CustomerSegment_Monthly_Variable_Cost_Amount[[#This Row],[25-Apr]]</f>
        <v>0</v>
      </c>
      <c r="BI21">
        <f>Product_CustomerSegment_Monthly_Fixed_Cost_Amount[[#This Row],[25-May]]+Product_CustomerSegment_Monthly_Variable_Cost_Amount[[#This Row],[25-May]]</f>
        <v>2420.92</v>
      </c>
      <c r="BJ21">
        <f>Product_CustomerSegment_Monthly_Fixed_Cost_Amount[[#This Row],[25-Jun]]+Product_CustomerSegment_Monthly_Variable_Cost_Amount[[#This Row],[25-Jun]]</f>
        <v>2409.7800000000002</v>
      </c>
      <c r="BK21">
        <f>SUM(Product_CustomerSegment_Monthly_COGS[[#This Row],[25-Jan]:[25-Jun]])</f>
        <v>11965.800000000001</v>
      </c>
    </row>
    <row r="22" spans="1:63">
      <c r="A22" t="s">
        <v>101</v>
      </c>
      <c r="B22" t="s">
        <v>28</v>
      </c>
      <c r="C2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2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2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2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2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2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22">
        <f>SUM(Product_Segment_Monthly_Quantity[[#This Row],[1/1/2025]:[6/1/2025]])</f>
        <v>3</v>
      </c>
      <c r="L22" t="s">
        <v>101</v>
      </c>
      <c r="M22" t="s">
        <v>28</v>
      </c>
      <c r="N22">
        <f>SUMIFS(Table21[1/1/2025],Table21[ProductID],Product_CustomerSegment_Monthly_Variable_Cost[[#This Row],[ProductID]])</f>
        <v>408.11</v>
      </c>
      <c r="O22">
        <f>SUMIFS(Table21[2/1/2025],Table21[ProductID],Product_CustomerSegment_Monthly_Variable_Cost[[#This Row],[ProductID]])</f>
        <v>432.84</v>
      </c>
      <c r="P22">
        <f>SUMIFS(Table21[3/1/2025],Table21[ProductID],Product_CustomerSegment_Monthly_Variable_Cost[[#This Row],[ProductID]])</f>
        <v>436.29</v>
      </c>
      <c r="Q22">
        <f>SUMIFS(Table21[4/1/2025],Table21[ProductID],Product_CustomerSegment_Monthly_Variable_Cost[[#This Row],[ProductID]])</f>
        <v>443.31</v>
      </c>
      <c r="R22">
        <f>SUMIFS(Table21[5/1/2025],Table21[ProductID],Product_CustomerSegment_Monthly_Variable_Cost[[#This Row],[ProductID]])</f>
        <v>440.54</v>
      </c>
      <c r="S22">
        <f>SUMIFS(Table21[6/1/2025],Table21[ProductID],Product_CustomerSegment_Monthly_Variable_Cost[[#This Row],[ProductID]])</f>
        <v>410.71</v>
      </c>
      <c r="V22" t="s">
        <v>101</v>
      </c>
      <c r="W22" t="s">
        <v>28</v>
      </c>
      <c r="X22">
        <f>Product_CustomerSegment_Monthly_Variable_Cost[[#This Row],[25-Jan]]*Product_Segment_Monthly_Quantity[[#This Row],[1/1/2025]]</f>
        <v>408.11</v>
      </c>
      <c r="Y22">
        <f>Product_CustomerSegment_Monthly_Variable_Cost[[#This Row],[25-Feb]]*Product_Segment_Monthly_Quantity[[#This Row],[2/1/2025]]</f>
        <v>0</v>
      </c>
      <c r="Z22">
        <f>Product_CustomerSegment_Monthly_Variable_Cost[[#This Row],[25-Mar]]*Product_Segment_Monthly_Quantity[[#This Row],[3/1/2025]]</f>
        <v>436.29</v>
      </c>
      <c r="AA22">
        <f>Product_CustomerSegment_Monthly_Variable_Cost[[#This Row],[25-Apr]]*Product_Segment_Monthly_Quantity[[#This Row],[4/1/2025]]</f>
        <v>0</v>
      </c>
      <c r="AB22">
        <f>Product_CustomerSegment_Monthly_Variable_Cost[[#This Row],[25-May]]*Product_Segment_Monthly_Quantity[[#This Row],[5/1/2025]]</f>
        <v>440.54</v>
      </c>
      <c r="AC22">
        <f>Product_CustomerSegment_Monthly_Variable_Cost[[#This Row],[25-Jun]]*Product_Segment_Monthly_Quantity[[#This Row],[6/1/2025]]</f>
        <v>0</v>
      </c>
      <c r="AD22">
        <f>SUM(Product_CustomerSegment_Monthly_Variable_Cost_Amount[[#This Row],[25-Jan]:[25-Jun]])</f>
        <v>1284.94</v>
      </c>
      <c r="AG22" t="s">
        <v>101</v>
      </c>
      <c r="AH22" t="s">
        <v>28</v>
      </c>
      <c r="AI22">
        <f>SUMIFS(Product_Fixed_Allocation[1/1/2025],Product_Fixed_Allocation[ProductID],Product_CustomerSegment_Monthly_Actual_Fixed_Cost[[#This Row],[ProductID]])</f>
        <v>95</v>
      </c>
      <c r="AJ22">
        <f>SUMIFS(Product_Fixed_Allocation[2/1/2025],Product_Fixed_Allocation[ProductID],Product_CustomerSegment_Monthly_Actual_Fixed_Cost[[#This Row],[ProductID]])</f>
        <v>95</v>
      </c>
      <c r="AK22">
        <f>SUMIFS(Product_Fixed_Allocation[3/1/2025],Product_Fixed_Allocation[ProductID],Product_CustomerSegment_Monthly_Actual_Fixed_Cost[[#This Row],[ProductID]])</f>
        <v>95</v>
      </c>
      <c r="AL22">
        <f>SUMIFS(Product_Fixed_Allocation[4/1/2025],Product_Fixed_Allocation[ProductID],Product_CustomerSegment_Monthly_Actual_Fixed_Cost[[#This Row],[ProductID]])</f>
        <v>95</v>
      </c>
      <c r="AM22">
        <f>SUMIFS(Product_Fixed_Allocation[5/1/2025],Product_Fixed_Allocation[ProductID],Product_CustomerSegment_Monthly_Actual_Fixed_Cost[[#This Row],[ProductID]])</f>
        <v>95</v>
      </c>
      <c r="AN22">
        <f>SUMIFS(Product_Fixed_Allocation[6/1/2025],Product_Fixed_Allocation[ProductID],Product_CustomerSegment_Monthly_Actual_Fixed_Cost[[#This Row],[ProductID]])</f>
        <v>95</v>
      </c>
      <c r="AO22">
        <f>SUM(Product_CustomerSegment_Monthly_Actual_Fixed_Cost[[#This Row],[25-Jan]:[25-Jun]])</f>
        <v>570</v>
      </c>
      <c r="AR22" t="s">
        <v>101</v>
      </c>
      <c r="AS22" t="s">
        <v>28</v>
      </c>
      <c r="AT22">
        <f>Product_CustomerSegment_Monthly_Actual_Fixed_Cost[[#This Row],[25-Jan]]*Product_Segment_Monthly_Quantity[[#This Row],[1/1/2025]]</f>
        <v>95</v>
      </c>
      <c r="AU22">
        <f>Product_CustomerSegment_Monthly_Actual_Fixed_Cost[[#This Row],[25-Feb]]*Product_Segment_Monthly_Quantity[[#This Row],[2/1/2025]]</f>
        <v>0</v>
      </c>
      <c r="AV22">
        <f>Product_CustomerSegment_Monthly_Actual_Fixed_Cost[[#This Row],[25-Mar]]*Product_Segment_Monthly_Quantity[[#This Row],[3/1/2025]]</f>
        <v>95</v>
      </c>
      <c r="AW22">
        <f>Product_CustomerSegment_Monthly_Actual_Fixed_Cost[[#This Row],[25-Apr]]*Product_Segment_Monthly_Quantity[[#This Row],[4/1/2025]]</f>
        <v>0</v>
      </c>
      <c r="AX22">
        <f>Product_CustomerSegment_Monthly_Actual_Fixed_Cost[[#This Row],[25-May]]*Product_Segment_Monthly_Quantity[[#This Row],[5/1/2025]]</f>
        <v>95</v>
      </c>
      <c r="AY22">
        <f>Product_CustomerSegment_Monthly_Actual_Fixed_Cost[[#This Row],[25-Jun]]*Product_Segment_Monthly_Quantity[[#This Row],[6/1/2025]]</f>
        <v>0</v>
      </c>
      <c r="AZ22">
        <f>SUM(Product_CustomerSegment_Monthly_Fixed_Cost_Amount[[#This Row],[25-Jan]:[25-Jun]])</f>
        <v>285</v>
      </c>
      <c r="BC22" t="s">
        <v>101</v>
      </c>
      <c r="BD22" t="s">
        <v>28</v>
      </c>
      <c r="BE22">
        <f>Product_CustomerSegment_Monthly_Fixed_Cost_Amount[[#This Row],[25-Jan]]+Product_CustomerSegment_Monthly_Variable_Cost_Amount[[#This Row],[25-Jan]]</f>
        <v>503.11</v>
      </c>
      <c r="BF22">
        <f>Product_CustomerSegment_Monthly_Fixed_Cost_Amount[[#This Row],[25-Feb]]+Product_CustomerSegment_Monthly_Variable_Cost_Amount[[#This Row],[25-Feb]]</f>
        <v>0</v>
      </c>
      <c r="BG22">
        <f>Product_CustomerSegment_Monthly_Fixed_Cost_Amount[[#This Row],[25-Mar]]+Product_CustomerSegment_Monthly_Variable_Cost_Amount[[#This Row],[25-Mar]]</f>
        <v>531.29</v>
      </c>
      <c r="BH22">
        <f>Product_CustomerSegment_Monthly_Fixed_Cost_Amount[[#This Row],[25-Apr]]+Product_CustomerSegment_Monthly_Variable_Cost_Amount[[#This Row],[25-Apr]]</f>
        <v>0</v>
      </c>
      <c r="BI22">
        <f>Product_CustomerSegment_Monthly_Fixed_Cost_Amount[[#This Row],[25-May]]+Product_CustomerSegment_Monthly_Variable_Cost_Amount[[#This Row],[25-May]]</f>
        <v>535.54</v>
      </c>
      <c r="BJ22">
        <f>Product_CustomerSegment_Monthly_Fixed_Cost_Amount[[#This Row],[25-Jun]]+Product_CustomerSegment_Monthly_Variable_Cost_Amount[[#This Row],[25-Jun]]</f>
        <v>0</v>
      </c>
      <c r="BK22">
        <f>SUM(Product_CustomerSegment_Monthly_COGS[[#This Row],[25-Jan]:[25-Jun]])</f>
        <v>1569.94</v>
      </c>
    </row>
    <row r="23" spans="1:63">
      <c r="A23" t="s">
        <v>101</v>
      </c>
      <c r="B23" t="s">
        <v>36</v>
      </c>
      <c r="C2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2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2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2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2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</v>
      </c>
      <c r="H2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23">
        <f>SUM(Product_Segment_Monthly_Quantity[[#This Row],[1/1/2025]:[6/1/2025]])</f>
        <v>11</v>
      </c>
      <c r="L23" t="s">
        <v>101</v>
      </c>
      <c r="M23" t="s">
        <v>36</v>
      </c>
      <c r="N23">
        <f>SUMIFS(Table21[1/1/2025],Table21[ProductID],Product_CustomerSegment_Monthly_Variable_Cost[[#This Row],[ProductID]])</f>
        <v>408.11</v>
      </c>
      <c r="O23">
        <f>SUMIFS(Table21[2/1/2025],Table21[ProductID],Product_CustomerSegment_Monthly_Variable_Cost[[#This Row],[ProductID]])</f>
        <v>432.84</v>
      </c>
      <c r="P23">
        <f>SUMIFS(Table21[3/1/2025],Table21[ProductID],Product_CustomerSegment_Monthly_Variable_Cost[[#This Row],[ProductID]])</f>
        <v>436.29</v>
      </c>
      <c r="Q23">
        <f>SUMIFS(Table21[4/1/2025],Table21[ProductID],Product_CustomerSegment_Monthly_Variable_Cost[[#This Row],[ProductID]])</f>
        <v>443.31</v>
      </c>
      <c r="R23">
        <f>SUMIFS(Table21[5/1/2025],Table21[ProductID],Product_CustomerSegment_Monthly_Variable_Cost[[#This Row],[ProductID]])</f>
        <v>440.54</v>
      </c>
      <c r="S23">
        <f>SUMIFS(Table21[6/1/2025],Table21[ProductID],Product_CustomerSegment_Monthly_Variable_Cost[[#This Row],[ProductID]])</f>
        <v>410.71</v>
      </c>
      <c r="V23" t="s">
        <v>101</v>
      </c>
      <c r="W23" t="s">
        <v>36</v>
      </c>
      <c r="X23">
        <f>Product_CustomerSegment_Monthly_Variable_Cost[[#This Row],[25-Jan]]*Product_Segment_Monthly_Quantity[[#This Row],[1/1/2025]]</f>
        <v>1224.33</v>
      </c>
      <c r="Y23">
        <f>Product_CustomerSegment_Monthly_Variable_Cost[[#This Row],[25-Feb]]*Product_Segment_Monthly_Quantity[[#This Row],[2/1/2025]]</f>
        <v>0</v>
      </c>
      <c r="Z23">
        <f>Product_CustomerSegment_Monthly_Variable_Cost[[#This Row],[25-Mar]]*Product_Segment_Monthly_Quantity[[#This Row],[3/1/2025]]</f>
        <v>436.29</v>
      </c>
      <c r="AA23">
        <f>Product_CustomerSegment_Monthly_Variable_Cost[[#This Row],[25-Apr]]*Product_Segment_Monthly_Quantity[[#This Row],[4/1/2025]]</f>
        <v>886.62</v>
      </c>
      <c r="AB23">
        <f>Product_CustomerSegment_Monthly_Variable_Cost[[#This Row],[25-May]]*Product_Segment_Monthly_Quantity[[#This Row],[5/1/2025]]</f>
        <v>1321.6200000000001</v>
      </c>
      <c r="AC23">
        <f>Product_CustomerSegment_Monthly_Variable_Cost[[#This Row],[25-Jun]]*Product_Segment_Monthly_Quantity[[#This Row],[6/1/2025]]</f>
        <v>821.42</v>
      </c>
      <c r="AD23">
        <f>SUM(Product_CustomerSegment_Monthly_Variable_Cost_Amount[[#This Row],[25-Jan]:[25-Jun]])</f>
        <v>4690.28</v>
      </c>
      <c r="AG23" t="s">
        <v>101</v>
      </c>
      <c r="AH23" t="s">
        <v>36</v>
      </c>
      <c r="AI23">
        <f>SUMIFS(Product_Fixed_Allocation[1/1/2025],Product_Fixed_Allocation[ProductID],Product_CustomerSegment_Monthly_Actual_Fixed_Cost[[#This Row],[ProductID]])</f>
        <v>95</v>
      </c>
      <c r="AJ23">
        <f>SUMIFS(Product_Fixed_Allocation[2/1/2025],Product_Fixed_Allocation[ProductID],Product_CustomerSegment_Monthly_Actual_Fixed_Cost[[#This Row],[ProductID]])</f>
        <v>95</v>
      </c>
      <c r="AK23">
        <f>SUMIFS(Product_Fixed_Allocation[3/1/2025],Product_Fixed_Allocation[ProductID],Product_CustomerSegment_Monthly_Actual_Fixed_Cost[[#This Row],[ProductID]])</f>
        <v>95</v>
      </c>
      <c r="AL23">
        <f>SUMIFS(Product_Fixed_Allocation[4/1/2025],Product_Fixed_Allocation[ProductID],Product_CustomerSegment_Monthly_Actual_Fixed_Cost[[#This Row],[ProductID]])</f>
        <v>95</v>
      </c>
      <c r="AM23">
        <f>SUMIFS(Product_Fixed_Allocation[5/1/2025],Product_Fixed_Allocation[ProductID],Product_CustomerSegment_Monthly_Actual_Fixed_Cost[[#This Row],[ProductID]])</f>
        <v>95</v>
      </c>
      <c r="AN23">
        <f>SUMIFS(Product_Fixed_Allocation[6/1/2025],Product_Fixed_Allocation[ProductID],Product_CustomerSegment_Monthly_Actual_Fixed_Cost[[#This Row],[ProductID]])</f>
        <v>95</v>
      </c>
      <c r="AO23">
        <f>SUM(Product_CustomerSegment_Monthly_Actual_Fixed_Cost[[#This Row],[25-Jan]:[25-Jun]])</f>
        <v>570</v>
      </c>
      <c r="AR23" t="s">
        <v>101</v>
      </c>
      <c r="AS23" t="s">
        <v>36</v>
      </c>
      <c r="AT23">
        <f>Product_CustomerSegment_Monthly_Actual_Fixed_Cost[[#This Row],[25-Jan]]*Product_Segment_Monthly_Quantity[[#This Row],[1/1/2025]]</f>
        <v>285</v>
      </c>
      <c r="AU23">
        <f>Product_CustomerSegment_Monthly_Actual_Fixed_Cost[[#This Row],[25-Feb]]*Product_Segment_Monthly_Quantity[[#This Row],[2/1/2025]]</f>
        <v>0</v>
      </c>
      <c r="AV23">
        <f>Product_CustomerSegment_Monthly_Actual_Fixed_Cost[[#This Row],[25-Mar]]*Product_Segment_Monthly_Quantity[[#This Row],[3/1/2025]]</f>
        <v>95</v>
      </c>
      <c r="AW23">
        <f>Product_CustomerSegment_Monthly_Actual_Fixed_Cost[[#This Row],[25-Apr]]*Product_Segment_Monthly_Quantity[[#This Row],[4/1/2025]]</f>
        <v>190</v>
      </c>
      <c r="AX23">
        <f>Product_CustomerSegment_Monthly_Actual_Fixed_Cost[[#This Row],[25-May]]*Product_Segment_Monthly_Quantity[[#This Row],[5/1/2025]]</f>
        <v>285</v>
      </c>
      <c r="AY23">
        <f>Product_CustomerSegment_Monthly_Actual_Fixed_Cost[[#This Row],[25-Jun]]*Product_Segment_Monthly_Quantity[[#This Row],[6/1/2025]]</f>
        <v>190</v>
      </c>
      <c r="AZ23">
        <f>SUM(Product_CustomerSegment_Monthly_Fixed_Cost_Amount[[#This Row],[25-Jan]:[25-Jun]])</f>
        <v>1045</v>
      </c>
      <c r="BC23" t="s">
        <v>101</v>
      </c>
      <c r="BD23" t="s">
        <v>36</v>
      </c>
      <c r="BE23">
        <f>Product_CustomerSegment_Monthly_Fixed_Cost_Amount[[#This Row],[25-Jan]]+Product_CustomerSegment_Monthly_Variable_Cost_Amount[[#This Row],[25-Jan]]</f>
        <v>1509.33</v>
      </c>
      <c r="BF23">
        <f>Product_CustomerSegment_Monthly_Fixed_Cost_Amount[[#This Row],[25-Feb]]+Product_CustomerSegment_Monthly_Variable_Cost_Amount[[#This Row],[25-Feb]]</f>
        <v>0</v>
      </c>
      <c r="BG23">
        <f>Product_CustomerSegment_Monthly_Fixed_Cost_Amount[[#This Row],[25-Mar]]+Product_CustomerSegment_Monthly_Variable_Cost_Amount[[#This Row],[25-Mar]]</f>
        <v>531.29</v>
      </c>
      <c r="BH23">
        <f>Product_CustomerSegment_Monthly_Fixed_Cost_Amount[[#This Row],[25-Apr]]+Product_CustomerSegment_Monthly_Variable_Cost_Amount[[#This Row],[25-Apr]]</f>
        <v>1076.6199999999999</v>
      </c>
      <c r="BI23">
        <f>Product_CustomerSegment_Monthly_Fixed_Cost_Amount[[#This Row],[25-May]]+Product_CustomerSegment_Monthly_Variable_Cost_Amount[[#This Row],[25-May]]</f>
        <v>1606.6200000000001</v>
      </c>
      <c r="BJ23">
        <f>Product_CustomerSegment_Monthly_Fixed_Cost_Amount[[#This Row],[25-Jun]]+Product_CustomerSegment_Monthly_Variable_Cost_Amount[[#This Row],[25-Jun]]</f>
        <v>1011.42</v>
      </c>
      <c r="BK23">
        <f>SUM(Product_CustomerSegment_Monthly_COGS[[#This Row],[25-Jan]:[25-Jun]])</f>
        <v>5735.28</v>
      </c>
    </row>
    <row r="24" spans="1:63">
      <c r="A24" t="s">
        <v>101</v>
      </c>
      <c r="B24" t="s">
        <v>48</v>
      </c>
      <c r="C2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2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2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2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2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2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24">
        <f>SUM(Product_Segment_Monthly_Quantity[[#This Row],[1/1/2025]:[6/1/2025]])</f>
        <v>3</v>
      </c>
      <c r="L24" t="s">
        <v>101</v>
      </c>
      <c r="M24" t="s">
        <v>48</v>
      </c>
      <c r="N24">
        <f>SUMIFS(Table21[1/1/2025],Table21[ProductID],Product_CustomerSegment_Monthly_Variable_Cost[[#This Row],[ProductID]])</f>
        <v>408.11</v>
      </c>
      <c r="O24">
        <f>SUMIFS(Table21[2/1/2025],Table21[ProductID],Product_CustomerSegment_Monthly_Variable_Cost[[#This Row],[ProductID]])</f>
        <v>432.84</v>
      </c>
      <c r="P24">
        <f>SUMIFS(Table21[3/1/2025],Table21[ProductID],Product_CustomerSegment_Monthly_Variable_Cost[[#This Row],[ProductID]])</f>
        <v>436.29</v>
      </c>
      <c r="Q24">
        <f>SUMIFS(Table21[4/1/2025],Table21[ProductID],Product_CustomerSegment_Monthly_Variable_Cost[[#This Row],[ProductID]])</f>
        <v>443.31</v>
      </c>
      <c r="R24">
        <f>SUMIFS(Table21[5/1/2025],Table21[ProductID],Product_CustomerSegment_Monthly_Variable_Cost[[#This Row],[ProductID]])</f>
        <v>440.54</v>
      </c>
      <c r="S24">
        <f>SUMIFS(Table21[6/1/2025],Table21[ProductID],Product_CustomerSegment_Monthly_Variable_Cost[[#This Row],[ProductID]])</f>
        <v>410.71</v>
      </c>
      <c r="V24" t="s">
        <v>101</v>
      </c>
      <c r="W24" t="s">
        <v>48</v>
      </c>
      <c r="X24">
        <f>Product_CustomerSegment_Monthly_Variable_Cost[[#This Row],[25-Jan]]*Product_Segment_Monthly_Quantity[[#This Row],[1/1/2025]]</f>
        <v>408.11</v>
      </c>
      <c r="Y24">
        <f>Product_CustomerSegment_Monthly_Variable_Cost[[#This Row],[25-Feb]]*Product_Segment_Monthly_Quantity[[#This Row],[2/1/2025]]</f>
        <v>0</v>
      </c>
      <c r="Z24">
        <f>Product_CustomerSegment_Monthly_Variable_Cost[[#This Row],[25-Mar]]*Product_Segment_Monthly_Quantity[[#This Row],[3/1/2025]]</f>
        <v>0</v>
      </c>
      <c r="AA24">
        <f>Product_CustomerSegment_Monthly_Variable_Cost[[#This Row],[25-Apr]]*Product_Segment_Monthly_Quantity[[#This Row],[4/1/2025]]</f>
        <v>0</v>
      </c>
      <c r="AB24">
        <f>Product_CustomerSegment_Monthly_Variable_Cost[[#This Row],[25-May]]*Product_Segment_Monthly_Quantity[[#This Row],[5/1/2025]]</f>
        <v>881.08</v>
      </c>
      <c r="AC24">
        <f>Product_CustomerSegment_Monthly_Variable_Cost[[#This Row],[25-Jun]]*Product_Segment_Monthly_Quantity[[#This Row],[6/1/2025]]</f>
        <v>0</v>
      </c>
      <c r="AD24">
        <f>SUM(Product_CustomerSegment_Monthly_Variable_Cost_Amount[[#This Row],[25-Jan]:[25-Jun]])</f>
        <v>1289.19</v>
      </c>
      <c r="AG24" t="s">
        <v>101</v>
      </c>
      <c r="AH24" t="s">
        <v>48</v>
      </c>
      <c r="AI24">
        <f>SUMIFS(Product_Fixed_Allocation[1/1/2025],Product_Fixed_Allocation[ProductID],Product_CustomerSegment_Monthly_Actual_Fixed_Cost[[#This Row],[ProductID]])</f>
        <v>95</v>
      </c>
      <c r="AJ24">
        <f>SUMIFS(Product_Fixed_Allocation[2/1/2025],Product_Fixed_Allocation[ProductID],Product_CustomerSegment_Monthly_Actual_Fixed_Cost[[#This Row],[ProductID]])</f>
        <v>95</v>
      </c>
      <c r="AK24">
        <f>SUMIFS(Product_Fixed_Allocation[3/1/2025],Product_Fixed_Allocation[ProductID],Product_CustomerSegment_Monthly_Actual_Fixed_Cost[[#This Row],[ProductID]])</f>
        <v>95</v>
      </c>
      <c r="AL24">
        <f>SUMIFS(Product_Fixed_Allocation[4/1/2025],Product_Fixed_Allocation[ProductID],Product_CustomerSegment_Monthly_Actual_Fixed_Cost[[#This Row],[ProductID]])</f>
        <v>95</v>
      </c>
      <c r="AM24">
        <f>SUMIFS(Product_Fixed_Allocation[5/1/2025],Product_Fixed_Allocation[ProductID],Product_CustomerSegment_Monthly_Actual_Fixed_Cost[[#This Row],[ProductID]])</f>
        <v>95</v>
      </c>
      <c r="AN24">
        <f>SUMIFS(Product_Fixed_Allocation[6/1/2025],Product_Fixed_Allocation[ProductID],Product_CustomerSegment_Monthly_Actual_Fixed_Cost[[#This Row],[ProductID]])</f>
        <v>95</v>
      </c>
      <c r="AO24">
        <f>SUM(Product_CustomerSegment_Monthly_Actual_Fixed_Cost[[#This Row],[25-Jan]:[25-Jun]])</f>
        <v>570</v>
      </c>
      <c r="AR24" t="s">
        <v>101</v>
      </c>
      <c r="AS24" t="s">
        <v>48</v>
      </c>
      <c r="AT24">
        <f>Product_CustomerSegment_Monthly_Actual_Fixed_Cost[[#This Row],[25-Jan]]*Product_Segment_Monthly_Quantity[[#This Row],[1/1/2025]]</f>
        <v>95</v>
      </c>
      <c r="AU24">
        <f>Product_CustomerSegment_Monthly_Actual_Fixed_Cost[[#This Row],[25-Feb]]*Product_Segment_Monthly_Quantity[[#This Row],[2/1/2025]]</f>
        <v>0</v>
      </c>
      <c r="AV24">
        <f>Product_CustomerSegment_Monthly_Actual_Fixed_Cost[[#This Row],[25-Mar]]*Product_Segment_Monthly_Quantity[[#This Row],[3/1/2025]]</f>
        <v>0</v>
      </c>
      <c r="AW24">
        <f>Product_CustomerSegment_Monthly_Actual_Fixed_Cost[[#This Row],[25-Apr]]*Product_Segment_Monthly_Quantity[[#This Row],[4/1/2025]]</f>
        <v>0</v>
      </c>
      <c r="AX24">
        <f>Product_CustomerSegment_Monthly_Actual_Fixed_Cost[[#This Row],[25-May]]*Product_Segment_Monthly_Quantity[[#This Row],[5/1/2025]]</f>
        <v>190</v>
      </c>
      <c r="AY24">
        <f>Product_CustomerSegment_Monthly_Actual_Fixed_Cost[[#This Row],[25-Jun]]*Product_Segment_Monthly_Quantity[[#This Row],[6/1/2025]]</f>
        <v>0</v>
      </c>
      <c r="AZ24">
        <f>SUM(Product_CustomerSegment_Monthly_Fixed_Cost_Amount[[#This Row],[25-Jan]:[25-Jun]])</f>
        <v>285</v>
      </c>
      <c r="BC24" t="s">
        <v>101</v>
      </c>
      <c r="BD24" t="s">
        <v>48</v>
      </c>
      <c r="BE24">
        <f>Product_CustomerSegment_Monthly_Fixed_Cost_Amount[[#This Row],[25-Jan]]+Product_CustomerSegment_Monthly_Variable_Cost_Amount[[#This Row],[25-Jan]]</f>
        <v>503.11</v>
      </c>
      <c r="BF24">
        <f>Product_CustomerSegment_Monthly_Fixed_Cost_Amount[[#This Row],[25-Feb]]+Product_CustomerSegment_Monthly_Variable_Cost_Amount[[#This Row],[25-Feb]]</f>
        <v>0</v>
      </c>
      <c r="BG24">
        <f>Product_CustomerSegment_Monthly_Fixed_Cost_Amount[[#This Row],[25-Mar]]+Product_CustomerSegment_Monthly_Variable_Cost_Amount[[#This Row],[25-Mar]]</f>
        <v>0</v>
      </c>
      <c r="BH24">
        <f>Product_CustomerSegment_Monthly_Fixed_Cost_Amount[[#This Row],[25-Apr]]+Product_CustomerSegment_Monthly_Variable_Cost_Amount[[#This Row],[25-Apr]]</f>
        <v>0</v>
      </c>
      <c r="BI24">
        <f>Product_CustomerSegment_Monthly_Fixed_Cost_Amount[[#This Row],[25-May]]+Product_CustomerSegment_Monthly_Variable_Cost_Amount[[#This Row],[25-May]]</f>
        <v>1071.08</v>
      </c>
      <c r="BJ24">
        <f>Product_CustomerSegment_Monthly_Fixed_Cost_Amount[[#This Row],[25-Jun]]+Product_CustomerSegment_Monthly_Variable_Cost_Amount[[#This Row],[25-Jun]]</f>
        <v>0</v>
      </c>
      <c r="BK24">
        <f>SUM(Product_CustomerSegment_Monthly_COGS[[#This Row],[25-Jan]:[25-Jun]])</f>
        <v>1574.19</v>
      </c>
    </row>
    <row r="25" spans="1:63">
      <c r="A25" t="s">
        <v>101</v>
      </c>
      <c r="B25" t="s">
        <v>59</v>
      </c>
      <c r="C2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2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2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2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2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2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25">
        <f>SUM(Product_Segment_Monthly_Quantity[[#This Row],[1/1/2025]:[6/1/2025]])</f>
        <v>4</v>
      </c>
      <c r="L25" t="s">
        <v>101</v>
      </c>
      <c r="M25" t="s">
        <v>59</v>
      </c>
      <c r="N25">
        <f>SUMIFS(Table21[1/1/2025],Table21[ProductID],Product_CustomerSegment_Monthly_Variable_Cost[[#This Row],[ProductID]])</f>
        <v>408.11</v>
      </c>
      <c r="O25">
        <f>SUMIFS(Table21[2/1/2025],Table21[ProductID],Product_CustomerSegment_Monthly_Variable_Cost[[#This Row],[ProductID]])</f>
        <v>432.84</v>
      </c>
      <c r="P25">
        <f>SUMIFS(Table21[3/1/2025],Table21[ProductID],Product_CustomerSegment_Monthly_Variable_Cost[[#This Row],[ProductID]])</f>
        <v>436.29</v>
      </c>
      <c r="Q25">
        <f>SUMIFS(Table21[4/1/2025],Table21[ProductID],Product_CustomerSegment_Monthly_Variable_Cost[[#This Row],[ProductID]])</f>
        <v>443.31</v>
      </c>
      <c r="R25">
        <f>SUMIFS(Table21[5/1/2025],Table21[ProductID],Product_CustomerSegment_Monthly_Variable_Cost[[#This Row],[ProductID]])</f>
        <v>440.54</v>
      </c>
      <c r="S25">
        <f>SUMIFS(Table21[6/1/2025],Table21[ProductID],Product_CustomerSegment_Monthly_Variable_Cost[[#This Row],[ProductID]])</f>
        <v>410.71</v>
      </c>
      <c r="V25" t="s">
        <v>101</v>
      </c>
      <c r="W25" t="s">
        <v>59</v>
      </c>
      <c r="X25">
        <f>Product_CustomerSegment_Monthly_Variable_Cost[[#This Row],[25-Jan]]*Product_Segment_Monthly_Quantity[[#This Row],[1/1/2025]]</f>
        <v>0</v>
      </c>
      <c r="Y25">
        <f>Product_CustomerSegment_Monthly_Variable_Cost[[#This Row],[25-Feb]]*Product_Segment_Monthly_Quantity[[#This Row],[2/1/2025]]</f>
        <v>0</v>
      </c>
      <c r="Z25">
        <f>Product_CustomerSegment_Monthly_Variable_Cost[[#This Row],[25-Mar]]*Product_Segment_Monthly_Quantity[[#This Row],[3/1/2025]]</f>
        <v>0</v>
      </c>
      <c r="AA25">
        <f>Product_CustomerSegment_Monthly_Variable_Cost[[#This Row],[25-Apr]]*Product_Segment_Monthly_Quantity[[#This Row],[4/1/2025]]</f>
        <v>886.62</v>
      </c>
      <c r="AB25">
        <f>Product_CustomerSegment_Monthly_Variable_Cost[[#This Row],[25-May]]*Product_Segment_Monthly_Quantity[[#This Row],[5/1/2025]]</f>
        <v>440.54</v>
      </c>
      <c r="AC25">
        <f>Product_CustomerSegment_Monthly_Variable_Cost[[#This Row],[25-Jun]]*Product_Segment_Monthly_Quantity[[#This Row],[6/1/2025]]</f>
        <v>410.71</v>
      </c>
      <c r="AD25">
        <f>SUM(Product_CustomerSegment_Monthly_Variable_Cost_Amount[[#This Row],[25-Jan]:[25-Jun]])</f>
        <v>1737.8700000000001</v>
      </c>
      <c r="AG25" t="s">
        <v>101</v>
      </c>
      <c r="AH25" t="s">
        <v>59</v>
      </c>
      <c r="AI25">
        <f>SUMIFS(Product_Fixed_Allocation[1/1/2025],Product_Fixed_Allocation[ProductID],Product_CustomerSegment_Monthly_Actual_Fixed_Cost[[#This Row],[ProductID]])</f>
        <v>95</v>
      </c>
      <c r="AJ25">
        <f>SUMIFS(Product_Fixed_Allocation[2/1/2025],Product_Fixed_Allocation[ProductID],Product_CustomerSegment_Monthly_Actual_Fixed_Cost[[#This Row],[ProductID]])</f>
        <v>95</v>
      </c>
      <c r="AK25">
        <f>SUMIFS(Product_Fixed_Allocation[3/1/2025],Product_Fixed_Allocation[ProductID],Product_CustomerSegment_Monthly_Actual_Fixed_Cost[[#This Row],[ProductID]])</f>
        <v>95</v>
      </c>
      <c r="AL25">
        <f>SUMIFS(Product_Fixed_Allocation[4/1/2025],Product_Fixed_Allocation[ProductID],Product_CustomerSegment_Monthly_Actual_Fixed_Cost[[#This Row],[ProductID]])</f>
        <v>95</v>
      </c>
      <c r="AM25">
        <f>SUMIFS(Product_Fixed_Allocation[5/1/2025],Product_Fixed_Allocation[ProductID],Product_CustomerSegment_Monthly_Actual_Fixed_Cost[[#This Row],[ProductID]])</f>
        <v>95</v>
      </c>
      <c r="AN25">
        <f>SUMIFS(Product_Fixed_Allocation[6/1/2025],Product_Fixed_Allocation[ProductID],Product_CustomerSegment_Monthly_Actual_Fixed_Cost[[#This Row],[ProductID]])</f>
        <v>95</v>
      </c>
      <c r="AO25">
        <f>SUM(Product_CustomerSegment_Monthly_Actual_Fixed_Cost[[#This Row],[25-Jan]:[25-Jun]])</f>
        <v>570</v>
      </c>
      <c r="AR25" t="s">
        <v>101</v>
      </c>
      <c r="AS25" t="s">
        <v>59</v>
      </c>
      <c r="AT25">
        <f>Product_CustomerSegment_Monthly_Actual_Fixed_Cost[[#This Row],[25-Jan]]*Product_Segment_Monthly_Quantity[[#This Row],[1/1/2025]]</f>
        <v>0</v>
      </c>
      <c r="AU25">
        <f>Product_CustomerSegment_Monthly_Actual_Fixed_Cost[[#This Row],[25-Feb]]*Product_Segment_Monthly_Quantity[[#This Row],[2/1/2025]]</f>
        <v>0</v>
      </c>
      <c r="AV25">
        <f>Product_CustomerSegment_Monthly_Actual_Fixed_Cost[[#This Row],[25-Mar]]*Product_Segment_Monthly_Quantity[[#This Row],[3/1/2025]]</f>
        <v>0</v>
      </c>
      <c r="AW25">
        <f>Product_CustomerSegment_Monthly_Actual_Fixed_Cost[[#This Row],[25-Apr]]*Product_Segment_Monthly_Quantity[[#This Row],[4/1/2025]]</f>
        <v>190</v>
      </c>
      <c r="AX25">
        <f>Product_CustomerSegment_Monthly_Actual_Fixed_Cost[[#This Row],[25-May]]*Product_Segment_Monthly_Quantity[[#This Row],[5/1/2025]]</f>
        <v>95</v>
      </c>
      <c r="AY25">
        <f>Product_CustomerSegment_Monthly_Actual_Fixed_Cost[[#This Row],[25-Jun]]*Product_Segment_Monthly_Quantity[[#This Row],[6/1/2025]]</f>
        <v>95</v>
      </c>
      <c r="AZ25">
        <f>SUM(Product_CustomerSegment_Monthly_Fixed_Cost_Amount[[#This Row],[25-Jan]:[25-Jun]])</f>
        <v>380</v>
      </c>
      <c r="BC25" t="s">
        <v>101</v>
      </c>
      <c r="BD25" t="s">
        <v>59</v>
      </c>
      <c r="BE25">
        <f>Product_CustomerSegment_Monthly_Fixed_Cost_Amount[[#This Row],[25-Jan]]+Product_CustomerSegment_Monthly_Variable_Cost_Amount[[#This Row],[25-Jan]]</f>
        <v>0</v>
      </c>
      <c r="BF25">
        <f>Product_CustomerSegment_Monthly_Fixed_Cost_Amount[[#This Row],[25-Feb]]+Product_CustomerSegment_Monthly_Variable_Cost_Amount[[#This Row],[25-Feb]]</f>
        <v>0</v>
      </c>
      <c r="BG25">
        <f>Product_CustomerSegment_Monthly_Fixed_Cost_Amount[[#This Row],[25-Mar]]+Product_CustomerSegment_Monthly_Variable_Cost_Amount[[#This Row],[25-Mar]]</f>
        <v>0</v>
      </c>
      <c r="BH25">
        <f>Product_CustomerSegment_Monthly_Fixed_Cost_Amount[[#This Row],[25-Apr]]+Product_CustomerSegment_Monthly_Variable_Cost_Amount[[#This Row],[25-Apr]]</f>
        <v>1076.6199999999999</v>
      </c>
      <c r="BI25">
        <f>Product_CustomerSegment_Monthly_Fixed_Cost_Amount[[#This Row],[25-May]]+Product_CustomerSegment_Monthly_Variable_Cost_Amount[[#This Row],[25-May]]</f>
        <v>535.54</v>
      </c>
      <c r="BJ25">
        <f>Product_CustomerSegment_Monthly_Fixed_Cost_Amount[[#This Row],[25-Jun]]+Product_CustomerSegment_Monthly_Variable_Cost_Amount[[#This Row],[25-Jun]]</f>
        <v>505.71</v>
      </c>
      <c r="BK25">
        <f>SUM(Product_CustomerSegment_Monthly_COGS[[#This Row],[25-Jan]:[25-Jun]])</f>
        <v>2117.87</v>
      </c>
    </row>
    <row r="26" spans="1:63">
      <c r="A26" t="s">
        <v>101</v>
      </c>
      <c r="B26" t="s">
        <v>44</v>
      </c>
      <c r="C2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2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2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2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2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2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26">
        <f>SUM(Product_Segment_Monthly_Quantity[[#This Row],[1/1/2025]:[6/1/2025]])</f>
        <v>8</v>
      </c>
      <c r="L26" t="s">
        <v>101</v>
      </c>
      <c r="M26" t="s">
        <v>44</v>
      </c>
      <c r="N26">
        <f>SUMIFS(Table21[1/1/2025],Table21[ProductID],Product_CustomerSegment_Monthly_Variable_Cost[[#This Row],[ProductID]])</f>
        <v>408.11</v>
      </c>
      <c r="O26">
        <f>SUMIFS(Table21[2/1/2025],Table21[ProductID],Product_CustomerSegment_Monthly_Variable_Cost[[#This Row],[ProductID]])</f>
        <v>432.84</v>
      </c>
      <c r="P26">
        <f>SUMIFS(Table21[3/1/2025],Table21[ProductID],Product_CustomerSegment_Monthly_Variable_Cost[[#This Row],[ProductID]])</f>
        <v>436.29</v>
      </c>
      <c r="Q26">
        <f>SUMIFS(Table21[4/1/2025],Table21[ProductID],Product_CustomerSegment_Monthly_Variable_Cost[[#This Row],[ProductID]])</f>
        <v>443.31</v>
      </c>
      <c r="R26">
        <f>SUMIFS(Table21[5/1/2025],Table21[ProductID],Product_CustomerSegment_Monthly_Variable_Cost[[#This Row],[ProductID]])</f>
        <v>440.54</v>
      </c>
      <c r="S26">
        <f>SUMIFS(Table21[6/1/2025],Table21[ProductID],Product_CustomerSegment_Monthly_Variable_Cost[[#This Row],[ProductID]])</f>
        <v>410.71</v>
      </c>
      <c r="V26" t="s">
        <v>101</v>
      </c>
      <c r="W26" t="s">
        <v>44</v>
      </c>
      <c r="X26">
        <f>Product_CustomerSegment_Monthly_Variable_Cost[[#This Row],[25-Jan]]*Product_Segment_Monthly_Quantity[[#This Row],[1/1/2025]]</f>
        <v>0</v>
      </c>
      <c r="Y26">
        <f>Product_CustomerSegment_Monthly_Variable_Cost[[#This Row],[25-Feb]]*Product_Segment_Monthly_Quantity[[#This Row],[2/1/2025]]</f>
        <v>1298.52</v>
      </c>
      <c r="Z26">
        <f>Product_CustomerSegment_Monthly_Variable_Cost[[#This Row],[25-Mar]]*Product_Segment_Monthly_Quantity[[#This Row],[3/1/2025]]</f>
        <v>0</v>
      </c>
      <c r="AA26">
        <f>Product_CustomerSegment_Monthly_Variable_Cost[[#This Row],[25-Apr]]*Product_Segment_Monthly_Quantity[[#This Row],[4/1/2025]]</f>
        <v>886.62</v>
      </c>
      <c r="AB26">
        <f>Product_CustomerSegment_Monthly_Variable_Cost[[#This Row],[25-May]]*Product_Segment_Monthly_Quantity[[#This Row],[5/1/2025]]</f>
        <v>881.08</v>
      </c>
      <c r="AC26">
        <f>Product_CustomerSegment_Monthly_Variable_Cost[[#This Row],[25-Jun]]*Product_Segment_Monthly_Quantity[[#This Row],[6/1/2025]]</f>
        <v>410.71</v>
      </c>
      <c r="AD26">
        <f>SUM(Product_CustomerSegment_Monthly_Variable_Cost_Amount[[#This Row],[25-Jan]:[25-Jun]])</f>
        <v>3476.93</v>
      </c>
      <c r="AG26" t="s">
        <v>101</v>
      </c>
      <c r="AH26" t="s">
        <v>44</v>
      </c>
      <c r="AI26">
        <f>SUMIFS(Product_Fixed_Allocation[1/1/2025],Product_Fixed_Allocation[ProductID],Product_CustomerSegment_Monthly_Actual_Fixed_Cost[[#This Row],[ProductID]])</f>
        <v>95</v>
      </c>
      <c r="AJ26">
        <f>SUMIFS(Product_Fixed_Allocation[2/1/2025],Product_Fixed_Allocation[ProductID],Product_CustomerSegment_Monthly_Actual_Fixed_Cost[[#This Row],[ProductID]])</f>
        <v>95</v>
      </c>
      <c r="AK26">
        <f>SUMIFS(Product_Fixed_Allocation[3/1/2025],Product_Fixed_Allocation[ProductID],Product_CustomerSegment_Monthly_Actual_Fixed_Cost[[#This Row],[ProductID]])</f>
        <v>95</v>
      </c>
      <c r="AL26">
        <f>SUMIFS(Product_Fixed_Allocation[4/1/2025],Product_Fixed_Allocation[ProductID],Product_CustomerSegment_Monthly_Actual_Fixed_Cost[[#This Row],[ProductID]])</f>
        <v>95</v>
      </c>
      <c r="AM26">
        <f>SUMIFS(Product_Fixed_Allocation[5/1/2025],Product_Fixed_Allocation[ProductID],Product_CustomerSegment_Monthly_Actual_Fixed_Cost[[#This Row],[ProductID]])</f>
        <v>95</v>
      </c>
      <c r="AN26">
        <f>SUMIFS(Product_Fixed_Allocation[6/1/2025],Product_Fixed_Allocation[ProductID],Product_CustomerSegment_Monthly_Actual_Fixed_Cost[[#This Row],[ProductID]])</f>
        <v>95</v>
      </c>
      <c r="AO26">
        <f>SUM(Product_CustomerSegment_Monthly_Actual_Fixed_Cost[[#This Row],[25-Jan]:[25-Jun]])</f>
        <v>570</v>
      </c>
      <c r="AR26" t="s">
        <v>101</v>
      </c>
      <c r="AS26" t="s">
        <v>44</v>
      </c>
      <c r="AT26">
        <f>Product_CustomerSegment_Monthly_Actual_Fixed_Cost[[#This Row],[25-Jan]]*Product_Segment_Monthly_Quantity[[#This Row],[1/1/2025]]</f>
        <v>0</v>
      </c>
      <c r="AU26">
        <f>Product_CustomerSegment_Monthly_Actual_Fixed_Cost[[#This Row],[25-Feb]]*Product_Segment_Monthly_Quantity[[#This Row],[2/1/2025]]</f>
        <v>285</v>
      </c>
      <c r="AV26">
        <f>Product_CustomerSegment_Monthly_Actual_Fixed_Cost[[#This Row],[25-Mar]]*Product_Segment_Monthly_Quantity[[#This Row],[3/1/2025]]</f>
        <v>0</v>
      </c>
      <c r="AW26">
        <f>Product_CustomerSegment_Monthly_Actual_Fixed_Cost[[#This Row],[25-Apr]]*Product_Segment_Monthly_Quantity[[#This Row],[4/1/2025]]</f>
        <v>190</v>
      </c>
      <c r="AX26">
        <f>Product_CustomerSegment_Monthly_Actual_Fixed_Cost[[#This Row],[25-May]]*Product_Segment_Monthly_Quantity[[#This Row],[5/1/2025]]</f>
        <v>190</v>
      </c>
      <c r="AY26">
        <f>Product_CustomerSegment_Monthly_Actual_Fixed_Cost[[#This Row],[25-Jun]]*Product_Segment_Monthly_Quantity[[#This Row],[6/1/2025]]</f>
        <v>95</v>
      </c>
      <c r="AZ26">
        <f>SUM(Product_CustomerSegment_Monthly_Fixed_Cost_Amount[[#This Row],[25-Jan]:[25-Jun]])</f>
        <v>760</v>
      </c>
      <c r="BC26" t="s">
        <v>101</v>
      </c>
      <c r="BD26" t="s">
        <v>44</v>
      </c>
      <c r="BE26">
        <f>Product_CustomerSegment_Monthly_Fixed_Cost_Amount[[#This Row],[25-Jan]]+Product_CustomerSegment_Monthly_Variable_Cost_Amount[[#This Row],[25-Jan]]</f>
        <v>0</v>
      </c>
      <c r="BF26">
        <f>Product_CustomerSegment_Monthly_Fixed_Cost_Amount[[#This Row],[25-Feb]]+Product_CustomerSegment_Monthly_Variable_Cost_Amount[[#This Row],[25-Feb]]</f>
        <v>1583.52</v>
      </c>
      <c r="BG26">
        <f>Product_CustomerSegment_Monthly_Fixed_Cost_Amount[[#This Row],[25-Mar]]+Product_CustomerSegment_Monthly_Variable_Cost_Amount[[#This Row],[25-Mar]]</f>
        <v>0</v>
      </c>
      <c r="BH26">
        <f>Product_CustomerSegment_Monthly_Fixed_Cost_Amount[[#This Row],[25-Apr]]+Product_CustomerSegment_Monthly_Variable_Cost_Amount[[#This Row],[25-Apr]]</f>
        <v>1076.6199999999999</v>
      </c>
      <c r="BI26">
        <f>Product_CustomerSegment_Monthly_Fixed_Cost_Amount[[#This Row],[25-May]]+Product_CustomerSegment_Monthly_Variable_Cost_Amount[[#This Row],[25-May]]</f>
        <v>1071.08</v>
      </c>
      <c r="BJ26">
        <f>Product_CustomerSegment_Monthly_Fixed_Cost_Amount[[#This Row],[25-Jun]]+Product_CustomerSegment_Monthly_Variable_Cost_Amount[[#This Row],[25-Jun]]</f>
        <v>505.71</v>
      </c>
      <c r="BK26">
        <f>SUM(Product_CustomerSegment_Monthly_COGS[[#This Row],[25-Jan]:[25-Jun]])</f>
        <v>4236.9299999999994</v>
      </c>
    </row>
    <row r="27" spans="1:63">
      <c r="A27" t="s">
        <v>92</v>
      </c>
      <c r="B27" t="s">
        <v>28</v>
      </c>
      <c r="C2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2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2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2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2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2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27">
        <f>SUM(Product_Segment_Monthly_Quantity[[#This Row],[1/1/2025]:[6/1/2025]])</f>
        <v>3</v>
      </c>
      <c r="L27" t="s">
        <v>92</v>
      </c>
      <c r="M27" t="s">
        <v>28</v>
      </c>
      <c r="N27">
        <f>SUMIFS(Table21[1/1/2025],Table21[ProductID],Product_CustomerSegment_Monthly_Variable_Cost[[#This Row],[ProductID]])</f>
        <v>391.05</v>
      </c>
      <c r="O27">
        <f>SUMIFS(Table21[2/1/2025],Table21[ProductID],Product_CustomerSegment_Monthly_Variable_Cost[[#This Row],[ProductID]])</f>
        <v>384.2</v>
      </c>
      <c r="P27">
        <f>SUMIFS(Table21[3/1/2025],Table21[ProductID],Product_CustomerSegment_Monthly_Variable_Cost[[#This Row],[ProductID]])</f>
        <v>394.02</v>
      </c>
      <c r="Q27">
        <f>SUMIFS(Table21[4/1/2025],Table21[ProductID],Product_CustomerSegment_Monthly_Variable_Cost[[#This Row],[ProductID]])</f>
        <v>403.88</v>
      </c>
      <c r="R27">
        <f>SUMIFS(Table21[5/1/2025],Table21[ProductID],Product_CustomerSegment_Monthly_Variable_Cost[[#This Row],[ProductID]])</f>
        <v>396.34</v>
      </c>
      <c r="S27">
        <f>SUMIFS(Table21[6/1/2025],Table21[ProductID],Product_CustomerSegment_Monthly_Variable_Cost[[#This Row],[ProductID]])</f>
        <v>380.07</v>
      </c>
      <c r="V27" t="s">
        <v>92</v>
      </c>
      <c r="W27" t="s">
        <v>28</v>
      </c>
      <c r="X27">
        <f>Product_CustomerSegment_Monthly_Variable_Cost[[#This Row],[25-Jan]]*Product_Segment_Monthly_Quantity[[#This Row],[1/1/2025]]</f>
        <v>391.05</v>
      </c>
      <c r="Y27">
        <f>Product_CustomerSegment_Monthly_Variable_Cost[[#This Row],[25-Feb]]*Product_Segment_Monthly_Quantity[[#This Row],[2/1/2025]]</f>
        <v>384.2</v>
      </c>
      <c r="Z27">
        <f>Product_CustomerSegment_Monthly_Variable_Cost[[#This Row],[25-Mar]]*Product_Segment_Monthly_Quantity[[#This Row],[3/1/2025]]</f>
        <v>394.02</v>
      </c>
      <c r="AA27">
        <f>Product_CustomerSegment_Monthly_Variable_Cost[[#This Row],[25-Apr]]*Product_Segment_Monthly_Quantity[[#This Row],[4/1/2025]]</f>
        <v>0</v>
      </c>
      <c r="AB27">
        <f>Product_CustomerSegment_Monthly_Variable_Cost[[#This Row],[25-May]]*Product_Segment_Monthly_Quantity[[#This Row],[5/1/2025]]</f>
        <v>0</v>
      </c>
      <c r="AC27">
        <f>Product_CustomerSegment_Monthly_Variable_Cost[[#This Row],[25-Jun]]*Product_Segment_Monthly_Quantity[[#This Row],[6/1/2025]]</f>
        <v>0</v>
      </c>
      <c r="AD27">
        <f>SUM(Product_CustomerSegment_Monthly_Variable_Cost_Amount[[#This Row],[25-Jan]:[25-Jun]])</f>
        <v>1169.27</v>
      </c>
      <c r="AG27" t="s">
        <v>92</v>
      </c>
      <c r="AH27" t="s">
        <v>28</v>
      </c>
      <c r="AI27">
        <f>SUMIFS(Product_Fixed_Allocation[1/1/2025],Product_Fixed_Allocation[ProductID],Product_CustomerSegment_Monthly_Actual_Fixed_Cost[[#This Row],[ProductID]])</f>
        <v>175</v>
      </c>
      <c r="AJ27">
        <f>SUMIFS(Product_Fixed_Allocation[2/1/2025],Product_Fixed_Allocation[ProductID],Product_CustomerSegment_Monthly_Actual_Fixed_Cost[[#This Row],[ProductID]])</f>
        <v>175</v>
      </c>
      <c r="AK27">
        <f>SUMIFS(Product_Fixed_Allocation[3/1/2025],Product_Fixed_Allocation[ProductID],Product_CustomerSegment_Monthly_Actual_Fixed_Cost[[#This Row],[ProductID]])</f>
        <v>175</v>
      </c>
      <c r="AL27">
        <f>SUMIFS(Product_Fixed_Allocation[4/1/2025],Product_Fixed_Allocation[ProductID],Product_CustomerSegment_Monthly_Actual_Fixed_Cost[[#This Row],[ProductID]])</f>
        <v>175</v>
      </c>
      <c r="AM27">
        <f>SUMIFS(Product_Fixed_Allocation[5/1/2025],Product_Fixed_Allocation[ProductID],Product_CustomerSegment_Monthly_Actual_Fixed_Cost[[#This Row],[ProductID]])</f>
        <v>175</v>
      </c>
      <c r="AN27">
        <f>SUMIFS(Product_Fixed_Allocation[6/1/2025],Product_Fixed_Allocation[ProductID],Product_CustomerSegment_Monthly_Actual_Fixed_Cost[[#This Row],[ProductID]])</f>
        <v>175</v>
      </c>
      <c r="AO27">
        <f>SUM(Product_CustomerSegment_Monthly_Actual_Fixed_Cost[[#This Row],[25-Jan]:[25-Jun]])</f>
        <v>1050</v>
      </c>
      <c r="AR27" t="s">
        <v>92</v>
      </c>
      <c r="AS27" t="s">
        <v>28</v>
      </c>
      <c r="AT27">
        <f>Product_CustomerSegment_Monthly_Actual_Fixed_Cost[[#This Row],[25-Jan]]*Product_Segment_Monthly_Quantity[[#This Row],[1/1/2025]]</f>
        <v>175</v>
      </c>
      <c r="AU27">
        <f>Product_CustomerSegment_Monthly_Actual_Fixed_Cost[[#This Row],[25-Feb]]*Product_Segment_Monthly_Quantity[[#This Row],[2/1/2025]]</f>
        <v>175</v>
      </c>
      <c r="AV27">
        <f>Product_CustomerSegment_Monthly_Actual_Fixed_Cost[[#This Row],[25-Mar]]*Product_Segment_Monthly_Quantity[[#This Row],[3/1/2025]]</f>
        <v>175</v>
      </c>
      <c r="AW27">
        <f>Product_CustomerSegment_Monthly_Actual_Fixed_Cost[[#This Row],[25-Apr]]*Product_Segment_Monthly_Quantity[[#This Row],[4/1/2025]]</f>
        <v>0</v>
      </c>
      <c r="AX27">
        <f>Product_CustomerSegment_Monthly_Actual_Fixed_Cost[[#This Row],[25-May]]*Product_Segment_Monthly_Quantity[[#This Row],[5/1/2025]]</f>
        <v>0</v>
      </c>
      <c r="AY27">
        <f>Product_CustomerSegment_Monthly_Actual_Fixed_Cost[[#This Row],[25-Jun]]*Product_Segment_Monthly_Quantity[[#This Row],[6/1/2025]]</f>
        <v>0</v>
      </c>
      <c r="AZ27">
        <f>SUM(Product_CustomerSegment_Monthly_Fixed_Cost_Amount[[#This Row],[25-Jan]:[25-Jun]])</f>
        <v>525</v>
      </c>
      <c r="BC27" t="s">
        <v>92</v>
      </c>
      <c r="BD27" t="s">
        <v>28</v>
      </c>
      <c r="BE27">
        <f>Product_CustomerSegment_Monthly_Fixed_Cost_Amount[[#This Row],[25-Jan]]+Product_CustomerSegment_Monthly_Variable_Cost_Amount[[#This Row],[25-Jan]]</f>
        <v>566.04999999999995</v>
      </c>
      <c r="BF27">
        <f>Product_CustomerSegment_Monthly_Fixed_Cost_Amount[[#This Row],[25-Feb]]+Product_CustomerSegment_Monthly_Variable_Cost_Amount[[#This Row],[25-Feb]]</f>
        <v>559.20000000000005</v>
      </c>
      <c r="BG27">
        <f>Product_CustomerSegment_Monthly_Fixed_Cost_Amount[[#This Row],[25-Mar]]+Product_CustomerSegment_Monthly_Variable_Cost_Amount[[#This Row],[25-Mar]]</f>
        <v>569.02</v>
      </c>
      <c r="BH27">
        <f>Product_CustomerSegment_Monthly_Fixed_Cost_Amount[[#This Row],[25-Apr]]+Product_CustomerSegment_Monthly_Variable_Cost_Amount[[#This Row],[25-Apr]]</f>
        <v>0</v>
      </c>
      <c r="BI27">
        <f>Product_CustomerSegment_Monthly_Fixed_Cost_Amount[[#This Row],[25-May]]+Product_CustomerSegment_Monthly_Variable_Cost_Amount[[#This Row],[25-May]]</f>
        <v>0</v>
      </c>
      <c r="BJ27">
        <f>Product_CustomerSegment_Monthly_Fixed_Cost_Amount[[#This Row],[25-Jun]]+Product_CustomerSegment_Monthly_Variable_Cost_Amount[[#This Row],[25-Jun]]</f>
        <v>0</v>
      </c>
      <c r="BK27">
        <f>SUM(Product_CustomerSegment_Monthly_COGS[[#This Row],[25-Jan]:[25-Jun]])</f>
        <v>1694.27</v>
      </c>
    </row>
    <row r="28" spans="1:63">
      <c r="A28" t="s">
        <v>92</v>
      </c>
      <c r="B28" t="s">
        <v>36</v>
      </c>
      <c r="C2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2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2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2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2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2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28">
        <f>SUM(Product_Segment_Monthly_Quantity[[#This Row],[1/1/2025]:[6/1/2025]])</f>
        <v>9</v>
      </c>
      <c r="L28" t="s">
        <v>92</v>
      </c>
      <c r="M28" t="s">
        <v>36</v>
      </c>
      <c r="N28">
        <f>SUMIFS(Table21[1/1/2025],Table21[ProductID],Product_CustomerSegment_Monthly_Variable_Cost[[#This Row],[ProductID]])</f>
        <v>391.05</v>
      </c>
      <c r="O28">
        <f>SUMIFS(Table21[2/1/2025],Table21[ProductID],Product_CustomerSegment_Monthly_Variable_Cost[[#This Row],[ProductID]])</f>
        <v>384.2</v>
      </c>
      <c r="P28">
        <f>SUMIFS(Table21[3/1/2025],Table21[ProductID],Product_CustomerSegment_Monthly_Variable_Cost[[#This Row],[ProductID]])</f>
        <v>394.02</v>
      </c>
      <c r="Q28">
        <f>SUMIFS(Table21[4/1/2025],Table21[ProductID],Product_CustomerSegment_Monthly_Variable_Cost[[#This Row],[ProductID]])</f>
        <v>403.88</v>
      </c>
      <c r="R28">
        <f>SUMIFS(Table21[5/1/2025],Table21[ProductID],Product_CustomerSegment_Monthly_Variable_Cost[[#This Row],[ProductID]])</f>
        <v>396.34</v>
      </c>
      <c r="S28">
        <f>SUMIFS(Table21[6/1/2025],Table21[ProductID],Product_CustomerSegment_Monthly_Variable_Cost[[#This Row],[ProductID]])</f>
        <v>380.07</v>
      </c>
      <c r="V28" t="s">
        <v>92</v>
      </c>
      <c r="W28" t="s">
        <v>36</v>
      </c>
      <c r="X28">
        <f>Product_CustomerSegment_Monthly_Variable_Cost[[#This Row],[25-Jan]]*Product_Segment_Monthly_Quantity[[#This Row],[1/1/2025]]</f>
        <v>391.05</v>
      </c>
      <c r="Y28">
        <f>Product_CustomerSegment_Monthly_Variable_Cost[[#This Row],[25-Feb]]*Product_Segment_Monthly_Quantity[[#This Row],[2/1/2025]]</f>
        <v>384.2</v>
      </c>
      <c r="Z28">
        <f>Product_CustomerSegment_Monthly_Variable_Cost[[#This Row],[25-Mar]]*Product_Segment_Monthly_Quantity[[#This Row],[3/1/2025]]</f>
        <v>1182.06</v>
      </c>
      <c r="AA28">
        <f>Product_CustomerSegment_Monthly_Variable_Cost[[#This Row],[25-Apr]]*Product_Segment_Monthly_Quantity[[#This Row],[4/1/2025]]</f>
        <v>403.88</v>
      </c>
      <c r="AB28">
        <f>Product_CustomerSegment_Monthly_Variable_Cost[[#This Row],[25-May]]*Product_Segment_Monthly_Quantity[[#This Row],[5/1/2025]]</f>
        <v>396.34</v>
      </c>
      <c r="AC28">
        <f>Product_CustomerSegment_Monthly_Variable_Cost[[#This Row],[25-Jun]]*Product_Segment_Monthly_Quantity[[#This Row],[6/1/2025]]</f>
        <v>760.14</v>
      </c>
      <c r="AD28">
        <f>SUM(Product_CustomerSegment_Monthly_Variable_Cost_Amount[[#This Row],[25-Jan]:[25-Jun]])</f>
        <v>3517.67</v>
      </c>
      <c r="AG28" t="s">
        <v>92</v>
      </c>
      <c r="AH28" t="s">
        <v>36</v>
      </c>
      <c r="AI28">
        <f>SUMIFS(Product_Fixed_Allocation[1/1/2025],Product_Fixed_Allocation[ProductID],Product_CustomerSegment_Monthly_Actual_Fixed_Cost[[#This Row],[ProductID]])</f>
        <v>175</v>
      </c>
      <c r="AJ28">
        <f>SUMIFS(Product_Fixed_Allocation[2/1/2025],Product_Fixed_Allocation[ProductID],Product_CustomerSegment_Monthly_Actual_Fixed_Cost[[#This Row],[ProductID]])</f>
        <v>175</v>
      </c>
      <c r="AK28">
        <f>SUMIFS(Product_Fixed_Allocation[3/1/2025],Product_Fixed_Allocation[ProductID],Product_CustomerSegment_Monthly_Actual_Fixed_Cost[[#This Row],[ProductID]])</f>
        <v>175</v>
      </c>
      <c r="AL28">
        <f>SUMIFS(Product_Fixed_Allocation[4/1/2025],Product_Fixed_Allocation[ProductID],Product_CustomerSegment_Monthly_Actual_Fixed_Cost[[#This Row],[ProductID]])</f>
        <v>175</v>
      </c>
      <c r="AM28">
        <f>SUMIFS(Product_Fixed_Allocation[5/1/2025],Product_Fixed_Allocation[ProductID],Product_CustomerSegment_Monthly_Actual_Fixed_Cost[[#This Row],[ProductID]])</f>
        <v>175</v>
      </c>
      <c r="AN28">
        <f>SUMIFS(Product_Fixed_Allocation[6/1/2025],Product_Fixed_Allocation[ProductID],Product_CustomerSegment_Monthly_Actual_Fixed_Cost[[#This Row],[ProductID]])</f>
        <v>175</v>
      </c>
      <c r="AO28">
        <f>SUM(Product_CustomerSegment_Monthly_Actual_Fixed_Cost[[#This Row],[25-Jan]:[25-Jun]])</f>
        <v>1050</v>
      </c>
      <c r="AR28" t="s">
        <v>92</v>
      </c>
      <c r="AS28" t="s">
        <v>36</v>
      </c>
      <c r="AT28">
        <f>Product_CustomerSegment_Monthly_Actual_Fixed_Cost[[#This Row],[25-Jan]]*Product_Segment_Monthly_Quantity[[#This Row],[1/1/2025]]</f>
        <v>175</v>
      </c>
      <c r="AU28">
        <f>Product_CustomerSegment_Monthly_Actual_Fixed_Cost[[#This Row],[25-Feb]]*Product_Segment_Monthly_Quantity[[#This Row],[2/1/2025]]</f>
        <v>175</v>
      </c>
      <c r="AV28">
        <f>Product_CustomerSegment_Monthly_Actual_Fixed_Cost[[#This Row],[25-Mar]]*Product_Segment_Monthly_Quantity[[#This Row],[3/1/2025]]</f>
        <v>525</v>
      </c>
      <c r="AW28">
        <f>Product_CustomerSegment_Monthly_Actual_Fixed_Cost[[#This Row],[25-Apr]]*Product_Segment_Monthly_Quantity[[#This Row],[4/1/2025]]</f>
        <v>175</v>
      </c>
      <c r="AX28">
        <f>Product_CustomerSegment_Monthly_Actual_Fixed_Cost[[#This Row],[25-May]]*Product_Segment_Monthly_Quantity[[#This Row],[5/1/2025]]</f>
        <v>175</v>
      </c>
      <c r="AY28">
        <f>Product_CustomerSegment_Monthly_Actual_Fixed_Cost[[#This Row],[25-Jun]]*Product_Segment_Monthly_Quantity[[#This Row],[6/1/2025]]</f>
        <v>350</v>
      </c>
      <c r="AZ28">
        <f>SUM(Product_CustomerSegment_Monthly_Fixed_Cost_Amount[[#This Row],[25-Jan]:[25-Jun]])</f>
        <v>1575</v>
      </c>
      <c r="BC28" t="s">
        <v>92</v>
      </c>
      <c r="BD28" t="s">
        <v>36</v>
      </c>
      <c r="BE28">
        <f>Product_CustomerSegment_Monthly_Fixed_Cost_Amount[[#This Row],[25-Jan]]+Product_CustomerSegment_Monthly_Variable_Cost_Amount[[#This Row],[25-Jan]]</f>
        <v>566.04999999999995</v>
      </c>
      <c r="BF28">
        <f>Product_CustomerSegment_Monthly_Fixed_Cost_Amount[[#This Row],[25-Feb]]+Product_CustomerSegment_Monthly_Variable_Cost_Amount[[#This Row],[25-Feb]]</f>
        <v>559.20000000000005</v>
      </c>
      <c r="BG28">
        <f>Product_CustomerSegment_Monthly_Fixed_Cost_Amount[[#This Row],[25-Mar]]+Product_CustomerSegment_Monthly_Variable_Cost_Amount[[#This Row],[25-Mar]]</f>
        <v>1707.06</v>
      </c>
      <c r="BH28">
        <f>Product_CustomerSegment_Monthly_Fixed_Cost_Amount[[#This Row],[25-Apr]]+Product_CustomerSegment_Monthly_Variable_Cost_Amount[[#This Row],[25-Apr]]</f>
        <v>578.88</v>
      </c>
      <c r="BI28">
        <f>Product_CustomerSegment_Monthly_Fixed_Cost_Amount[[#This Row],[25-May]]+Product_CustomerSegment_Monthly_Variable_Cost_Amount[[#This Row],[25-May]]</f>
        <v>571.33999999999992</v>
      </c>
      <c r="BJ28">
        <f>Product_CustomerSegment_Monthly_Fixed_Cost_Amount[[#This Row],[25-Jun]]+Product_CustomerSegment_Monthly_Variable_Cost_Amount[[#This Row],[25-Jun]]</f>
        <v>1110.1399999999999</v>
      </c>
      <c r="BK28">
        <f>SUM(Product_CustomerSegment_Monthly_COGS[[#This Row],[25-Jan]:[25-Jun]])</f>
        <v>5092.67</v>
      </c>
    </row>
    <row r="29" spans="1:63">
      <c r="A29" t="s">
        <v>92</v>
      </c>
      <c r="B29" t="s">
        <v>48</v>
      </c>
      <c r="C2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2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2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2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2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2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29">
        <f>SUM(Product_Segment_Monthly_Quantity[[#This Row],[1/1/2025]:[6/1/2025]])</f>
        <v>10</v>
      </c>
      <c r="L29" t="s">
        <v>92</v>
      </c>
      <c r="M29" t="s">
        <v>48</v>
      </c>
      <c r="N29">
        <f>SUMIFS(Table21[1/1/2025],Table21[ProductID],Product_CustomerSegment_Monthly_Variable_Cost[[#This Row],[ProductID]])</f>
        <v>391.05</v>
      </c>
      <c r="O29">
        <f>SUMIFS(Table21[2/1/2025],Table21[ProductID],Product_CustomerSegment_Monthly_Variable_Cost[[#This Row],[ProductID]])</f>
        <v>384.2</v>
      </c>
      <c r="P29">
        <f>SUMIFS(Table21[3/1/2025],Table21[ProductID],Product_CustomerSegment_Monthly_Variable_Cost[[#This Row],[ProductID]])</f>
        <v>394.02</v>
      </c>
      <c r="Q29">
        <f>SUMIFS(Table21[4/1/2025],Table21[ProductID],Product_CustomerSegment_Monthly_Variable_Cost[[#This Row],[ProductID]])</f>
        <v>403.88</v>
      </c>
      <c r="R29">
        <f>SUMIFS(Table21[5/1/2025],Table21[ProductID],Product_CustomerSegment_Monthly_Variable_Cost[[#This Row],[ProductID]])</f>
        <v>396.34</v>
      </c>
      <c r="S29">
        <f>SUMIFS(Table21[6/1/2025],Table21[ProductID],Product_CustomerSegment_Monthly_Variable_Cost[[#This Row],[ProductID]])</f>
        <v>380.07</v>
      </c>
      <c r="V29" t="s">
        <v>92</v>
      </c>
      <c r="W29" t="s">
        <v>48</v>
      </c>
      <c r="X29">
        <f>Product_CustomerSegment_Monthly_Variable_Cost[[#This Row],[25-Jan]]*Product_Segment_Monthly_Quantity[[#This Row],[1/1/2025]]</f>
        <v>1173.1500000000001</v>
      </c>
      <c r="Y29">
        <f>Product_CustomerSegment_Monthly_Variable_Cost[[#This Row],[25-Feb]]*Product_Segment_Monthly_Quantity[[#This Row],[2/1/2025]]</f>
        <v>1152.5999999999999</v>
      </c>
      <c r="Z29">
        <f>Product_CustomerSegment_Monthly_Variable_Cost[[#This Row],[25-Mar]]*Product_Segment_Monthly_Quantity[[#This Row],[3/1/2025]]</f>
        <v>394.02</v>
      </c>
      <c r="AA29">
        <f>Product_CustomerSegment_Monthly_Variable_Cost[[#This Row],[25-Apr]]*Product_Segment_Monthly_Quantity[[#This Row],[4/1/2025]]</f>
        <v>807.76</v>
      </c>
      <c r="AB29">
        <f>Product_CustomerSegment_Monthly_Variable_Cost[[#This Row],[25-May]]*Product_Segment_Monthly_Quantity[[#This Row],[5/1/2025]]</f>
        <v>0</v>
      </c>
      <c r="AC29">
        <f>Product_CustomerSegment_Monthly_Variable_Cost[[#This Row],[25-Jun]]*Product_Segment_Monthly_Quantity[[#This Row],[6/1/2025]]</f>
        <v>380.07</v>
      </c>
      <c r="AD29">
        <f>SUM(Product_CustomerSegment_Monthly_Variable_Cost_Amount[[#This Row],[25-Jan]:[25-Jun]])</f>
        <v>3907.6</v>
      </c>
      <c r="AG29" t="s">
        <v>92</v>
      </c>
      <c r="AH29" t="s">
        <v>48</v>
      </c>
      <c r="AI29">
        <f>SUMIFS(Product_Fixed_Allocation[1/1/2025],Product_Fixed_Allocation[ProductID],Product_CustomerSegment_Monthly_Actual_Fixed_Cost[[#This Row],[ProductID]])</f>
        <v>175</v>
      </c>
      <c r="AJ29">
        <f>SUMIFS(Product_Fixed_Allocation[2/1/2025],Product_Fixed_Allocation[ProductID],Product_CustomerSegment_Monthly_Actual_Fixed_Cost[[#This Row],[ProductID]])</f>
        <v>175</v>
      </c>
      <c r="AK29">
        <f>SUMIFS(Product_Fixed_Allocation[3/1/2025],Product_Fixed_Allocation[ProductID],Product_CustomerSegment_Monthly_Actual_Fixed_Cost[[#This Row],[ProductID]])</f>
        <v>175</v>
      </c>
      <c r="AL29">
        <f>SUMIFS(Product_Fixed_Allocation[4/1/2025],Product_Fixed_Allocation[ProductID],Product_CustomerSegment_Monthly_Actual_Fixed_Cost[[#This Row],[ProductID]])</f>
        <v>175</v>
      </c>
      <c r="AM29">
        <f>SUMIFS(Product_Fixed_Allocation[5/1/2025],Product_Fixed_Allocation[ProductID],Product_CustomerSegment_Monthly_Actual_Fixed_Cost[[#This Row],[ProductID]])</f>
        <v>175</v>
      </c>
      <c r="AN29">
        <f>SUMIFS(Product_Fixed_Allocation[6/1/2025],Product_Fixed_Allocation[ProductID],Product_CustomerSegment_Monthly_Actual_Fixed_Cost[[#This Row],[ProductID]])</f>
        <v>175</v>
      </c>
      <c r="AO29">
        <f>SUM(Product_CustomerSegment_Monthly_Actual_Fixed_Cost[[#This Row],[25-Jan]:[25-Jun]])</f>
        <v>1050</v>
      </c>
      <c r="AR29" t="s">
        <v>92</v>
      </c>
      <c r="AS29" t="s">
        <v>48</v>
      </c>
      <c r="AT29">
        <f>Product_CustomerSegment_Monthly_Actual_Fixed_Cost[[#This Row],[25-Jan]]*Product_Segment_Monthly_Quantity[[#This Row],[1/1/2025]]</f>
        <v>525</v>
      </c>
      <c r="AU29">
        <f>Product_CustomerSegment_Monthly_Actual_Fixed_Cost[[#This Row],[25-Feb]]*Product_Segment_Monthly_Quantity[[#This Row],[2/1/2025]]</f>
        <v>525</v>
      </c>
      <c r="AV29">
        <f>Product_CustomerSegment_Monthly_Actual_Fixed_Cost[[#This Row],[25-Mar]]*Product_Segment_Monthly_Quantity[[#This Row],[3/1/2025]]</f>
        <v>175</v>
      </c>
      <c r="AW29">
        <f>Product_CustomerSegment_Monthly_Actual_Fixed_Cost[[#This Row],[25-Apr]]*Product_Segment_Monthly_Quantity[[#This Row],[4/1/2025]]</f>
        <v>350</v>
      </c>
      <c r="AX29">
        <f>Product_CustomerSegment_Monthly_Actual_Fixed_Cost[[#This Row],[25-May]]*Product_Segment_Monthly_Quantity[[#This Row],[5/1/2025]]</f>
        <v>0</v>
      </c>
      <c r="AY29">
        <f>Product_CustomerSegment_Monthly_Actual_Fixed_Cost[[#This Row],[25-Jun]]*Product_Segment_Monthly_Quantity[[#This Row],[6/1/2025]]</f>
        <v>175</v>
      </c>
      <c r="AZ29">
        <f>SUM(Product_CustomerSegment_Monthly_Fixed_Cost_Amount[[#This Row],[25-Jan]:[25-Jun]])</f>
        <v>1750</v>
      </c>
      <c r="BC29" t="s">
        <v>92</v>
      </c>
      <c r="BD29" t="s">
        <v>48</v>
      </c>
      <c r="BE29">
        <f>Product_CustomerSegment_Monthly_Fixed_Cost_Amount[[#This Row],[25-Jan]]+Product_CustomerSegment_Monthly_Variable_Cost_Amount[[#This Row],[25-Jan]]</f>
        <v>1698.15</v>
      </c>
      <c r="BF29">
        <f>Product_CustomerSegment_Monthly_Fixed_Cost_Amount[[#This Row],[25-Feb]]+Product_CustomerSegment_Monthly_Variable_Cost_Amount[[#This Row],[25-Feb]]</f>
        <v>1677.6</v>
      </c>
      <c r="BG29">
        <f>Product_CustomerSegment_Monthly_Fixed_Cost_Amount[[#This Row],[25-Mar]]+Product_CustomerSegment_Monthly_Variable_Cost_Amount[[#This Row],[25-Mar]]</f>
        <v>569.02</v>
      </c>
      <c r="BH29">
        <f>Product_CustomerSegment_Monthly_Fixed_Cost_Amount[[#This Row],[25-Apr]]+Product_CustomerSegment_Monthly_Variable_Cost_Amount[[#This Row],[25-Apr]]</f>
        <v>1157.76</v>
      </c>
      <c r="BI29">
        <f>Product_CustomerSegment_Monthly_Fixed_Cost_Amount[[#This Row],[25-May]]+Product_CustomerSegment_Monthly_Variable_Cost_Amount[[#This Row],[25-May]]</f>
        <v>0</v>
      </c>
      <c r="BJ29">
        <f>Product_CustomerSegment_Monthly_Fixed_Cost_Amount[[#This Row],[25-Jun]]+Product_CustomerSegment_Monthly_Variable_Cost_Amount[[#This Row],[25-Jun]]</f>
        <v>555.06999999999994</v>
      </c>
      <c r="BK29">
        <f>SUM(Product_CustomerSegment_Monthly_COGS[[#This Row],[25-Jan]:[25-Jun]])</f>
        <v>5657.5999999999995</v>
      </c>
    </row>
    <row r="30" spans="1:63">
      <c r="A30" t="s">
        <v>92</v>
      </c>
      <c r="B30" t="s">
        <v>59</v>
      </c>
      <c r="C3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3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3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3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3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3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30">
        <f>SUM(Product_Segment_Monthly_Quantity[[#This Row],[1/1/2025]:[6/1/2025]])</f>
        <v>3</v>
      </c>
      <c r="L30" t="s">
        <v>92</v>
      </c>
      <c r="M30" t="s">
        <v>59</v>
      </c>
      <c r="N30">
        <f>SUMIFS(Table21[1/1/2025],Table21[ProductID],Product_CustomerSegment_Monthly_Variable_Cost[[#This Row],[ProductID]])</f>
        <v>391.05</v>
      </c>
      <c r="O30">
        <f>SUMIFS(Table21[2/1/2025],Table21[ProductID],Product_CustomerSegment_Monthly_Variable_Cost[[#This Row],[ProductID]])</f>
        <v>384.2</v>
      </c>
      <c r="P30">
        <f>SUMIFS(Table21[3/1/2025],Table21[ProductID],Product_CustomerSegment_Monthly_Variable_Cost[[#This Row],[ProductID]])</f>
        <v>394.02</v>
      </c>
      <c r="Q30">
        <f>SUMIFS(Table21[4/1/2025],Table21[ProductID],Product_CustomerSegment_Monthly_Variable_Cost[[#This Row],[ProductID]])</f>
        <v>403.88</v>
      </c>
      <c r="R30">
        <f>SUMIFS(Table21[5/1/2025],Table21[ProductID],Product_CustomerSegment_Monthly_Variable_Cost[[#This Row],[ProductID]])</f>
        <v>396.34</v>
      </c>
      <c r="S30">
        <f>SUMIFS(Table21[6/1/2025],Table21[ProductID],Product_CustomerSegment_Monthly_Variable_Cost[[#This Row],[ProductID]])</f>
        <v>380.07</v>
      </c>
      <c r="V30" t="s">
        <v>92</v>
      </c>
      <c r="W30" t="s">
        <v>59</v>
      </c>
      <c r="X30">
        <f>Product_CustomerSegment_Monthly_Variable_Cost[[#This Row],[25-Jan]]*Product_Segment_Monthly_Quantity[[#This Row],[1/1/2025]]</f>
        <v>391.05</v>
      </c>
      <c r="Y30">
        <f>Product_CustomerSegment_Monthly_Variable_Cost[[#This Row],[25-Feb]]*Product_Segment_Monthly_Quantity[[#This Row],[2/1/2025]]</f>
        <v>0</v>
      </c>
      <c r="Z30">
        <f>Product_CustomerSegment_Monthly_Variable_Cost[[#This Row],[25-Mar]]*Product_Segment_Monthly_Quantity[[#This Row],[3/1/2025]]</f>
        <v>394.02</v>
      </c>
      <c r="AA30">
        <f>Product_CustomerSegment_Monthly_Variable_Cost[[#This Row],[25-Apr]]*Product_Segment_Monthly_Quantity[[#This Row],[4/1/2025]]</f>
        <v>0</v>
      </c>
      <c r="AB30">
        <f>Product_CustomerSegment_Monthly_Variable_Cost[[#This Row],[25-May]]*Product_Segment_Monthly_Quantity[[#This Row],[5/1/2025]]</f>
        <v>0</v>
      </c>
      <c r="AC30">
        <f>Product_CustomerSegment_Monthly_Variable_Cost[[#This Row],[25-Jun]]*Product_Segment_Monthly_Quantity[[#This Row],[6/1/2025]]</f>
        <v>380.07</v>
      </c>
      <c r="AD30">
        <f>SUM(Product_CustomerSegment_Monthly_Variable_Cost_Amount[[#This Row],[25-Jan]:[25-Jun]])</f>
        <v>1165.1399999999999</v>
      </c>
      <c r="AG30" t="s">
        <v>92</v>
      </c>
      <c r="AH30" t="s">
        <v>59</v>
      </c>
      <c r="AI30">
        <f>SUMIFS(Product_Fixed_Allocation[1/1/2025],Product_Fixed_Allocation[ProductID],Product_CustomerSegment_Monthly_Actual_Fixed_Cost[[#This Row],[ProductID]])</f>
        <v>175</v>
      </c>
      <c r="AJ30">
        <f>SUMIFS(Product_Fixed_Allocation[2/1/2025],Product_Fixed_Allocation[ProductID],Product_CustomerSegment_Monthly_Actual_Fixed_Cost[[#This Row],[ProductID]])</f>
        <v>175</v>
      </c>
      <c r="AK30">
        <f>SUMIFS(Product_Fixed_Allocation[3/1/2025],Product_Fixed_Allocation[ProductID],Product_CustomerSegment_Monthly_Actual_Fixed_Cost[[#This Row],[ProductID]])</f>
        <v>175</v>
      </c>
      <c r="AL30">
        <f>SUMIFS(Product_Fixed_Allocation[4/1/2025],Product_Fixed_Allocation[ProductID],Product_CustomerSegment_Monthly_Actual_Fixed_Cost[[#This Row],[ProductID]])</f>
        <v>175</v>
      </c>
      <c r="AM30">
        <f>SUMIFS(Product_Fixed_Allocation[5/1/2025],Product_Fixed_Allocation[ProductID],Product_CustomerSegment_Monthly_Actual_Fixed_Cost[[#This Row],[ProductID]])</f>
        <v>175</v>
      </c>
      <c r="AN30">
        <f>SUMIFS(Product_Fixed_Allocation[6/1/2025],Product_Fixed_Allocation[ProductID],Product_CustomerSegment_Monthly_Actual_Fixed_Cost[[#This Row],[ProductID]])</f>
        <v>175</v>
      </c>
      <c r="AO30">
        <f>SUM(Product_CustomerSegment_Monthly_Actual_Fixed_Cost[[#This Row],[25-Jan]:[25-Jun]])</f>
        <v>1050</v>
      </c>
      <c r="AR30" t="s">
        <v>92</v>
      </c>
      <c r="AS30" t="s">
        <v>59</v>
      </c>
      <c r="AT30">
        <f>Product_CustomerSegment_Monthly_Actual_Fixed_Cost[[#This Row],[25-Jan]]*Product_Segment_Monthly_Quantity[[#This Row],[1/1/2025]]</f>
        <v>175</v>
      </c>
      <c r="AU30">
        <f>Product_CustomerSegment_Monthly_Actual_Fixed_Cost[[#This Row],[25-Feb]]*Product_Segment_Monthly_Quantity[[#This Row],[2/1/2025]]</f>
        <v>0</v>
      </c>
      <c r="AV30">
        <f>Product_CustomerSegment_Monthly_Actual_Fixed_Cost[[#This Row],[25-Mar]]*Product_Segment_Monthly_Quantity[[#This Row],[3/1/2025]]</f>
        <v>175</v>
      </c>
      <c r="AW30">
        <f>Product_CustomerSegment_Monthly_Actual_Fixed_Cost[[#This Row],[25-Apr]]*Product_Segment_Monthly_Quantity[[#This Row],[4/1/2025]]</f>
        <v>0</v>
      </c>
      <c r="AX30">
        <f>Product_CustomerSegment_Monthly_Actual_Fixed_Cost[[#This Row],[25-May]]*Product_Segment_Monthly_Quantity[[#This Row],[5/1/2025]]</f>
        <v>0</v>
      </c>
      <c r="AY30">
        <f>Product_CustomerSegment_Monthly_Actual_Fixed_Cost[[#This Row],[25-Jun]]*Product_Segment_Monthly_Quantity[[#This Row],[6/1/2025]]</f>
        <v>175</v>
      </c>
      <c r="AZ30">
        <f>SUM(Product_CustomerSegment_Monthly_Fixed_Cost_Amount[[#This Row],[25-Jan]:[25-Jun]])</f>
        <v>525</v>
      </c>
      <c r="BC30" t="s">
        <v>92</v>
      </c>
      <c r="BD30" t="s">
        <v>59</v>
      </c>
      <c r="BE30">
        <f>Product_CustomerSegment_Monthly_Fixed_Cost_Amount[[#This Row],[25-Jan]]+Product_CustomerSegment_Monthly_Variable_Cost_Amount[[#This Row],[25-Jan]]</f>
        <v>566.04999999999995</v>
      </c>
      <c r="BF30">
        <f>Product_CustomerSegment_Monthly_Fixed_Cost_Amount[[#This Row],[25-Feb]]+Product_CustomerSegment_Monthly_Variable_Cost_Amount[[#This Row],[25-Feb]]</f>
        <v>0</v>
      </c>
      <c r="BG30">
        <f>Product_CustomerSegment_Monthly_Fixed_Cost_Amount[[#This Row],[25-Mar]]+Product_CustomerSegment_Monthly_Variable_Cost_Amount[[#This Row],[25-Mar]]</f>
        <v>569.02</v>
      </c>
      <c r="BH30">
        <f>Product_CustomerSegment_Monthly_Fixed_Cost_Amount[[#This Row],[25-Apr]]+Product_CustomerSegment_Monthly_Variable_Cost_Amount[[#This Row],[25-Apr]]</f>
        <v>0</v>
      </c>
      <c r="BI30">
        <f>Product_CustomerSegment_Monthly_Fixed_Cost_Amount[[#This Row],[25-May]]+Product_CustomerSegment_Monthly_Variable_Cost_Amount[[#This Row],[25-May]]</f>
        <v>0</v>
      </c>
      <c r="BJ30">
        <f>Product_CustomerSegment_Monthly_Fixed_Cost_Amount[[#This Row],[25-Jun]]+Product_CustomerSegment_Monthly_Variable_Cost_Amount[[#This Row],[25-Jun]]</f>
        <v>555.06999999999994</v>
      </c>
      <c r="BK30">
        <f>SUM(Product_CustomerSegment_Monthly_COGS[[#This Row],[25-Jan]:[25-Jun]])</f>
        <v>1690.1399999999999</v>
      </c>
    </row>
    <row r="31" spans="1:63">
      <c r="A31" t="s">
        <v>92</v>
      </c>
      <c r="B31" t="s">
        <v>44</v>
      </c>
      <c r="C3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3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4</v>
      </c>
      <c r="E3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3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3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3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31">
        <f>SUM(Product_Segment_Monthly_Quantity[[#This Row],[1/1/2025]:[6/1/2025]])</f>
        <v>7</v>
      </c>
      <c r="L31" t="s">
        <v>92</v>
      </c>
      <c r="M31" t="s">
        <v>44</v>
      </c>
      <c r="N31">
        <f>SUMIFS(Table21[1/1/2025],Table21[ProductID],Product_CustomerSegment_Monthly_Variable_Cost[[#This Row],[ProductID]])</f>
        <v>391.05</v>
      </c>
      <c r="O31">
        <f>SUMIFS(Table21[2/1/2025],Table21[ProductID],Product_CustomerSegment_Monthly_Variable_Cost[[#This Row],[ProductID]])</f>
        <v>384.2</v>
      </c>
      <c r="P31">
        <f>SUMIFS(Table21[3/1/2025],Table21[ProductID],Product_CustomerSegment_Monthly_Variable_Cost[[#This Row],[ProductID]])</f>
        <v>394.02</v>
      </c>
      <c r="Q31">
        <f>SUMIFS(Table21[4/1/2025],Table21[ProductID],Product_CustomerSegment_Monthly_Variable_Cost[[#This Row],[ProductID]])</f>
        <v>403.88</v>
      </c>
      <c r="R31">
        <f>SUMIFS(Table21[5/1/2025],Table21[ProductID],Product_CustomerSegment_Monthly_Variable_Cost[[#This Row],[ProductID]])</f>
        <v>396.34</v>
      </c>
      <c r="S31">
        <f>SUMIFS(Table21[6/1/2025],Table21[ProductID],Product_CustomerSegment_Monthly_Variable_Cost[[#This Row],[ProductID]])</f>
        <v>380.07</v>
      </c>
      <c r="V31" t="s">
        <v>92</v>
      </c>
      <c r="W31" t="s">
        <v>44</v>
      </c>
      <c r="X31">
        <f>Product_CustomerSegment_Monthly_Variable_Cost[[#This Row],[25-Jan]]*Product_Segment_Monthly_Quantity[[#This Row],[1/1/2025]]</f>
        <v>0</v>
      </c>
      <c r="Y31">
        <f>Product_CustomerSegment_Monthly_Variable_Cost[[#This Row],[25-Feb]]*Product_Segment_Monthly_Quantity[[#This Row],[2/1/2025]]</f>
        <v>1536.8</v>
      </c>
      <c r="Z31">
        <f>Product_CustomerSegment_Monthly_Variable_Cost[[#This Row],[25-Mar]]*Product_Segment_Monthly_Quantity[[#This Row],[3/1/2025]]</f>
        <v>0</v>
      </c>
      <c r="AA31">
        <f>Product_CustomerSegment_Monthly_Variable_Cost[[#This Row],[25-Apr]]*Product_Segment_Monthly_Quantity[[#This Row],[4/1/2025]]</f>
        <v>403.88</v>
      </c>
      <c r="AB31">
        <f>Product_CustomerSegment_Monthly_Variable_Cost[[#This Row],[25-May]]*Product_Segment_Monthly_Quantity[[#This Row],[5/1/2025]]</f>
        <v>396.34</v>
      </c>
      <c r="AC31">
        <f>Product_CustomerSegment_Monthly_Variable_Cost[[#This Row],[25-Jun]]*Product_Segment_Monthly_Quantity[[#This Row],[6/1/2025]]</f>
        <v>380.07</v>
      </c>
      <c r="AD31">
        <f>SUM(Product_CustomerSegment_Monthly_Variable_Cost_Amount[[#This Row],[25-Jan]:[25-Jun]])</f>
        <v>2717.09</v>
      </c>
      <c r="AG31" t="s">
        <v>92</v>
      </c>
      <c r="AH31" t="s">
        <v>44</v>
      </c>
      <c r="AI31">
        <f>SUMIFS(Product_Fixed_Allocation[1/1/2025],Product_Fixed_Allocation[ProductID],Product_CustomerSegment_Monthly_Actual_Fixed_Cost[[#This Row],[ProductID]])</f>
        <v>175</v>
      </c>
      <c r="AJ31">
        <f>SUMIFS(Product_Fixed_Allocation[2/1/2025],Product_Fixed_Allocation[ProductID],Product_CustomerSegment_Monthly_Actual_Fixed_Cost[[#This Row],[ProductID]])</f>
        <v>175</v>
      </c>
      <c r="AK31">
        <f>SUMIFS(Product_Fixed_Allocation[3/1/2025],Product_Fixed_Allocation[ProductID],Product_CustomerSegment_Monthly_Actual_Fixed_Cost[[#This Row],[ProductID]])</f>
        <v>175</v>
      </c>
      <c r="AL31">
        <f>SUMIFS(Product_Fixed_Allocation[4/1/2025],Product_Fixed_Allocation[ProductID],Product_CustomerSegment_Monthly_Actual_Fixed_Cost[[#This Row],[ProductID]])</f>
        <v>175</v>
      </c>
      <c r="AM31">
        <f>SUMIFS(Product_Fixed_Allocation[5/1/2025],Product_Fixed_Allocation[ProductID],Product_CustomerSegment_Monthly_Actual_Fixed_Cost[[#This Row],[ProductID]])</f>
        <v>175</v>
      </c>
      <c r="AN31">
        <f>SUMIFS(Product_Fixed_Allocation[6/1/2025],Product_Fixed_Allocation[ProductID],Product_CustomerSegment_Monthly_Actual_Fixed_Cost[[#This Row],[ProductID]])</f>
        <v>175</v>
      </c>
      <c r="AO31">
        <f>SUM(Product_CustomerSegment_Monthly_Actual_Fixed_Cost[[#This Row],[25-Jan]:[25-Jun]])</f>
        <v>1050</v>
      </c>
      <c r="AR31" t="s">
        <v>92</v>
      </c>
      <c r="AS31" t="s">
        <v>44</v>
      </c>
      <c r="AT31">
        <f>Product_CustomerSegment_Monthly_Actual_Fixed_Cost[[#This Row],[25-Jan]]*Product_Segment_Monthly_Quantity[[#This Row],[1/1/2025]]</f>
        <v>0</v>
      </c>
      <c r="AU31">
        <f>Product_CustomerSegment_Monthly_Actual_Fixed_Cost[[#This Row],[25-Feb]]*Product_Segment_Monthly_Quantity[[#This Row],[2/1/2025]]</f>
        <v>700</v>
      </c>
      <c r="AV31">
        <f>Product_CustomerSegment_Monthly_Actual_Fixed_Cost[[#This Row],[25-Mar]]*Product_Segment_Monthly_Quantity[[#This Row],[3/1/2025]]</f>
        <v>0</v>
      </c>
      <c r="AW31">
        <f>Product_CustomerSegment_Monthly_Actual_Fixed_Cost[[#This Row],[25-Apr]]*Product_Segment_Monthly_Quantity[[#This Row],[4/1/2025]]</f>
        <v>175</v>
      </c>
      <c r="AX31">
        <f>Product_CustomerSegment_Monthly_Actual_Fixed_Cost[[#This Row],[25-May]]*Product_Segment_Monthly_Quantity[[#This Row],[5/1/2025]]</f>
        <v>175</v>
      </c>
      <c r="AY31">
        <f>Product_CustomerSegment_Monthly_Actual_Fixed_Cost[[#This Row],[25-Jun]]*Product_Segment_Monthly_Quantity[[#This Row],[6/1/2025]]</f>
        <v>175</v>
      </c>
      <c r="AZ31">
        <f>SUM(Product_CustomerSegment_Monthly_Fixed_Cost_Amount[[#This Row],[25-Jan]:[25-Jun]])</f>
        <v>1225</v>
      </c>
      <c r="BC31" t="s">
        <v>92</v>
      </c>
      <c r="BD31" t="s">
        <v>44</v>
      </c>
      <c r="BE31">
        <f>Product_CustomerSegment_Monthly_Fixed_Cost_Amount[[#This Row],[25-Jan]]+Product_CustomerSegment_Monthly_Variable_Cost_Amount[[#This Row],[25-Jan]]</f>
        <v>0</v>
      </c>
      <c r="BF31">
        <f>Product_CustomerSegment_Monthly_Fixed_Cost_Amount[[#This Row],[25-Feb]]+Product_CustomerSegment_Monthly_Variable_Cost_Amount[[#This Row],[25-Feb]]</f>
        <v>2236.8000000000002</v>
      </c>
      <c r="BG31">
        <f>Product_CustomerSegment_Monthly_Fixed_Cost_Amount[[#This Row],[25-Mar]]+Product_CustomerSegment_Monthly_Variable_Cost_Amount[[#This Row],[25-Mar]]</f>
        <v>0</v>
      </c>
      <c r="BH31">
        <f>Product_CustomerSegment_Monthly_Fixed_Cost_Amount[[#This Row],[25-Apr]]+Product_CustomerSegment_Monthly_Variable_Cost_Amount[[#This Row],[25-Apr]]</f>
        <v>578.88</v>
      </c>
      <c r="BI31">
        <f>Product_CustomerSegment_Monthly_Fixed_Cost_Amount[[#This Row],[25-May]]+Product_CustomerSegment_Monthly_Variable_Cost_Amount[[#This Row],[25-May]]</f>
        <v>571.33999999999992</v>
      </c>
      <c r="BJ31">
        <f>Product_CustomerSegment_Monthly_Fixed_Cost_Amount[[#This Row],[25-Jun]]+Product_CustomerSegment_Monthly_Variable_Cost_Amount[[#This Row],[25-Jun]]</f>
        <v>555.06999999999994</v>
      </c>
      <c r="BK31">
        <f>SUM(Product_CustomerSegment_Monthly_COGS[[#This Row],[25-Jan]:[25-Jun]])</f>
        <v>3942.09</v>
      </c>
    </row>
    <row r="32" spans="1:63">
      <c r="A32" t="s">
        <v>68</v>
      </c>
      <c r="B32" t="s">
        <v>28</v>
      </c>
      <c r="C3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4</v>
      </c>
      <c r="D3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4</v>
      </c>
      <c r="E3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3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3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4</v>
      </c>
      <c r="H3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11</v>
      </c>
      <c r="I32">
        <f>SUM(Product_Segment_Monthly_Quantity[[#This Row],[1/1/2025]:[6/1/2025]])</f>
        <v>26</v>
      </c>
      <c r="L32" t="s">
        <v>68</v>
      </c>
      <c r="M32" t="s">
        <v>28</v>
      </c>
      <c r="N32">
        <f>SUMIFS(Table21[1/1/2025],Table21[ProductID],Product_CustomerSegment_Monthly_Variable_Cost[[#This Row],[ProductID]])</f>
        <v>200.94</v>
      </c>
      <c r="O32">
        <f>SUMIFS(Table21[2/1/2025],Table21[ProductID],Product_CustomerSegment_Monthly_Variable_Cost[[#This Row],[ProductID]])</f>
        <v>191.36</v>
      </c>
      <c r="P32">
        <f>SUMIFS(Table21[3/1/2025],Table21[ProductID],Product_CustomerSegment_Monthly_Variable_Cost[[#This Row],[ProductID]])</f>
        <v>190.46</v>
      </c>
      <c r="Q32">
        <f>SUMIFS(Table21[4/1/2025],Table21[ProductID],Product_CustomerSegment_Monthly_Variable_Cost[[#This Row],[ProductID]])</f>
        <v>178.94</v>
      </c>
      <c r="R32">
        <f>SUMIFS(Table21[5/1/2025],Table21[ProductID],Product_CustomerSegment_Monthly_Variable_Cost[[#This Row],[ProductID]])</f>
        <v>191.33</v>
      </c>
      <c r="S32">
        <f>SUMIFS(Table21[6/1/2025],Table21[ProductID],Product_CustomerSegment_Monthly_Variable_Cost[[#This Row],[ProductID]])</f>
        <v>183.44</v>
      </c>
      <c r="V32" t="s">
        <v>68</v>
      </c>
      <c r="W32" t="s">
        <v>28</v>
      </c>
      <c r="X32">
        <f>Product_CustomerSegment_Monthly_Variable_Cost[[#This Row],[25-Jan]]*Product_Segment_Monthly_Quantity[[#This Row],[1/1/2025]]</f>
        <v>803.76</v>
      </c>
      <c r="Y32">
        <f>Product_CustomerSegment_Monthly_Variable_Cost[[#This Row],[25-Feb]]*Product_Segment_Monthly_Quantity[[#This Row],[2/1/2025]]</f>
        <v>765.44</v>
      </c>
      <c r="Z32">
        <f>Product_CustomerSegment_Monthly_Variable_Cost[[#This Row],[25-Mar]]*Product_Segment_Monthly_Quantity[[#This Row],[3/1/2025]]</f>
        <v>0</v>
      </c>
      <c r="AA32">
        <f>Product_CustomerSegment_Monthly_Variable_Cost[[#This Row],[25-Apr]]*Product_Segment_Monthly_Quantity[[#This Row],[4/1/2025]]</f>
        <v>536.81999999999994</v>
      </c>
      <c r="AB32">
        <f>Product_CustomerSegment_Monthly_Variable_Cost[[#This Row],[25-May]]*Product_Segment_Monthly_Quantity[[#This Row],[5/1/2025]]</f>
        <v>765.32</v>
      </c>
      <c r="AC32">
        <f>Product_CustomerSegment_Monthly_Variable_Cost[[#This Row],[25-Jun]]*Product_Segment_Monthly_Quantity[[#This Row],[6/1/2025]]</f>
        <v>2017.84</v>
      </c>
      <c r="AD32">
        <f>SUM(Product_CustomerSegment_Monthly_Variable_Cost_Amount[[#This Row],[25-Jan]:[25-Jun]])</f>
        <v>4889.18</v>
      </c>
      <c r="AG32" t="s">
        <v>68</v>
      </c>
      <c r="AH32" t="s">
        <v>28</v>
      </c>
      <c r="AI32">
        <f>SUMIFS(Product_Fixed_Allocation[1/1/2025],Product_Fixed_Allocation[ProductID],Product_CustomerSegment_Monthly_Actual_Fixed_Cost[[#This Row],[ProductID]])</f>
        <v>310</v>
      </c>
      <c r="AJ32">
        <f>SUMIFS(Product_Fixed_Allocation[2/1/2025],Product_Fixed_Allocation[ProductID],Product_CustomerSegment_Monthly_Actual_Fixed_Cost[[#This Row],[ProductID]])</f>
        <v>310</v>
      </c>
      <c r="AK32">
        <f>SUMIFS(Product_Fixed_Allocation[3/1/2025],Product_Fixed_Allocation[ProductID],Product_CustomerSegment_Monthly_Actual_Fixed_Cost[[#This Row],[ProductID]])</f>
        <v>310</v>
      </c>
      <c r="AL32">
        <f>SUMIFS(Product_Fixed_Allocation[4/1/2025],Product_Fixed_Allocation[ProductID],Product_CustomerSegment_Monthly_Actual_Fixed_Cost[[#This Row],[ProductID]])</f>
        <v>310</v>
      </c>
      <c r="AM32">
        <f>SUMIFS(Product_Fixed_Allocation[5/1/2025],Product_Fixed_Allocation[ProductID],Product_CustomerSegment_Monthly_Actual_Fixed_Cost[[#This Row],[ProductID]])</f>
        <v>310</v>
      </c>
      <c r="AN32">
        <f>SUMIFS(Product_Fixed_Allocation[6/1/2025],Product_Fixed_Allocation[ProductID],Product_CustomerSegment_Monthly_Actual_Fixed_Cost[[#This Row],[ProductID]])</f>
        <v>310</v>
      </c>
      <c r="AO32">
        <f>SUM(Product_CustomerSegment_Monthly_Actual_Fixed_Cost[[#This Row],[25-Jan]:[25-Jun]])</f>
        <v>1860</v>
      </c>
      <c r="AR32" t="s">
        <v>68</v>
      </c>
      <c r="AS32" t="s">
        <v>28</v>
      </c>
      <c r="AT32">
        <f>Product_CustomerSegment_Monthly_Actual_Fixed_Cost[[#This Row],[25-Jan]]*Product_Segment_Monthly_Quantity[[#This Row],[1/1/2025]]</f>
        <v>1240</v>
      </c>
      <c r="AU32">
        <f>Product_CustomerSegment_Monthly_Actual_Fixed_Cost[[#This Row],[25-Feb]]*Product_Segment_Monthly_Quantity[[#This Row],[2/1/2025]]</f>
        <v>1240</v>
      </c>
      <c r="AV32">
        <f>Product_CustomerSegment_Monthly_Actual_Fixed_Cost[[#This Row],[25-Mar]]*Product_Segment_Monthly_Quantity[[#This Row],[3/1/2025]]</f>
        <v>0</v>
      </c>
      <c r="AW32">
        <f>Product_CustomerSegment_Monthly_Actual_Fixed_Cost[[#This Row],[25-Apr]]*Product_Segment_Monthly_Quantity[[#This Row],[4/1/2025]]</f>
        <v>930</v>
      </c>
      <c r="AX32">
        <f>Product_CustomerSegment_Monthly_Actual_Fixed_Cost[[#This Row],[25-May]]*Product_Segment_Monthly_Quantity[[#This Row],[5/1/2025]]</f>
        <v>1240</v>
      </c>
      <c r="AY32">
        <f>Product_CustomerSegment_Monthly_Actual_Fixed_Cost[[#This Row],[25-Jun]]*Product_Segment_Monthly_Quantity[[#This Row],[6/1/2025]]</f>
        <v>3410</v>
      </c>
      <c r="AZ32">
        <f>SUM(Product_CustomerSegment_Monthly_Fixed_Cost_Amount[[#This Row],[25-Jan]:[25-Jun]])</f>
        <v>8060</v>
      </c>
      <c r="BC32" t="s">
        <v>68</v>
      </c>
      <c r="BD32" t="s">
        <v>28</v>
      </c>
      <c r="BE32">
        <f>Product_CustomerSegment_Monthly_Fixed_Cost_Amount[[#This Row],[25-Jan]]+Product_CustomerSegment_Monthly_Variable_Cost_Amount[[#This Row],[25-Jan]]</f>
        <v>2043.76</v>
      </c>
      <c r="BF32">
        <f>Product_CustomerSegment_Monthly_Fixed_Cost_Amount[[#This Row],[25-Feb]]+Product_CustomerSegment_Monthly_Variable_Cost_Amount[[#This Row],[25-Feb]]</f>
        <v>2005.44</v>
      </c>
      <c r="BG32">
        <f>Product_CustomerSegment_Monthly_Fixed_Cost_Amount[[#This Row],[25-Mar]]+Product_CustomerSegment_Monthly_Variable_Cost_Amount[[#This Row],[25-Mar]]</f>
        <v>0</v>
      </c>
      <c r="BH32">
        <f>Product_CustomerSegment_Monthly_Fixed_Cost_Amount[[#This Row],[25-Apr]]+Product_CustomerSegment_Monthly_Variable_Cost_Amount[[#This Row],[25-Apr]]</f>
        <v>1466.82</v>
      </c>
      <c r="BI32">
        <f>Product_CustomerSegment_Monthly_Fixed_Cost_Amount[[#This Row],[25-May]]+Product_CustomerSegment_Monthly_Variable_Cost_Amount[[#This Row],[25-May]]</f>
        <v>2005.3200000000002</v>
      </c>
      <c r="BJ32">
        <f>Product_CustomerSegment_Monthly_Fixed_Cost_Amount[[#This Row],[25-Jun]]+Product_CustomerSegment_Monthly_Variable_Cost_Amount[[#This Row],[25-Jun]]</f>
        <v>5427.84</v>
      </c>
      <c r="BK32">
        <f>SUM(Product_CustomerSegment_Monthly_COGS[[#This Row],[25-Jan]:[25-Jun]])</f>
        <v>12949.18</v>
      </c>
    </row>
    <row r="33" spans="1:63">
      <c r="A33" t="s">
        <v>68</v>
      </c>
      <c r="B33" t="s">
        <v>36</v>
      </c>
      <c r="C3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5</v>
      </c>
      <c r="D3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6</v>
      </c>
      <c r="E3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8</v>
      </c>
      <c r="F3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8</v>
      </c>
      <c r="G3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7</v>
      </c>
      <c r="H3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33">
        <f>SUM(Product_Segment_Monthly_Quantity[[#This Row],[1/1/2025]:[6/1/2025]])</f>
        <v>39</v>
      </c>
      <c r="L33" t="s">
        <v>68</v>
      </c>
      <c r="M33" t="s">
        <v>36</v>
      </c>
      <c r="N33">
        <f>SUMIFS(Table21[1/1/2025],Table21[ProductID],Product_CustomerSegment_Monthly_Variable_Cost[[#This Row],[ProductID]])</f>
        <v>200.94</v>
      </c>
      <c r="O33">
        <f>SUMIFS(Table21[2/1/2025],Table21[ProductID],Product_CustomerSegment_Monthly_Variable_Cost[[#This Row],[ProductID]])</f>
        <v>191.36</v>
      </c>
      <c r="P33">
        <f>SUMIFS(Table21[3/1/2025],Table21[ProductID],Product_CustomerSegment_Monthly_Variable_Cost[[#This Row],[ProductID]])</f>
        <v>190.46</v>
      </c>
      <c r="Q33">
        <f>SUMIFS(Table21[4/1/2025],Table21[ProductID],Product_CustomerSegment_Monthly_Variable_Cost[[#This Row],[ProductID]])</f>
        <v>178.94</v>
      </c>
      <c r="R33">
        <f>SUMIFS(Table21[5/1/2025],Table21[ProductID],Product_CustomerSegment_Monthly_Variable_Cost[[#This Row],[ProductID]])</f>
        <v>191.33</v>
      </c>
      <c r="S33">
        <f>SUMIFS(Table21[6/1/2025],Table21[ProductID],Product_CustomerSegment_Monthly_Variable_Cost[[#This Row],[ProductID]])</f>
        <v>183.44</v>
      </c>
      <c r="V33" t="s">
        <v>68</v>
      </c>
      <c r="W33" t="s">
        <v>36</v>
      </c>
      <c r="X33">
        <f>Product_CustomerSegment_Monthly_Variable_Cost[[#This Row],[25-Jan]]*Product_Segment_Monthly_Quantity[[#This Row],[1/1/2025]]</f>
        <v>1004.7</v>
      </c>
      <c r="Y33">
        <f>Product_CustomerSegment_Monthly_Variable_Cost[[#This Row],[25-Feb]]*Product_Segment_Monthly_Quantity[[#This Row],[2/1/2025]]</f>
        <v>1148.1600000000001</v>
      </c>
      <c r="Z33">
        <f>Product_CustomerSegment_Monthly_Variable_Cost[[#This Row],[25-Mar]]*Product_Segment_Monthly_Quantity[[#This Row],[3/1/2025]]</f>
        <v>1523.68</v>
      </c>
      <c r="AA33">
        <f>Product_CustomerSegment_Monthly_Variable_Cost[[#This Row],[25-Apr]]*Product_Segment_Monthly_Quantity[[#This Row],[4/1/2025]]</f>
        <v>1431.52</v>
      </c>
      <c r="AB33">
        <f>Product_CustomerSegment_Monthly_Variable_Cost[[#This Row],[25-May]]*Product_Segment_Monthly_Quantity[[#This Row],[5/1/2025]]</f>
        <v>1339.3100000000002</v>
      </c>
      <c r="AC33">
        <f>Product_CustomerSegment_Monthly_Variable_Cost[[#This Row],[25-Jun]]*Product_Segment_Monthly_Quantity[[#This Row],[6/1/2025]]</f>
        <v>917.2</v>
      </c>
      <c r="AD33">
        <f>SUM(Product_CustomerSegment_Monthly_Variable_Cost_Amount[[#This Row],[25-Jan]:[25-Jun]])</f>
        <v>7364.57</v>
      </c>
      <c r="AG33" t="s">
        <v>68</v>
      </c>
      <c r="AH33" t="s">
        <v>36</v>
      </c>
      <c r="AI33">
        <f>SUMIFS(Product_Fixed_Allocation[1/1/2025],Product_Fixed_Allocation[ProductID],Product_CustomerSegment_Monthly_Actual_Fixed_Cost[[#This Row],[ProductID]])</f>
        <v>310</v>
      </c>
      <c r="AJ33">
        <f>SUMIFS(Product_Fixed_Allocation[2/1/2025],Product_Fixed_Allocation[ProductID],Product_CustomerSegment_Monthly_Actual_Fixed_Cost[[#This Row],[ProductID]])</f>
        <v>310</v>
      </c>
      <c r="AK33">
        <f>SUMIFS(Product_Fixed_Allocation[3/1/2025],Product_Fixed_Allocation[ProductID],Product_CustomerSegment_Monthly_Actual_Fixed_Cost[[#This Row],[ProductID]])</f>
        <v>310</v>
      </c>
      <c r="AL33">
        <f>SUMIFS(Product_Fixed_Allocation[4/1/2025],Product_Fixed_Allocation[ProductID],Product_CustomerSegment_Monthly_Actual_Fixed_Cost[[#This Row],[ProductID]])</f>
        <v>310</v>
      </c>
      <c r="AM33">
        <f>SUMIFS(Product_Fixed_Allocation[5/1/2025],Product_Fixed_Allocation[ProductID],Product_CustomerSegment_Monthly_Actual_Fixed_Cost[[#This Row],[ProductID]])</f>
        <v>310</v>
      </c>
      <c r="AN33">
        <f>SUMIFS(Product_Fixed_Allocation[6/1/2025],Product_Fixed_Allocation[ProductID],Product_CustomerSegment_Monthly_Actual_Fixed_Cost[[#This Row],[ProductID]])</f>
        <v>310</v>
      </c>
      <c r="AO33">
        <f>SUM(Product_CustomerSegment_Monthly_Actual_Fixed_Cost[[#This Row],[25-Jan]:[25-Jun]])</f>
        <v>1860</v>
      </c>
      <c r="AR33" t="s">
        <v>68</v>
      </c>
      <c r="AS33" t="s">
        <v>36</v>
      </c>
      <c r="AT33">
        <f>Product_CustomerSegment_Monthly_Actual_Fixed_Cost[[#This Row],[25-Jan]]*Product_Segment_Monthly_Quantity[[#This Row],[1/1/2025]]</f>
        <v>1550</v>
      </c>
      <c r="AU33">
        <f>Product_CustomerSegment_Monthly_Actual_Fixed_Cost[[#This Row],[25-Feb]]*Product_Segment_Monthly_Quantity[[#This Row],[2/1/2025]]</f>
        <v>1860</v>
      </c>
      <c r="AV33">
        <f>Product_CustomerSegment_Monthly_Actual_Fixed_Cost[[#This Row],[25-Mar]]*Product_Segment_Monthly_Quantity[[#This Row],[3/1/2025]]</f>
        <v>2480</v>
      </c>
      <c r="AW33">
        <f>Product_CustomerSegment_Monthly_Actual_Fixed_Cost[[#This Row],[25-Apr]]*Product_Segment_Monthly_Quantity[[#This Row],[4/1/2025]]</f>
        <v>2480</v>
      </c>
      <c r="AX33">
        <f>Product_CustomerSegment_Monthly_Actual_Fixed_Cost[[#This Row],[25-May]]*Product_Segment_Monthly_Quantity[[#This Row],[5/1/2025]]</f>
        <v>2170</v>
      </c>
      <c r="AY33">
        <f>Product_CustomerSegment_Monthly_Actual_Fixed_Cost[[#This Row],[25-Jun]]*Product_Segment_Monthly_Quantity[[#This Row],[6/1/2025]]</f>
        <v>1550</v>
      </c>
      <c r="AZ33">
        <f>SUM(Product_CustomerSegment_Monthly_Fixed_Cost_Amount[[#This Row],[25-Jan]:[25-Jun]])</f>
        <v>12090</v>
      </c>
      <c r="BC33" t="s">
        <v>68</v>
      </c>
      <c r="BD33" t="s">
        <v>36</v>
      </c>
      <c r="BE33">
        <f>Product_CustomerSegment_Monthly_Fixed_Cost_Amount[[#This Row],[25-Jan]]+Product_CustomerSegment_Monthly_Variable_Cost_Amount[[#This Row],[25-Jan]]</f>
        <v>2554.6999999999998</v>
      </c>
      <c r="BF33">
        <f>Product_CustomerSegment_Monthly_Fixed_Cost_Amount[[#This Row],[25-Feb]]+Product_CustomerSegment_Monthly_Variable_Cost_Amount[[#This Row],[25-Feb]]</f>
        <v>3008.16</v>
      </c>
      <c r="BG33">
        <f>Product_CustomerSegment_Monthly_Fixed_Cost_Amount[[#This Row],[25-Mar]]+Product_CustomerSegment_Monthly_Variable_Cost_Amount[[#This Row],[25-Mar]]</f>
        <v>4003.6800000000003</v>
      </c>
      <c r="BH33">
        <f>Product_CustomerSegment_Monthly_Fixed_Cost_Amount[[#This Row],[25-Apr]]+Product_CustomerSegment_Monthly_Variable_Cost_Amount[[#This Row],[25-Apr]]</f>
        <v>3911.52</v>
      </c>
      <c r="BI33">
        <f>Product_CustomerSegment_Monthly_Fixed_Cost_Amount[[#This Row],[25-May]]+Product_CustomerSegment_Monthly_Variable_Cost_Amount[[#This Row],[25-May]]</f>
        <v>3509.3100000000004</v>
      </c>
      <c r="BJ33">
        <f>Product_CustomerSegment_Monthly_Fixed_Cost_Amount[[#This Row],[25-Jun]]+Product_CustomerSegment_Monthly_Variable_Cost_Amount[[#This Row],[25-Jun]]</f>
        <v>2467.1999999999998</v>
      </c>
      <c r="BK33">
        <f>SUM(Product_CustomerSegment_Monthly_COGS[[#This Row],[25-Jan]:[25-Jun]])</f>
        <v>19454.570000000003</v>
      </c>
    </row>
    <row r="34" spans="1:63">
      <c r="A34" t="s">
        <v>68</v>
      </c>
      <c r="B34" t="s">
        <v>48</v>
      </c>
      <c r="C3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7</v>
      </c>
      <c r="D3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3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3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3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7</v>
      </c>
      <c r="H3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34">
        <f>SUM(Product_Segment_Monthly_Quantity[[#This Row],[1/1/2025]:[6/1/2025]])</f>
        <v>22</v>
      </c>
      <c r="L34" t="s">
        <v>68</v>
      </c>
      <c r="M34" t="s">
        <v>48</v>
      </c>
      <c r="N34">
        <f>SUMIFS(Table21[1/1/2025],Table21[ProductID],Product_CustomerSegment_Monthly_Variable_Cost[[#This Row],[ProductID]])</f>
        <v>200.94</v>
      </c>
      <c r="O34">
        <f>SUMIFS(Table21[2/1/2025],Table21[ProductID],Product_CustomerSegment_Monthly_Variable_Cost[[#This Row],[ProductID]])</f>
        <v>191.36</v>
      </c>
      <c r="P34">
        <f>SUMIFS(Table21[3/1/2025],Table21[ProductID],Product_CustomerSegment_Monthly_Variable_Cost[[#This Row],[ProductID]])</f>
        <v>190.46</v>
      </c>
      <c r="Q34">
        <f>SUMIFS(Table21[4/1/2025],Table21[ProductID],Product_CustomerSegment_Monthly_Variable_Cost[[#This Row],[ProductID]])</f>
        <v>178.94</v>
      </c>
      <c r="R34">
        <f>SUMIFS(Table21[5/1/2025],Table21[ProductID],Product_CustomerSegment_Monthly_Variable_Cost[[#This Row],[ProductID]])</f>
        <v>191.33</v>
      </c>
      <c r="S34">
        <f>SUMIFS(Table21[6/1/2025],Table21[ProductID],Product_CustomerSegment_Monthly_Variable_Cost[[#This Row],[ProductID]])</f>
        <v>183.44</v>
      </c>
      <c r="V34" t="s">
        <v>68</v>
      </c>
      <c r="W34" t="s">
        <v>48</v>
      </c>
      <c r="X34">
        <f>Product_CustomerSegment_Monthly_Variable_Cost[[#This Row],[25-Jan]]*Product_Segment_Monthly_Quantity[[#This Row],[1/1/2025]]</f>
        <v>1406.58</v>
      </c>
      <c r="Y34">
        <f>Product_CustomerSegment_Monthly_Variable_Cost[[#This Row],[25-Feb]]*Product_Segment_Monthly_Quantity[[#This Row],[2/1/2025]]</f>
        <v>191.36</v>
      </c>
      <c r="Z34">
        <f>Product_CustomerSegment_Monthly_Variable_Cost[[#This Row],[25-Mar]]*Product_Segment_Monthly_Quantity[[#This Row],[3/1/2025]]</f>
        <v>571.38</v>
      </c>
      <c r="AA34">
        <f>Product_CustomerSegment_Monthly_Variable_Cost[[#This Row],[25-Apr]]*Product_Segment_Monthly_Quantity[[#This Row],[4/1/2025]]</f>
        <v>357.88</v>
      </c>
      <c r="AB34">
        <f>Product_CustomerSegment_Monthly_Variable_Cost[[#This Row],[25-May]]*Product_Segment_Monthly_Quantity[[#This Row],[5/1/2025]]</f>
        <v>1339.3100000000002</v>
      </c>
      <c r="AC34">
        <f>Product_CustomerSegment_Monthly_Variable_Cost[[#This Row],[25-Jun]]*Product_Segment_Monthly_Quantity[[#This Row],[6/1/2025]]</f>
        <v>366.88</v>
      </c>
      <c r="AD34">
        <f>SUM(Product_CustomerSegment_Monthly_Variable_Cost_Amount[[#This Row],[25-Jan]:[25-Jun]])</f>
        <v>4233.3900000000003</v>
      </c>
      <c r="AG34" t="s">
        <v>68</v>
      </c>
      <c r="AH34" t="s">
        <v>48</v>
      </c>
      <c r="AI34">
        <f>SUMIFS(Product_Fixed_Allocation[1/1/2025],Product_Fixed_Allocation[ProductID],Product_CustomerSegment_Monthly_Actual_Fixed_Cost[[#This Row],[ProductID]])</f>
        <v>310</v>
      </c>
      <c r="AJ34">
        <f>SUMIFS(Product_Fixed_Allocation[2/1/2025],Product_Fixed_Allocation[ProductID],Product_CustomerSegment_Monthly_Actual_Fixed_Cost[[#This Row],[ProductID]])</f>
        <v>310</v>
      </c>
      <c r="AK34">
        <f>SUMIFS(Product_Fixed_Allocation[3/1/2025],Product_Fixed_Allocation[ProductID],Product_CustomerSegment_Monthly_Actual_Fixed_Cost[[#This Row],[ProductID]])</f>
        <v>310</v>
      </c>
      <c r="AL34">
        <f>SUMIFS(Product_Fixed_Allocation[4/1/2025],Product_Fixed_Allocation[ProductID],Product_CustomerSegment_Monthly_Actual_Fixed_Cost[[#This Row],[ProductID]])</f>
        <v>310</v>
      </c>
      <c r="AM34">
        <f>SUMIFS(Product_Fixed_Allocation[5/1/2025],Product_Fixed_Allocation[ProductID],Product_CustomerSegment_Monthly_Actual_Fixed_Cost[[#This Row],[ProductID]])</f>
        <v>310</v>
      </c>
      <c r="AN34">
        <f>SUMIFS(Product_Fixed_Allocation[6/1/2025],Product_Fixed_Allocation[ProductID],Product_CustomerSegment_Monthly_Actual_Fixed_Cost[[#This Row],[ProductID]])</f>
        <v>310</v>
      </c>
      <c r="AO34">
        <f>SUM(Product_CustomerSegment_Monthly_Actual_Fixed_Cost[[#This Row],[25-Jan]:[25-Jun]])</f>
        <v>1860</v>
      </c>
      <c r="AR34" t="s">
        <v>68</v>
      </c>
      <c r="AS34" t="s">
        <v>48</v>
      </c>
      <c r="AT34">
        <f>Product_CustomerSegment_Monthly_Actual_Fixed_Cost[[#This Row],[25-Jan]]*Product_Segment_Monthly_Quantity[[#This Row],[1/1/2025]]</f>
        <v>2170</v>
      </c>
      <c r="AU34">
        <f>Product_CustomerSegment_Monthly_Actual_Fixed_Cost[[#This Row],[25-Feb]]*Product_Segment_Monthly_Quantity[[#This Row],[2/1/2025]]</f>
        <v>310</v>
      </c>
      <c r="AV34">
        <f>Product_CustomerSegment_Monthly_Actual_Fixed_Cost[[#This Row],[25-Mar]]*Product_Segment_Monthly_Quantity[[#This Row],[3/1/2025]]</f>
        <v>930</v>
      </c>
      <c r="AW34">
        <f>Product_CustomerSegment_Monthly_Actual_Fixed_Cost[[#This Row],[25-Apr]]*Product_Segment_Monthly_Quantity[[#This Row],[4/1/2025]]</f>
        <v>620</v>
      </c>
      <c r="AX34">
        <f>Product_CustomerSegment_Monthly_Actual_Fixed_Cost[[#This Row],[25-May]]*Product_Segment_Monthly_Quantity[[#This Row],[5/1/2025]]</f>
        <v>2170</v>
      </c>
      <c r="AY34">
        <f>Product_CustomerSegment_Monthly_Actual_Fixed_Cost[[#This Row],[25-Jun]]*Product_Segment_Monthly_Quantity[[#This Row],[6/1/2025]]</f>
        <v>620</v>
      </c>
      <c r="AZ34">
        <f>SUM(Product_CustomerSegment_Monthly_Fixed_Cost_Amount[[#This Row],[25-Jan]:[25-Jun]])</f>
        <v>6820</v>
      </c>
      <c r="BC34" t="s">
        <v>68</v>
      </c>
      <c r="BD34" t="s">
        <v>48</v>
      </c>
      <c r="BE34">
        <f>Product_CustomerSegment_Monthly_Fixed_Cost_Amount[[#This Row],[25-Jan]]+Product_CustomerSegment_Monthly_Variable_Cost_Amount[[#This Row],[25-Jan]]</f>
        <v>3576.58</v>
      </c>
      <c r="BF34">
        <f>Product_CustomerSegment_Monthly_Fixed_Cost_Amount[[#This Row],[25-Feb]]+Product_CustomerSegment_Monthly_Variable_Cost_Amount[[#This Row],[25-Feb]]</f>
        <v>501.36</v>
      </c>
      <c r="BG34">
        <f>Product_CustomerSegment_Monthly_Fixed_Cost_Amount[[#This Row],[25-Mar]]+Product_CustomerSegment_Monthly_Variable_Cost_Amount[[#This Row],[25-Mar]]</f>
        <v>1501.38</v>
      </c>
      <c r="BH34">
        <f>Product_CustomerSegment_Monthly_Fixed_Cost_Amount[[#This Row],[25-Apr]]+Product_CustomerSegment_Monthly_Variable_Cost_Amount[[#This Row],[25-Apr]]</f>
        <v>977.88</v>
      </c>
      <c r="BI34">
        <f>Product_CustomerSegment_Monthly_Fixed_Cost_Amount[[#This Row],[25-May]]+Product_CustomerSegment_Monthly_Variable_Cost_Amount[[#This Row],[25-May]]</f>
        <v>3509.3100000000004</v>
      </c>
      <c r="BJ34">
        <f>Product_CustomerSegment_Monthly_Fixed_Cost_Amount[[#This Row],[25-Jun]]+Product_CustomerSegment_Monthly_Variable_Cost_Amount[[#This Row],[25-Jun]]</f>
        <v>986.88</v>
      </c>
      <c r="BK34">
        <f>SUM(Product_CustomerSegment_Monthly_COGS[[#This Row],[25-Jan]:[25-Jun]])</f>
        <v>11053.39</v>
      </c>
    </row>
    <row r="35" spans="1:63">
      <c r="A35" t="s">
        <v>68</v>
      </c>
      <c r="B35" t="s">
        <v>59</v>
      </c>
      <c r="C3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5</v>
      </c>
      <c r="D3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3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3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3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4</v>
      </c>
      <c r="H3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35">
        <f>SUM(Product_Segment_Monthly_Quantity[[#This Row],[1/1/2025]:[6/1/2025]])</f>
        <v>13</v>
      </c>
      <c r="L35" t="s">
        <v>68</v>
      </c>
      <c r="M35" t="s">
        <v>59</v>
      </c>
      <c r="N35">
        <f>SUMIFS(Table21[1/1/2025],Table21[ProductID],Product_CustomerSegment_Monthly_Variable_Cost[[#This Row],[ProductID]])</f>
        <v>200.94</v>
      </c>
      <c r="O35">
        <f>SUMIFS(Table21[2/1/2025],Table21[ProductID],Product_CustomerSegment_Monthly_Variable_Cost[[#This Row],[ProductID]])</f>
        <v>191.36</v>
      </c>
      <c r="P35">
        <f>SUMIFS(Table21[3/1/2025],Table21[ProductID],Product_CustomerSegment_Monthly_Variable_Cost[[#This Row],[ProductID]])</f>
        <v>190.46</v>
      </c>
      <c r="Q35">
        <f>SUMIFS(Table21[4/1/2025],Table21[ProductID],Product_CustomerSegment_Monthly_Variable_Cost[[#This Row],[ProductID]])</f>
        <v>178.94</v>
      </c>
      <c r="R35">
        <f>SUMIFS(Table21[5/1/2025],Table21[ProductID],Product_CustomerSegment_Monthly_Variable_Cost[[#This Row],[ProductID]])</f>
        <v>191.33</v>
      </c>
      <c r="S35">
        <f>SUMIFS(Table21[6/1/2025],Table21[ProductID],Product_CustomerSegment_Monthly_Variable_Cost[[#This Row],[ProductID]])</f>
        <v>183.44</v>
      </c>
      <c r="V35" t="s">
        <v>68</v>
      </c>
      <c r="W35" t="s">
        <v>59</v>
      </c>
      <c r="X35">
        <f>Product_CustomerSegment_Monthly_Variable_Cost[[#This Row],[25-Jan]]*Product_Segment_Monthly_Quantity[[#This Row],[1/1/2025]]</f>
        <v>1004.7</v>
      </c>
      <c r="Y35">
        <f>Product_CustomerSegment_Monthly_Variable_Cost[[#This Row],[25-Feb]]*Product_Segment_Monthly_Quantity[[#This Row],[2/1/2025]]</f>
        <v>0</v>
      </c>
      <c r="Z35">
        <f>Product_CustomerSegment_Monthly_Variable_Cost[[#This Row],[25-Mar]]*Product_Segment_Monthly_Quantity[[#This Row],[3/1/2025]]</f>
        <v>380.92</v>
      </c>
      <c r="AA35">
        <f>Product_CustomerSegment_Monthly_Variable_Cost[[#This Row],[25-Apr]]*Product_Segment_Monthly_Quantity[[#This Row],[4/1/2025]]</f>
        <v>0</v>
      </c>
      <c r="AB35">
        <f>Product_CustomerSegment_Monthly_Variable_Cost[[#This Row],[25-May]]*Product_Segment_Monthly_Quantity[[#This Row],[5/1/2025]]</f>
        <v>765.32</v>
      </c>
      <c r="AC35">
        <f>Product_CustomerSegment_Monthly_Variable_Cost[[#This Row],[25-Jun]]*Product_Segment_Monthly_Quantity[[#This Row],[6/1/2025]]</f>
        <v>366.88</v>
      </c>
      <c r="AD35">
        <f>SUM(Product_CustomerSegment_Monthly_Variable_Cost_Amount[[#This Row],[25-Jan]:[25-Jun]])</f>
        <v>2517.8200000000002</v>
      </c>
      <c r="AG35" t="s">
        <v>68</v>
      </c>
      <c r="AH35" t="s">
        <v>59</v>
      </c>
      <c r="AI35">
        <f>SUMIFS(Product_Fixed_Allocation[1/1/2025],Product_Fixed_Allocation[ProductID],Product_CustomerSegment_Monthly_Actual_Fixed_Cost[[#This Row],[ProductID]])</f>
        <v>310</v>
      </c>
      <c r="AJ35">
        <f>SUMIFS(Product_Fixed_Allocation[2/1/2025],Product_Fixed_Allocation[ProductID],Product_CustomerSegment_Monthly_Actual_Fixed_Cost[[#This Row],[ProductID]])</f>
        <v>310</v>
      </c>
      <c r="AK35">
        <f>SUMIFS(Product_Fixed_Allocation[3/1/2025],Product_Fixed_Allocation[ProductID],Product_CustomerSegment_Monthly_Actual_Fixed_Cost[[#This Row],[ProductID]])</f>
        <v>310</v>
      </c>
      <c r="AL35">
        <f>SUMIFS(Product_Fixed_Allocation[4/1/2025],Product_Fixed_Allocation[ProductID],Product_CustomerSegment_Monthly_Actual_Fixed_Cost[[#This Row],[ProductID]])</f>
        <v>310</v>
      </c>
      <c r="AM35">
        <f>SUMIFS(Product_Fixed_Allocation[5/1/2025],Product_Fixed_Allocation[ProductID],Product_CustomerSegment_Monthly_Actual_Fixed_Cost[[#This Row],[ProductID]])</f>
        <v>310</v>
      </c>
      <c r="AN35">
        <f>SUMIFS(Product_Fixed_Allocation[6/1/2025],Product_Fixed_Allocation[ProductID],Product_CustomerSegment_Monthly_Actual_Fixed_Cost[[#This Row],[ProductID]])</f>
        <v>310</v>
      </c>
      <c r="AO35">
        <f>SUM(Product_CustomerSegment_Monthly_Actual_Fixed_Cost[[#This Row],[25-Jan]:[25-Jun]])</f>
        <v>1860</v>
      </c>
      <c r="AR35" t="s">
        <v>68</v>
      </c>
      <c r="AS35" t="s">
        <v>59</v>
      </c>
      <c r="AT35">
        <f>Product_CustomerSegment_Monthly_Actual_Fixed_Cost[[#This Row],[25-Jan]]*Product_Segment_Monthly_Quantity[[#This Row],[1/1/2025]]</f>
        <v>1550</v>
      </c>
      <c r="AU35">
        <f>Product_CustomerSegment_Monthly_Actual_Fixed_Cost[[#This Row],[25-Feb]]*Product_Segment_Monthly_Quantity[[#This Row],[2/1/2025]]</f>
        <v>0</v>
      </c>
      <c r="AV35">
        <f>Product_CustomerSegment_Monthly_Actual_Fixed_Cost[[#This Row],[25-Mar]]*Product_Segment_Monthly_Quantity[[#This Row],[3/1/2025]]</f>
        <v>620</v>
      </c>
      <c r="AW35">
        <f>Product_CustomerSegment_Monthly_Actual_Fixed_Cost[[#This Row],[25-Apr]]*Product_Segment_Monthly_Quantity[[#This Row],[4/1/2025]]</f>
        <v>0</v>
      </c>
      <c r="AX35">
        <f>Product_CustomerSegment_Monthly_Actual_Fixed_Cost[[#This Row],[25-May]]*Product_Segment_Monthly_Quantity[[#This Row],[5/1/2025]]</f>
        <v>1240</v>
      </c>
      <c r="AY35">
        <f>Product_CustomerSegment_Monthly_Actual_Fixed_Cost[[#This Row],[25-Jun]]*Product_Segment_Monthly_Quantity[[#This Row],[6/1/2025]]</f>
        <v>620</v>
      </c>
      <c r="AZ35">
        <f>SUM(Product_CustomerSegment_Monthly_Fixed_Cost_Amount[[#This Row],[25-Jan]:[25-Jun]])</f>
        <v>4030</v>
      </c>
      <c r="BC35" t="s">
        <v>68</v>
      </c>
      <c r="BD35" t="s">
        <v>59</v>
      </c>
      <c r="BE35">
        <f>Product_CustomerSegment_Monthly_Fixed_Cost_Amount[[#This Row],[25-Jan]]+Product_CustomerSegment_Monthly_Variable_Cost_Amount[[#This Row],[25-Jan]]</f>
        <v>2554.6999999999998</v>
      </c>
      <c r="BF35">
        <f>Product_CustomerSegment_Monthly_Fixed_Cost_Amount[[#This Row],[25-Feb]]+Product_CustomerSegment_Monthly_Variable_Cost_Amount[[#This Row],[25-Feb]]</f>
        <v>0</v>
      </c>
      <c r="BG35">
        <f>Product_CustomerSegment_Monthly_Fixed_Cost_Amount[[#This Row],[25-Mar]]+Product_CustomerSegment_Monthly_Variable_Cost_Amount[[#This Row],[25-Mar]]</f>
        <v>1000.9200000000001</v>
      </c>
      <c r="BH35">
        <f>Product_CustomerSegment_Monthly_Fixed_Cost_Amount[[#This Row],[25-Apr]]+Product_CustomerSegment_Monthly_Variable_Cost_Amount[[#This Row],[25-Apr]]</f>
        <v>0</v>
      </c>
      <c r="BI35">
        <f>Product_CustomerSegment_Monthly_Fixed_Cost_Amount[[#This Row],[25-May]]+Product_CustomerSegment_Monthly_Variable_Cost_Amount[[#This Row],[25-May]]</f>
        <v>2005.3200000000002</v>
      </c>
      <c r="BJ35">
        <f>Product_CustomerSegment_Monthly_Fixed_Cost_Amount[[#This Row],[25-Jun]]+Product_CustomerSegment_Monthly_Variable_Cost_Amount[[#This Row],[25-Jun]]</f>
        <v>986.88</v>
      </c>
      <c r="BK35">
        <f>SUM(Product_CustomerSegment_Monthly_COGS[[#This Row],[25-Jan]:[25-Jun]])</f>
        <v>6547.8200000000006</v>
      </c>
    </row>
    <row r="36" spans="1:63">
      <c r="A36" t="s">
        <v>68</v>
      </c>
      <c r="B36" t="s">
        <v>44</v>
      </c>
      <c r="C3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3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5</v>
      </c>
      <c r="E3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3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3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5</v>
      </c>
      <c r="H3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36">
        <f>SUM(Product_Segment_Monthly_Quantity[[#This Row],[1/1/2025]:[6/1/2025]])</f>
        <v>23</v>
      </c>
      <c r="L36" t="s">
        <v>68</v>
      </c>
      <c r="M36" t="s">
        <v>44</v>
      </c>
      <c r="N36">
        <f>SUMIFS(Table21[1/1/2025],Table21[ProductID],Product_CustomerSegment_Monthly_Variable_Cost[[#This Row],[ProductID]])</f>
        <v>200.94</v>
      </c>
      <c r="O36">
        <f>SUMIFS(Table21[2/1/2025],Table21[ProductID],Product_CustomerSegment_Monthly_Variable_Cost[[#This Row],[ProductID]])</f>
        <v>191.36</v>
      </c>
      <c r="P36">
        <f>SUMIFS(Table21[3/1/2025],Table21[ProductID],Product_CustomerSegment_Monthly_Variable_Cost[[#This Row],[ProductID]])</f>
        <v>190.46</v>
      </c>
      <c r="Q36">
        <f>SUMIFS(Table21[4/1/2025],Table21[ProductID],Product_CustomerSegment_Monthly_Variable_Cost[[#This Row],[ProductID]])</f>
        <v>178.94</v>
      </c>
      <c r="R36">
        <f>SUMIFS(Table21[5/1/2025],Table21[ProductID],Product_CustomerSegment_Monthly_Variable_Cost[[#This Row],[ProductID]])</f>
        <v>191.33</v>
      </c>
      <c r="S36">
        <f>SUMIFS(Table21[6/1/2025],Table21[ProductID],Product_CustomerSegment_Monthly_Variable_Cost[[#This Row],[ProductID]])</f>
        <v>183.44</v>
      </c>
      <c r="V36" t="s">
        <v>68</v>
      </c>
      <c r="W36" t="s">
        <v>44</v>
      </c>
      <c r="X36">
        <f>Product_CustomerSegment_Monthly_Variable_Cost[[#This Row],[25-Jan]]*Product_Segment_Monthly_Quantity[[#This Row],[1/1/2025]]</f>
        <v>602.81999999999994</v>
      </c>
      <c r="Y36">
        <f>Product_CustomerSegment_Monthly_Variable_Cost[[#This Row],[25-Feb]]*Product_Segment_Monthly_Quantity[[#This Row],[2/1/2025]]</f>
        <v>956.80000000000007</v>
      </c>
      <c r="Z36">
        <f>Product_CustomerSegment_Monthly_Variable_Cost[[#This Row],[25-Mar]]*Product_Segment_Monthly_Quantity[[#This Row],[3/1/2025]]</f>
        <v>571.38</v>
      </c>
      <c r="AA36">
        <f>Product_CustomerSegment_Monthly_Variable_Cost[[#This Row],[25-Apr]]*Product_Segment_Monthly_Quantity[[#This Row],[4/1/2025]]</f>
        <v>357.88</v>
      </c>
      <c r="AB36">
        <f>Product_CustomerSegment_Monthly_Variable_Cost[[#This Row],[25-May]]*Product_Segment_Monthly_Quantity[[#This Row],[5/1/2025]]</f>
        <v>956.65000000000009</v>
      </c>
      <c r="AC36">
        <f>Product_CustomerSegment_Monthly_Variable_Cost[[#This Row],[25-Jun]]*Product_Segment_Monthly_Quantity[[#This Row],[6/1/2025]]</f>
        <v>917.2</v>
      </c>
      <c r="AD36">
        <f>SUM(Product_CustomerSegment_Monthly_Variable_Cost_Amount[[#This Row],[25-Jan]:[25-Jun]])</f>
        <v>4362.7300000000005</v>
      </c>
      <c r="AG36" t="s">
        <v>68</v>
      </c>
      <c r="AH36" t="s">
        <v>44</v>
      </c>
      <c r="AI36">
        <f>SUMIFS(Product_Fixed_Allocation[1/1/2025],Product_Fixed_Allocation[ProductID],Product_CustomerSegment_Monthly_Actual_Fixed_Cost[[#This Row],[ProductID]])</f>
        <v>310</v>
      </c>
      <c r="AJ36">
        <f>SUMIFS(Product_Fixed_Allocation[2/1/2025],Product_Fixed_Allocation[ProductID],Product_CustomerSegment_Monthly_Actual_Fixed_Cost[[#This Row],[ProductID]])</f>
        <v>310</v>
      </c>
      <c r="AK36">
        <f>SUMIFS(Product_Fixed_Allocation[3/1/2025],Product_Fixed_Allocation[ProductID],Product_CustomerSegment_Monthly_Actual_Fixed_Cost[[#This Row],[ProductID]])</f>
        <v>310</v>
      </c>
      <c r="AL36">
        <f>SUMIFS(Product_Fixed_Allocation[4/1/2025],Product_Fixed_Allocation[ProductID],Product_CustomerSegment_Monthly_Actual_Fixed_Cost[[#This Row],[ProductID]])</f>
        <v>310</v>
      </c>
      <c r="AM36">
        <f>SUMIFS(Product_Fixed_Allocation[5/1/2025],Product_Fixed_Allocation[ProductID],Product_CustomerSegment_Monthly_Actual_Fixed_Cost[[#This Row],[ProductID]])</f>
        <v>310</v>
      </c>
      <c r="AN36">
        <f>SUMIFS(Product_Fixed_Allocation[6/1/2025],Product_Fixed_Allocation[ProductID],Product_CustomerSegment_Monthly_Actual_Fixed_Cost[[#This Row],[ProductID]])</f>
        <v>310</v>
      </c>
      <c r="AO36">
        <f>SUM(Product_CustomerSegment_Monthly_Actual_Fixed_Cost[[#This Row],[25-Jan]:[25-Jun]])</f>
        <v>1860</v>
      </c>
      <c r="AR36" t="s">
        <v>68</v>
      </c>
      <c r="AS36" t="s">
        <v>44</v>
      </c>
      <c r="AT36">
        <f>Product_CustomerSegment_Monthly_Actual_Fixed_Cost[[#This Row],[25-Jan]]*Product_Segment_Monthly_Quantity[[#This Row],[1/1/2025]]</f>
        <v>930</v>
      </c>
      <c r="AU36">
        <f>Product_CustomerSegment_Monthly_Actual_Fixed_Cost[[#This Row],[25-Feb]]*Product_Segment_Monthly_Quantity[[#This Row],[2/1/2025]]</f>
        <v>1550</v>
      </c>
      <c r="AV36">
        <f>Product_CustomerSegment_Monthly_Actual_Fixed_Cost[[#This Row],[25-Mar]]*Product_Segment_Monthly_Quantity[[#This Row],[3/1/2025]]</f>
        <v>930</v>
      </c>
      <c r="AW36">
        <f>Product_CustomerSegment_Monthly_Actual_Fixed_Cost[[#This Row],[25-Apr]]*Product_Segment_Monthly_Quantity[[#This Row],[4/1/2025]]</f>
        <v>620</v>
      </c>
      <c r="AX36">
        <f>Product_CustomerSegment_Monthly_Actual_Fixed_Cost[[#This Row],[25-May]]*Product_Segment_Monthly_Quantity[[#This Row],[5/1/2025]]</f>
        <v>1550</v>
      </c>
      <c r="AY36">
        <f>Product_CustomerSegment_Monthly_Actual_Fixed_Cost[[#This Row],[25-Jun]]*Product_Segment_Monthly_Quantity[[#This Row],[6/1/2025]]</f>
        <v>1550</v>
      </c>
      <c r="AZ36">
        <f>SUM(Product_CustomerSegment_Monthly_Fixed_Cost_Amount[[#This Row],[25-Jan]:[25-Jun]])</f>
        <v>7130</v>
      </c>
      <c r="BC36" t="s">
        <v>68</v>
      </c>
      <c r="BD36" t="s">
        <v>44</v>
      </c>
      <c r="BE36">
        <f>Product_CustomerSegment_Monthly_Fixed_Cost_Amount[[#This Row],[25-Jan]]+Product_CustomerSegment_Monthly_Variable_Cost_Amount[[#This Row],[25-Jan]]</f>
        <v>1532.82</v>
      </c>
      <c r="BF36">
        <f>Product_CustomerSegment_Monthly_Fixed_Cost_Amount[[#This Row],[25-Feb]]+Product_CustomerSegment_Monthly_Variable_Cost_Amount[[#This Row],[25-Feb]]</f>
        <v>2506.8000000000002</v>
      </c>
      <c r="BG36">
        <f>Product_CustomerSegment_Monthly_Fixed_Cost_Amount[[#This Row],[25-Mar]]+Product_CustomerSegment_Monthly_Variable_Cost_Amount[[#This Row],[25-Mar]]</f>
        <v>1501.38</v>
      </c>
      <c r="BH36">
        <f>Product_CustomerSegment_Monthly_Fixed_Cost_Amount[[#This Row],[25-Apr]]+Product_CustomerSegment_Monthly_Variable_Cost_Amount[[#This Row],[25-Apr]]</f>
        <v>977.88</v>
      </c>
      <c r="BI36">
        <f>Product_CustomerSegment_Monthly_Fixed_Cost_Amount[[#This Row],[25-May]]+Product_CustomerSegment_Monthly_Variable_Cost_Amount[[#This Row],[25-May]]</f>
        <v>2506.65</v>
      </c>
      <c r="BJ36">
        <f>Product_CustomerSegment_Monthly_Fixed_Cost_Amount[[#This Row],[25-Jun]]+Product_CustomerSegment_Monthly_Variable_Cost_Amount[[#This Row],[25-Jun]]</f>
        <v>2467.1999999999998</v>
      </c>
      <c r="BK36">
        <f>SUM(Product_CustomerSegment_Monthly_COGS[[#This Row],[25-Jan]:[25-Jun]])</f>
        <v>11492.73</v>
      </c>
    </row>
    <row r="37" spans="1:63">
      <c r="A37" t="s">
        <v>147</v>
      </c>
      <c r="B37" t="s">
        <v>28</v>
      </c>
      <c r="C3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3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3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3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3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3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4</v>
      </c>
      <c r="I37">
        <f>SUM(Product_Segment_Monthly_Quantity[[#This Row],[1/1/2025]:[6/1/2025]])</f>
        <v>8</v>
      </c>
      <c r="L37" t="s">
        <v>147</v>
      </c>
      <c r="M37" t="s">
        <v>28</v>
      </c>
      <c r="N37">
        <f>SUMIFS(Table21[1/1/2025],Table21[ProductID],Product_CustomerSegment_Monthly_Variable_Cost[[#This Row],[ProductID]])</f>
        <v>403.51</v>
      </c>
      <c r="O37">
        <f>SUMIFS(Table21[2/1/2025],Table21[ProductID],Product_CustomerSegment_Monthly_Variable_Cost[[#This Row],[ProductID]])</f>
        <v>393.51</v>
      </c>
      <c r="P37">
        <f>SUMIFS(Table21[3/1/2025],Table21[ProductID],Product_CustomerSegment_Monthly_Variable_Cost[[#This Row],[ProductID]])</f>
        <v>392.18</v>
      </c>
      <c r="Q37">
        <f>SUMIFS(Table21[4/1/2025],Table21[ProductID],Product_CustomerSegment_Monthly_Variable_Cost[[#This Row],[ProductID]])</f>
        <v>395.9</v>
      </c>
      <c r="R37">
        <f>SUMIFS(Table21[5/1/2025],Table21[ProductID],Product_CustomerSegment_Monthly_Variable_Cost[[#This Row],[ProductID]])</f>
        <v>407.64</v>
      </c>
      <c r="S37">
        <f>SUMIFS(Table21[6/1/2025],Table21[ProductID],Product_CustomerSegment_Monthly_Variable_Cost[[#This Row],[ProductID]])</f>
        <v>403.67</v>
      </c>
      <c r="V37" t="s">
        <v>147</v>
      </c>
      <c r="W37" t="s">
        <v>28</v>
      </c>
      <c r="X37">
        <f>Product_CustomerSegment_Monthly_Variable_Cost[[#This Row],[25-Jan]]*Product_Segment_Monthly_Quantity[[#This Row],[1/1/2025]]</f>
        <v>0</v>
      </c>
      <c r="Y37">
        <f>Product_CustomerSegment_Monthly_Variable_Cost[[#This Row],[25-Feb]]*Product_Segment_Monthly_Quantity[[#This Row],[2/1/2025]]</f>
        <v>0</v>
      </c>
      <c r="Z37">
        <f>Product_CustomerSegment_Monthly_Variable_Cost[[#This Row],[25-Mar]]*Product_Segment_Monthly_Quantity[[#This Row],[3/1/2025]]</f>
        <v>0</v>
      </c>
      <c r="AA37">
        <f>Product_CustomerSegment_Monthly_Variable_Cost[[#This Row],[25-Apr]]*Product_Segment_Monthly_Quantity[[#This Row],[4/1/2025]]</f>
        <v>791.8</v>
      </c>
      <c r="AB37">
        <f>Product_CustomerSegment_Monthly_Variable_Cost[[#This Row],[25-May]]*Product_Segment_Monthly_Quantity[[#This Row],[5/1/2025]]</f>
        <v>815.28</v>
      </c>
      <c r="AC37">
        <f>Product_CustomerSegment_Monthly_Variable_Cost[[#This Row],[25-Jun]]*Product_Segment_Monthly_Quantity[[#This Row],[6/1/2025]]</f>
        <v>1614.68</v>
      </c>
      <c r="AD37">
        <f>SUM(Product_CustomerSegment_Monthly_Variable_Cost_Amount[[#This Row],[25-Jan]:[25-Jun]])</f>
        <v>3221.76</v>
      </c>
      <c r="AG37" t="s">
        <v>147</v>
      </c>
      <c r="AH37" t="s">
        <v>28</v>
      </c>
      <c r="AI37">
        <f>SUMIFS(Product_Fixed_Allocation[1/1/2025],Product_Fixed_Allocation[ProductID],Product_CustomerSegment_Monthly_Actual_Fixed_Cost[[#This Row],[ProductID]])</f>
        <v>680</v>
      </c>
      <c r="AJ37">
        <f>SUMIFS(Product_Fixed_Allocation[2/1/2025],Product_Fixed_Allocation[ProductID],Product_CustomerSegment_Monthly_Actual_Fixed_Cost[[#This Row],[ProductID]])</f>
        <v>680</v>
      </c>
      <c r="AK37">
        <f>SUMIFS(Product_Fixed_Allocation[3/1/2025],Product_Fixed_Allocation[ProductID],Product_CustomerSegment_Monthly_Actual_Fixed_Cost[[#This Row],[ProductID]])</f>
        <v>680</v>
      </c>
      <c r="AL37">
        <f>SUMIFS(Product_Fixed_Allocation[4/1/2025],Product_Fixed_Allocation[ProductID],Product_CustomerSegment_Monthly_Actual_Fixed_Cost[[#This Row],[ProductID]])</f>
        <v>680</v>
      </c>
      <c r="AM37">
        <f>SUMIFS(Product_Fixed_Allocation[5/1/2025],Product_Fixed_Allocation[ProductID],Product_CustomerSegment_Monthly_Actual_Fixed_Cost[[#This Row],[ProductID]])</f>
        <v>680</v>
      </c>
      <c r="AN37">
        <f>SUMIFS(Product_Fixed_Allocation[6/1/2025],Product_Fixed_Allocation[ProductID],Product_CustomerSegment_Monthly_Actual_Fixed_Cost[[#This Row],[ProductID]])</f>
        <v>680</v>
      </c>
      <c r="AO37">
        <f>SUM(Product_CustomerSegment_Monthly_Actual_Fixed_Cost[[#This Row],[25-Jan]:[25-Jun]])</f>
        <v>4080</v>
      </c>
      <c r="AR37" t="s">
        <v>147</v>
      </c>
      <c r="AS37" t="s">
        <v>28</v>
      </c>
      <c r="AT37">
        <f>Product_CustomerSegment_Monthly_Actual_Fixed_Cost[[#This Row],[25-Jan]]*Product_Segment_Monthly_Quantity[[#This Row],[1/1/2025]]</f>
        <v>0</v>
      </c>
      <c r="AU37">
        <f>Product_CustomerSegment_Monthly_Actual_Fixed_Cost[[#This Row],[25-Feb]]*Product_Segment_Monthly_Quantity[[#This Row],[2/1/2025]]</f>
        <v>0</v>
      </c>
      <c r="AV37">
        <f>Product_CustomerSegment_Monthly_Actual_Fixed_Cost[[#This Row],[25-Mar]]*Product_Segment_Monthly_Quantity[[#This Row],[3/1/2025]]</f>
        <v>0</v>
      </c>
      <c r="AW37">
        <f>Product_CustomerSegment_Monthly_Actual_Fixed_Cost[[#This Row],[25-Apr]]*Product_Segment_Monthly_Quantity[[#This Row],[4/1/2025]]</f>
        <v>1360</v>
      </c>
      <c r="AX37">
        <f>Product_CustomerSegment_Monthly_Actual_Fixed_Cost[[#This Row],[25-May]]*Product_Segment_Monthly_Quantity[[#This Row],[5/1/2025]]</f>
        <v>1360</v>
      </c>
      <c r="AY37">
        <f>Product_CustomerSegment_Monthly_Actual_Fixed_Cost[[#This Row],[25-Jun]]*Product_Segment_Monthly_Quantity[[#This Row],[6/1/2025]]</f>
        <v>2720</v>
      </c>
      <c r="AZ37">
        <f>SUM(Product_CustomerSegment_Monthly_Fixed_Cost_Amount[[#This Row],[25-Jan]:[25-Jun]])</f>
        <v>5440</v>
      </c>
      <c r="BC37" t="s">
        <v>147</v>
      </c>
      <c r="BD37" t="s">
        <v>28</v>
      </c>
      <c r="BE37">
        <f>Product_CustomerSegment_Monthly_Fixed_Cost_Amount[[#This Row],[25-Jan]]+Product_CustomerSegment_Monthly_Variable_Cost_Amount[[#This Row],[25-Jan]]</f>
        <v>0</v>
      </c>
      <c r="BF37">
        <f>Product_CustomerSegment_Monthly_Fixed_Cost_Amount[[#This Row],[25-Feb]]+Product_CustomerSegment_Monthly_Variable_Cost_Amount[[#This Row],[25-Feb]]</f>
        <v>0</v>
      </c>
      <c r="BG37">
        <f>Product_CustomerSegment_Monthly_Fixed_Cost_Amount[[#This Row],[25-Mar]]+Product_CustomerSegment_Monthly_Variable_Cost_Amount[[#This Row],[25-Mar]]</f>
        <v>0</v>
      </c>
      <c r="BH37">
        <f>Product_CustomerSegment_Monthly_Fixed_Cost_Amount[[#This Row],[25-Apr]]+Product_CustomerSegment_Monthly_Variable_Cost_Amount[[#This Row],[25-Apr]]</f>
        <v>2151.8000000000002</v>
      </c>
      <c r="BI37">
        <f>Product_CustomerSegment_Monthly_Fixed_Cost_Amount[[#This Row],[25-May]]+Product_CustomerSegment_Monthly_Variable_Cost_Amount[[#This Row],[25-May]]</f>
        <v>2175.2799999999997</v>
      </c>
      <c r="BJ37">
        <f>Product_CustomerSegment_Monthly_Fixed_Cost_Amount[[#This Row],[25-Jun]]+Product_CustomerSegment_Monthly_Variable_Cost_Amount[[#This Row],[25-Jun]]</f>
        <v>4334.68</v>
      </c>
      <c r="BK37">
        <f>SUM(Product_CustomerSegment_Monthly_COGS[[#This Row],[25-Jan]:[25-Jun]])</f>
        <v>8661.76</v>
      </c>
    </row>
    <row r="38" spans="1:63">
      <c r="A38" t="s">
        <v>147</v>
      </c>
      <c r="B38" t="s">
        <v>36</v>
      </c>
      <c r="C3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3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3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3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3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6</v>
      </c>
      <c r="H3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4</v>
      </c>
      <c r="I38">
        <f>SUM(Product_Segment_Monthly_Quantity[[#This Row],[1/1/2025]:[6/1/2025]])</f>
        <v>18</v>
      </c>
      <c r="L38" t="s">
        <v>147</v>
      </c>
      <c r="M38" t="s">
        <v>36</v>
      </c>
      <c r="N38">
        <f>SUMIFS(Table21[1/1/2025],Table21[ProductID],Product_CustomerSegment_Monthly_Variable_Cost[[#This Row],[ProductID]])</f>
        <v>403.51</v>
      </c>
      <c r="O38">
        <f>SUMIFS(Table21[2/1/2025],Table21[ProductID],Product_CustomerSegment_Monthly_Variable_Cost[[#This Row],[ProductID]])</f>
        <v>393.51</v>
      </c>
      <c r="P38">
        <f>SUMIFS(Table21[3/1/2025],Table21[ProductID],Product_CustomerSegment_Monthly_Variable_Cost[[#This Row],[ProductID]])</f>
        <v>392.18</v>
      </c>
      <c r="Q38">
        <f>SUMIFS(Table21[4/1/2025],Table21[ProductID],Product_CustomerSegment_Monthly_Variable_Cost[[#This Row],[ProductID]])</f>
        <v>395.9</v>
      </c>
      <c r="R38">
        <f>SUMIFS(Table21[5/1/2025],Table21[ProductID],Product_CustomerSegment_Monthly_Variable_Cost[[#This Row],[ProductID]])</f>
        <v>407.64</v>
      </c>
      <c r="S38">
        <f>SUMIFS(Table21[6/1/2025],Table21[ProductID],Product_CustomerSegment_Monthly_Variable_Cost[[#This Row],[ProductID]])</f>
        <v>403.67</v>
      </c>
      <c r="V38" t="s">
        <v>147</v>
      </c>
      <c r="W38" t="s">
        <v>36</v>
      </c>
      <c r="X38">
        <f>Product_CustomerSegment_Monthly_Variable_Cost[[#This Row],[25-Jan]]*Product_Segment_Monthly_Quantity[[#This Row],[1/1/2025]]</f>
        <v>1210.53</v>
      </c>
      <c r="Y38">
        <f>Product_CustomerSegment_Monthly_Variable_Cost[[#This Row],[25-Feb]]*Product_Segment_Monthly_Quantity[[#This Row],[2/1/2025]]</f>
        <v>393.51</v>
      </c>
      <c r="Z38">
        <f>Product_CustomerSegment_Monthly_Variable_Cost[[#This Row],[25-Mar]]*Product_Segment_Monthly_Quantity[[#This Row],[3/1/2025]]</f>
        <v>392.18</v>
      </c>
      <c r="AA38">
        <f>Product_CustomerSegment_Monthly_Variable_Cost[[#This Row],[25-Apr]]*Product_Segment_Monthly_Quantity[[#This Row],[4/1/2025]]</f>
        <v>1187.6999999999998</v>
      </c>
      <c r="AB38">
        <f>Product_CustomerSegment_Monthly_Variable_Cost[[#This Row],[25-May]]*Product_Segment_Monthly_Quantity[[#This Row],[5/1/2025]]</f>
        <v>2445.84</v>
      </c>
      <c r="AC38">
        <f>Product_CustomerSegment_Monthly_Variable_Cost[[#This Row],[25-Jun]]*Product_Segment_Monthly_Quantity[[#This Row],[6/1/2025]]</f>
        <v>1614.68</v>
      </c>
      <c r="AD38">
        <f>SUM(Product_CustomerSegment_Monthly_Variable_Cost_Amount[[#This Row],[25-Jan]:[25-Jun]])</f>
        <v>7244.4400000000005</v>
      </c>
      <c r="AG38" t="s">
        <v>147</v>
      </c>
      <c r="AH38" t="s">
        <v>36</v>
      </c>
      <c r="AI38">
        <f>SUMIFS(Product_Fixed_Allocation[1/1/2025],Product_Fixed_Allocation[ProductID],Product_CustomerSegment_Monthly_Actual_Fixed_Cost[[#This Row],[ProductID]])</f>
        <v>680</v>
      </c>
      <c r="AJ38">
        <f>SUMIFS(Product_Fixed_Allocation[2/1/2025],Product_Fixed_Allocation[ProductID],Product_CustomerSegment_Monthly_Actual_Fixed_Cost[[#This Row],[ProductID]])</f>
        <v>680</v>
      </c>
      <c r="AK38">
        <f>SUMIFS(Product_Fixed_Allocation[3/1/2025],Product_Fixed_Allocation[ProductID],Product_CustomerSegment_Monthly_Actual_Fixed_Cost[[#This Row],[ProductID]])</f>
        <v>680</v>
      </c>
      <c r="AL38">
        <f>SUMIFS(Product_Fixed_Allocation[4/1/2025],Product_Fixed_Allocation[ProductID],Product_CustomerSegment_Monthly_Actual_Fixed_Cost[[#This Row],[ProductID]])</f>
        <v>680</v>
      </c>
      <c r="AM38">
        <f>SUMIFS(Product_Fixed_Allocation[5/1/2025],Product_Fixed_Allocation[ProductID],Product_CustomerSegment_Monthly_Actual_Fixed_Cost[[#This Row],[ProductID]])</f>
        <v>680</v>
      </c>
      <c r="AN38">
        <f>SUMIFS(Product_Fixed_Allocation[6/1/2025],Product_Fixed_Allocation[ProductID],Product_CustomerSegment_Monthly_Actual_Fixed_Cost[[#This Row],[ProductID]])</f>
        <v>680</v>
      </c>
      <c r="AO38">
        <f>SUM(Product_CustomerSegment_Monthly_Actual_Fixed_Cost[[#This Row],[25-Jan]:[25-Jun]])</f>
        <v>4080</v>
      </c>
      <c r="AR38" t="s">
        <v>147</v>
      </c>
      <c r="AS38" t="s">
        <v>36</v>
      </c>
      <c r="AT38">
        <f>Product_CustomerSegment_Monthly_Actual_Fixed_Cost[[#This Row],[25-Jan]]*Product_Segment_Monthly_Quantity[[#This Row],[1/1/2025]]</f>
        <v>2040</v>
      </c>
      <c r="AU38">
        <f>Product_CustomerSegment_Monthly_Actual_Fixed_Cost[[#This Row],[25-Feb]]*Product_Segment_Monthly_Quantity[[#This Row],[2/1/2025]]</f>
        <v>680</v>
      </c>
      <c r="AV38">
        <f>Product_CustomerSegment_Monthly_Actual_Fixed_Cost[[#This Row],[25-Mar]]*Product_Segment_Monthly_Quantity[[#This Row],[3/1/2025]]</f>
        <v>680</v>
      </c>
      <c r="AW38">
        <f>Product_CustomerSegment_Monthly_Actual_Fixed_Cost[[#This Row],[25-Apr]]*Product_Segment_Monthly_Quantity[[#This Row],[4/1/2025]]</f>
        <v>2040</v>
      </c>
      <c r="AX38">
        <f>Product_CustomerSegment_Monthly_Actual_Fixed_Cost[[#This Row],[25-May]]*Product_Segment_Monthly_Quantity[[#This Row],[5/1/2025]]</f>
        <v>4080</v>
      </c>
      <c r="AY38">
        <f>Product_CustomerSegment_Monthly_Actual_Fixed_Cost[[#This Row],[25-Jun]]*Product_Segment_Monthly_Quantity[[#This Row],[6/1/2025]]</f>
        <v>2720</v>
      </c>
      <c r="AZ38">
        <f>SUM(Product_CustomerSegment_Monthly_Fixed_Cost_Amount[[#This Row],[25-Jan]:[25-Jun]])</f>
        <v>12240</v>
      </c>
      <c r="BC38" t="s">
        <v>147</v>
      </c>
      <c r="BD38" t="s">
        <v>36</v>
      </c>
      <c r="BE38">
        <f>Product_CustomerSegment_Monthly_Fixed_Cost_Amount[[#This Row],[25-Jan]]+Product_CustomerSegment_Monthly_Variable_Cost_Amount[[#This Row],[25-Jan]]</f>
        <v>3250.5299999999997</v>
      </c>
      <c r="BF38">
        <f>Product_CustomerSegment_Monthly_Fixed_Cost_Amount[[#This Row],[25-Feb]]+Product_CustomerSegment_Monthly_Variable_Cost_Amount[[#This Row],[25-Feb]]</f>
        <v>1073.51</v>
      </c>
      <c r="BG38">
        <f>Product_CustomerSegment_Monthly_Fixed_Cost_Amount[[#This Row],[25-Mar]]+Product_CustomerSegment_Monthly_Variable_Cost_Amount[[#This Row],[25-Mar]]</f>
        <v>1072.18</v>
      </c>
      <c r="BH38">
        <f>Product_CustomerSegment_Monthly_Fixed_Cost_Amount[[#This Row],[25-Apr]]+Product_CustomerSegment_Monthly_Variable_Cost_Amount[[#This Row],[25-Apr]]</f>
        <v>3227.7</v>
      </c>
      <c r="BI38">
        <f>Product_CustomerSegment_Monthly_Fixed_Cost_Amount[[#This Row],[25-May]]+Product_CustomerSegment_Monthly_Variable_Cost_Amount[[#This Row],[25-May]]</f>
        <v>6525.84</v>
      </c>
      <c r="BJ38">
        <f>Product_CustomerSegment_Monthly_Fixed_Cost_Amount[[#This Row],[25-Jun]]+Product_CustomerSegment_Monthly_Variable_Cost_Amount[[#This Row],[25-Jun]]</f>
        <v>4334.68</v>
      </c>
      <c r="BK38">
        <f>SUM(Product_CustomerSegment_Monthly_COGS[[#This Row],[25-Jan]:[25-Jun]])</f>
        <v>19484.440000000002</v>
      </c>
    </row>
    <row r="39" spans="1:63">
      <c r="A39" t="s">
        <v>147</v>
      </c>
      <c r="B39" t="s">
        <v>48</v>
      </c>
      <c r="C3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3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3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3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3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3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39">
        <f>SUM(Product_Segment_Monthly_Quantity[[#This Row],[1/1/2025]:[6/1/2025]])</f>
        <v>11</v>
      </c>
      <c r="L39" t="s">
        <v>147</v>
      </c>
      <c r="M39" t="s">
        <v>48</v>
      </c>
      <c r="N39">
        <f>SUMIFS(Table21[1/1/2025],Table21[ProductID],Product_CustomerSegment_Monthly_Variable_Cost[[#This Row],[ProductID]])</f>
        <v>403.51</v>
      </c>
      <c r="O39">
        <f>SUMIFS(Table21[2/1/2025],Table21[ProductID],Product_CustomerSegment_Monthly_Variable_Cost[[#This Row],[ProductID]])</f>
        <v>393.51</v>
      </c>
      <c r="P39">
        <f>SUMIFS(Table21[3/1/2025],Table21[ProductID],Product_CustomerSegment_Monthly_Variable_Cost[[#This Row],[ProductID]])</f>
        <v>392.18</v>
      </c>
      <c r="Q39">
        <f>SUMIFS(Table21[4/1/2025],Table21[ProductID],Product_CustomerSegment_Monthly_Variable_Cost[[#This Row],[ProductID]])</f>
        <v>395.9</v>
      </c>
      <c r="R39">
        <f>SUMIFS(Table21[5/1/2025],Table21[ProductID],Product_CustomerSegment_Monthly_Variable_Cost[[#This Row],[ProductID]])</f>
        <v>407.64</v>
      </c>
      <c r="S39">
        <f>SUMIFS(Table21[6/1/2025],Table21[ProductID],Product_CustomerSegment_Monthly_Variable_Cost[[#This Row],[ProductID]])</f>
        <v>403.67</v>
      </c>
      <c r="V39" t="s">
        <v>147</v>
      </c>
      <c r="W39" t="s">
        <v>48</v>
      </c>
      <c r="X39">
        <f>Product_CustomerSegment_Monthly_Variable_Cost[[#This Row],[25-Jan]]*Product_Segment_Monthly_Quantity[[#This Row],[1/1/2025]]</f>
        <v>403.51</v>
      </c>
      <c r="Y39">
        <f>Product_CustomerSegment_Monthly_Variable_Cost[[#This Row],[25-Feb]]*Product_Segment_Monthly_Quantity[[#This Row],[2/1/2025]]</f>
        <v>0</v>
      </c>
      <c r="Z39">
        <f>Product_CustomerSegment_Monthly_Variable_Cost[[#This Row],[25-Mar]]*Product_Segment_Monthly_Quantity[[#This Row],[3/1/2025]]</f>
        <v>784.36</v>
      </c>
      <c r="AA39">
        <f>Product_CustomerSegment_Monthly_Variable_Cost[[#This Row],[25-Apr]]*Product_Segment_Monthly_Quantity[[#This Row],[4/1/2025]]</f>
        <v>791.8</v>
      </c>
      <c r="AB39">
        <f>Product_CustomerSegment_Monthly_Variable_Cost[[#This Row],[25-May]]*Product_Segment_Monthly_Quantity[[#This Row],[5/1/2025]]</f>
        <v>407.64</v>
      </c>
      <c r="AC39">
        <f>Product_CustomerSegment_Monthly_Variable_Cost[[#This Row],[25-Jun]]*Product_Segment_Monthly_Quantity[[#This Row],[6/1/2025]]</f>
        <v>2018.3500000000001</v>
      </c>
      <c r="AD39">
        <f>SUM(Product_CustomerSegment_Monthly_Variable_Cost_Amount[[#This Row],[25-Jan]:[25-Jun]])</f>
        <v>4405.66</v>
      </c>
      <c r="AG39" t="s">
        <v>147</v>
      </c>
      <c r="AH39" t="s">
        <v>48</v>
      </c>
      <c r="AI39">
        <f>SUMIFS(Product_Fixed_Allocation[1/1/2025],Product_Fixed_Allocation[ProductID],Product_CustomerSegment_Monthly_Actual_Fixed_Cost[[#This Row],[ProductID]])</f>
        <v>680</v>
      </c>
      <c r="AJ39">
        <f>SUMIFS(Product_Fixed_Allocation[2/1/2025],Product_Fixed_Allocation[ProductID],Product_CustomerSegment_Monthly_Actual_Fixed_Cost[[#This Row],[ProductID]])</f>
        <v>680</v>
      </c>
      <c r="AK39">
        <f>SUMIFS(Product_Fixed_Allocation[3/1/2025],Product_Fixed_Allocation[ProductID],Product_CustomerSegment_Monthly_Actual_Fixed_Cost[[#This Row],[ProductID]])</f>
        <v>680</v>
      </c>
      <c r="AL39">
        <f>SUMIFS(Product_Fixed_Allocation[4/1/2025],Product_Fixed_Allocation[ProductID],Product_CustomerSegment_Monthly_Actual_Fixed_Cost[[#This Row],[ProductID]])</f>
        <v>680</v>
      </c>
      <c r="AM39">
        <f>SUMIFS(Product_Fixed_Allocation[5/1/2025],Product_Fixed_Allocation[ProductID],Product_CustomerSegment_Monthly_Actual_Fixed_Cost[[#This Row],[ProductID]])</f>
        <v>680</v>
      </c>
      <c r="AN39">
        <f>SUMIFS(Product_Fixed_Allocation[6/1/2025],Product_Fixed_Allocation[ProductID],Product_CustomerSegment_Monthly_Actual_Fixed_Cost[[#This Row],[ProductID]])</f>
        <v>680</v>
      </c>
      <c r="AO39">
        <f>SUM(Product_CustomerSegment_Monthly_Actual_Fixed_Cost[[#This Row],[25-Jan]:[25-Jun]])</f>
        <v>4080</v>
      </c>
      <c r="AR39" t="s">
        <v>147</v>
      </c>
      <c r="AS39" t="s">
        <v>48</v>
      </c>
      <c r="AT39">
        <f>Product_CustomerSegment_Monthly_Actual_Fixed_Cost[[#This Row],[25-Jan]]*Product_Segment_Monthly_Quantity[[#This Row],[1/1/2025]]</f>
        <v>680</v>
      </c>
      <c r="AU39">
        <f>Product_CustomerSegment_Monthly_Actual_Fixed_Cost[[#This Row],[25-Feb]]*Product_Segment_Monthly_Quantity[[#This Row],[2/1/2025]]</f>
        <v>0</v>
      </c>
      <c r="AV39">
        <f>Product_CustomerSegment_Monthly_Actual_Fixed_Cost[[#This Row],[25-Mar]]*Product_Segment_Monthly_Quantity[[#This Row],[3/1/2025]]</f>
        <v>1360</v>
      </c>
      <c r="AW39">
        <f>Product_CustomerSegment_Monthly_Actual_Fixed_Cost[[#This Row],[25-Apr]]*Product_Segment_Monthly_Quantity[[#This Row],[4/1/2025]]</f>
        <v>1360</v>
      </c>
      <c r="AX39">
        <f>Product_CustomerSegment_Monthly_Actual_Fixed_Cost[[#This Row],[25-May]]*Product_Segment_Monthly_Quantity[[#This Row],[5/1/2025]]</f>
        <v>680</v>
      </c>
      <c r="AY39">
        <f>Product_CustomerSegment_Monthly_Actual_Fixed_Cost[[#This Row],[25-Jun]]*Product_Segment_Monthly_Quantity[[#This Row],[6/1/2025]]</f>
        <v>3400</v>
      </c>
      <c r="AZ39">
        <f>SUM(Product_CustomerSegment_Monthly_Fixed_Cost_Amount[[#This Row],[25-Jan]:[25-Jun]])</f>
        <v>7480</v>
      </c>
      <c r="BC39" t="s">
        <v>147</v>
      </c>
      <c r="BD39" t="s">
        <v>48</v>
      </c>
      <c r="BE39">
        <f>Product_CustomerSegment_Monthly_Fixed_Cost_Amount[[#This Row],[25-Jan]]+Product_CustomerSegment_Monthly_Variable_Cost_Amount[[#This Row],[25-Jan]]</f>
        <v>1083.51</v>
      </c>
      <c r="BF39">
        <f>Product_CustomerSegment_Monthly_Fixed_Cost_Amount[[#This Row],[25-Feb]]+Product_CustomerSegment_Monthly_Variable_Cost_Amount[[#This Row],[25-Feb]]</f>
        <v>0</v>
      </c>
      <c r="BG39">
        <f>Product_CustomerSegment_Monthly_Fixed_Cost_Amount[[#This Row],[25-Mar]]+Product_CustomerSegment_Monthly_Variable_Cost_Amount[[#This Row],[25-Mar]]</f>
        <v>2144.36</v>
      </c>
      <c r="BH39">
        <f>Product_CustomerSegment_Monthly_Fixed_Cost_Amount[[#This Row],[25-Apr]]+Product_CustomerSegment_Monthly_Variable_Cost_Amount[[#This Row],[25-Apr]]</f>
        <v>2151.8000000000002</v>
      </c>
      <c r="BI39">
        <f>Product_CustomerSegment_Monthly_Fixed_Cost_Amount[[#This Row],[25-May]]+Product_CustomerSegment_Monthly_Variable_Cost_Amount[[#This Row],[25-May]]</f>
        <v>1087.6399999999999</v>
      </c>
      <c r="BJ39">
        <f>Product_CustomerSegment_Monthly_Fixed_Cost_Amount[[#This Row],[25-Jun]]+Product_CustomerSegment_Monthly_Variable_Cost_Amount[[#This Row],[25-Jun]]</f>
        <v>5418.35</v>
      </c>
      <c r="BK39">
        <f>SUM(Product_CustomerSegment_Monthly_COGS[[#This Row],[25-Jan]:[25-Jun]])</f>
        <v>11885.66</v>
      </c>
    </row>
    <row r="40" spans="1:63">
      <c r="A40" t="s">
        <v>147</v>
      </c>
      <c r="B40" t="s">
        <v>59</v>
      </c>
      <c r="C4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4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</v>
      </c>
      <c r="E4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4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4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4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4</v>
      </c>
      <c r="I40">
        <f>SUM(Product_Segment_Monthly_Quantity[[#This Row],[1/1/2025]:[6/1/2025]])</f>
        <v>10</v>
      </c>
      <c r="L40" t="s">
        <v>147</v>
      </c>
      <c r="M40" t="s">
        <v>59</v>
      </c>
      <c r="N40">
        <f>SUMIFS(Table21[1/1/2025],Table21[ProductID],Product_CustomerSegment_Monthly_Variable_Cost[[#This Row],[ProductID]])</f>
        <v>403.51</v>
      </c>
      <c r="O40">
        <f>SUMIFS(Table21[2/1/2025],Table21[ProductID],Product_CustomerSegment_Monthly_Variable_Cost[[#This Row],[ProductID]])</f>
        <v>393.51</v>
      </c>
      <c r="P40">
        <f>SUMIFS(Table21[3/1/2025],Table21[ProductID],Product_CustomerSegment_Monthly_Variable_Cost[[#This Row],[ProductID]])</f>
        <v>392.18</v>
      </c>
      <c r="Q40">
        <f>SUMIFS(Table21[4/1/2025],Table21[ProductID],Product_CustomerSegment_Monthly_Variable_Cost[[#This Row],[ProductID]])</f>
        <v>395.9</v>
      </c>
      <c r="R40">
        <f>SUMIFS(Table21[5/1/2025],Table21[ProductID],Product_CustomerSegment_Monthly_Variable_Cost[[#This Row],[ProductID]])</f>
        <v>407.64</v>
      </c>
      <c r="S40">
        <f>SUMIFS(Table21[6/1/2025],Table21[ProductID],Product_CustomerSegment_Monthly_Variable_Cost[[#This Row],[ProductID]])</f>
        <v>403.67</v>
      </c>
      <c r="V40" t="s">
        <v>147</v>
      </c>
      <c r="W40" t="s">
        <v>59</v>
      </c>
      <c r="X40">
        <f>Product_CustomerSegment_Monthly_Variable_Cost[[#This Row],[25-Jan]]*Product_Segment_Monthly_Quantity[[#This Row],[1/1/2025]]</f>
        <v>0</v>
      </c>
      <c r="Y40">
        <f>Product_CustomerSegment_Monthly_Variable_Cost[[#This Row],[25-Feb]]*Product_Segment_Monthly_Quantity[[#This Row],[2/1/2025]]</f>
        <v>787.02</v>
      </c>
      <c r="Z40">
        <f>Product_CustomerSegment_Monthly_Variable_Cost[[#This Row],[25-Mar]]*Product_Segment_Monthly_Quantity[[#This Row],[3/1/2025]]</f>
        <v>392.18</v>
      </c>
      <c r="AA40">
        <f>Product_CustomerSegment_Monthly_Variable_Cost[[#This Row],[25-Apr]]*Product_Segment_Monthly_Quantity[[#This Row],[4/1/2025]]</f>
        <v>791.8</v>
      </c>
      <c r="AB40">
        <f>Product_CustomerSegment_Monthly_Variable_Cost[[#This Row],[25-May]]*Product_Segment_Monthly_Quantity[[#This Row],[5/1/2025]]</f>
        <v>407.64</v>
      </c>
      <c r="AC40">
        <f>Product_CustomerSegment_Monthly_Variable_Cost[[#This Row],[25-Jun]]*Product_Segment_Monthly_Quantity[[#This Row],[6/1/2025]]</f>
        <v>1614.68</v>
      </c>
      <c r="AD40">
        <f>SUM(Product_CustomerSegment_Monthly_Variable_Cost_Amount[[#This Row],[25-Jan]:[25-Jun]])</f>
        <v>3993.3199999999997</v>
      </c>
      <c r="AG40" t="s">
        <v>147</v>
      </c>
      <c r="AH40" t="s">
        <v>59</v>
      </c>
      <c r="AI40">
        <f>SUMIFS(Product_Fixed_Allocation[1/1/2025],Product_Fixed_Allocation[ProductID],Product_CustomerSegment_Monthly_Actual_Fixed_Cost[[#This Row],[ProductID]])</f>
        <v>680</v>
      </c>
      <c r="AJ40">
        <f>SUMIFS(Product_Fixed_Allocation[2/1/2025],Product_Fixed_Allocation[ProductID],Product_CustomerSegment_Monthly_Actual_Fixed_Cost[[#This Row],[ProductID]])</f>
        <v>680</v>
      </c>
      <c r="AK40">
        <f>SUMIFS(Product_Fixed_Allocation[3/1/2025],Product_Fixed_Allocation[ProductID],Product_CustomerSegment_Monthly_Actual_Fixed_Cost[[#This Row],[ProductID]])</f>
        <v>680</v>
      </c>
      <c r="AL40">
        <f>SUMIFS(Product_Fixed_Allocation[4/1/2025],Product_Fixed_Allocation[ProductID],Product_CustomerSegment_Monthly_Actual_Fixed_Cost[[#This Row],[ProductID]])</f>
        <v>680</v>
      </c>
      <c r="AM40">
        <f>SUMIFS(Product_Fixed_Allocation[5/1/2025],Product_Fixed_Allocation[ProductID],Product_CustomerSegment_Monthly_Actual_Fixed_Cost[[#This Row],[ProductID]])</f>
        <v>680</v>
      </c>
      <c r="AN40">
        <f>SUMIFS(Product_Fixed_Allocation[6/1/2025],Product_Fixed_Allocation[ProductID],Product_CustomerSegment_Monthly_Actual_Fixed_Cost[[#This Row],[ProductID]])</f>
        <v>680</v>
      </c>
      <c r="AO40">
        <f>SUM(Product_CustomerSegment_Monthly_Actual_Fixed_Cost[[#This Row],[25-Jan]:[25-Jun]])</f>
        <v>4080</v>
      </c>
      <c r="AR40" t="s">
        <v>147</v>
      </c>
      <c r="AS40" t="s">
        <v>59</v>
      </c>
      <c r="AT40">
        <f>Product_CustomerSegment_Monthly_Actual_Fixed_Cost[[#This Row],[25-Jan]]*Product_Segment_Monthly_Quantity[[#This Row],[1/1/2025]]</f>
        <v>0</v>
      </c>
      <c r="AU40">
        <f>Product_CustomerSegment_Monthly_Actual_Fixed_Cost[[#This Row],[25-Feb]]*Product_Segment_Monthly_Quantity[[#This Row],[2/1/2025]]</f>
        <v>1360</v>
      </c>
      <c r="AV40">
        <f>Product_CustomerSegment_Monthly_Actual_Fixed_Cost[[#This Row],[25-Mar]]*Product_Segment_Monthly_Quantity[[#This Row],[3/1/2025]]</f>
        <v>680</v>
      </c>
      <c r="AW40">
        <f>Product_CustomerSegment_Monthly_Actual_Fixed_Cost[[#This Row],[25-Apr]]*Product_Segment_Monthly_Quantity[[#This Row],[4/1/2025]]</f>
        <v>1360</v>
      </c>
      <c r="AX40">
        <f>Product_CustomerSegment_Monthly_Actual_Fixed_Cost[[#This Row],[25-May]]*Product_Segment_Monthly_Quantity[[#This Row],[5/1/2025]]</f>
        <v>680</v>
      </c>
      <c r="AY40">
        <f>Product_CustomerSegment_Monthly_Actual_Fixed_Cost[[#This Row],[25-Jun]]*Product_Segment_Monthly_Quantity[[#This Row],[6/1/2025]]</f>
        <v>2720</v>
      </c>
      <c r="AZ40">
        <f>SUM(Product_CustomerSegment_Monthly_Fixed_Cost_Amount[[#This Row],[25-Jan]:[25-Jun]])</f>
        <v>6800</v>
      </c>
      <c r="BC40" t="s">
        <v>147</v>
      </c>
      <c r="BD40" t="s">
        <v>59</v>
      </c>
      <c r="BE40">
        <f>Product_CustomerSegment_Monthly_Fixed_Cost_Amount[[#This Row],[25-Jan]]+Product_CustomerSegment_Monthly_Variable_Cost_Amount[[#This Row],[25-Jan]]</f>
        <v>0</v>
      </c>
      <c r="BF40">
        <f>Product_CustomerSegment_Monthly_Fixed_Cost_Amount[[#This Row],[25-Feb]]+Product_CustomerSegment_Monthly_Variable_Cost_Amount[[#This Row],[25-Feb]]</f>
        <v>2147.02</v>
      </c>
      <c r="BG40">
        <f>Product_CustomerSegment_Monthly_Fixed_Cost_Amount[[#This Row],[25-Mar]]+Product_CustomerSegment_Monthly_Variable_Cost_Amount[[#This Row],[25-Mar]]</f>
        <v>1072.18</v>
      </c>
      <c r="BH40">
        <f>Product_CustomerSegment_Monthly_Fixed_Cost_Amount[[#This Row],[25-Apr]]+Product_CustomerSegment_Monthly_Variable_Cost_Amount[[#This Row],[25-Apr]]</f>
        <v>2151.8000000000002</v>
      </c>
      <c r="BI40">
        <f>Product_CustomerSegment_Monthly_Fixed_Cost_Amount[[#This Row],[25-May]]+Product_CustomerSegment_Monthly_Variable_Cost_Amount[[#This Row],[25-May]]</f>
        <v>1087.6399999999999</v>
      </c>
      <c r="BJ40">
        <f>Product_CustomerSegment_Monthly_Fixed_Cost_Amount[[#This Row],[25-Jun]]+Product_CustomerSegment_Monthly_Variable_Cost_Amount[[#This Row],[25-Jun]]</f>
        <v>4334.68</v>
      </c>
      <c r="BK40">
        <f>SUM(Product_CustomerSegment_Monthly_COGS[[#This Row],[25-Jan]:[25-Jun]])</f>
        <v>10793.32</v>
      </c>
    </row>
    <row r="41" spans="1:63">
      <c r="A41" t="s">
        <v>147</v>
      </c>
      <c r="B41" t="s">
        <v>44</v>
      </c>
      <c r="C4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4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4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4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4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4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6</v>
      </c>
      <c r="I41">
        <f>SUM(Product_Segment_Monthly_Quantity[[#This Row],[1/1/2025]:[6/1/2025]])</f>
        <v>10</v>
      </c>
      <c r="L41" t="s">
        <v>147</v>
      </c>
      <c r="M41" t="s">
        <v>44</v>
      </c>
      <c r="N41">
        <f>SUMIFS(Table21[1/1/2025],Table21[ProductID],Product_CustomerSegment_Monthly_Variable_Cost[[#This Row],[ProductID]])</f>
        <v>403.51</v>
      </c>
      <c r="O41">
        <f>SUMIFS(Table21[2/1/2025],Table21[ProductID],Product_CustomerSegment_Monthly_Variable_Cost[[#This Row],[ProductID]])</f>
        <v>393.51</v>
      </c>
      <c r="P41">
        <f>SUMIFS(Table21[3/1/2025],Table21[ProductID],Product_CustomerSegment_Monthly_Variable_Cost[[#This Row],[ProductID]])</f>
        <v>392.18</v>
      </c>
      <c r="Q41">
        <f>SUMIFS(Table21[4/1/2025],Table21[ProductID],Product_CustomerSegment_Monthly_Variable_Cost[[#This Row],[ProductID]])</f>
        <v>395.9</v>
      </c>
      <c r="R41">
        <f>SUMIFS(Table21[5/1/2025],Table21[ProductID],Product_CustomerSegment_Monthly_Variable_Cost[[#This Row],[ProductID]])</f>
        <v>407.64</v>
      </c>
      <c r="S41">
        <f>SUMIFS(Table21[6/1/2025],Table21[ProductID],Product_CustomerSegment_Monthly_Variable_Cost[[#This Row],[ProductID]])</f>
        <v>403.67</v>
      </c>
      <c r="V41" t="s">
        <v>147</v>
      </c>
      <c r="W41" t="s">
        <v>44</v>
      </c>
      <c r="X41">
        <f>Product_CustomerSegment_Monthly_Variable_Cost[[#This Row],[25-Jan]]*Product_Segment_Monthly_Quantity[[#This Row],[1/1/2025]]</f>
        <v>403.51</v>
      </c>
      <c r="Y41">
        <f>Product_CustomerSegment_Monthly_Variable_Cost[[#This Row],[25-Feb]]*Product_Segment_Monthly_Quantity[[#This Row],[2/1/2025]]</f>
        <v>0</v>
      </c>
      <c r="Z41">
        <f>Product_CustomerSegment_Monthly_Variable_Cost[[#This Row],[25-Mar]]*Product_Segment_Monthly_Quantity[[#This Row],[3/1/2025]]</f>
        <v>0</v>
      </c>
      <c r="AA41">
        <f>Product_CustomerSegment_Monthly_Variable_Cost[[#This Row],[25-Apr]]*Product_Segment_Monthly_Quantity[[#This Row],[4/1/2025]]</f>
        <v>1187.6999999999998</v>
      </c>
      <c r="AB41">
        <f>Product_CustomerSegment_Monthly_Variable_Cost[[#This Row],[25-May]]*Product_Segment_Monthly_Quantity[[#This Row],[5/1/2025]]</f>
        <v>0</v>
      </c>
      <c r="AC41">
        <f>Product_CustomerSegment_Monthly_Variable_Cost[[#This Row],[25-Jun]]*Product_Segment_Monthly_Quantity[[#This Row],[6/1/2025]]</f>
        <v>2422.02</v>
      </c>
      <c r="AD41">
        <f>SUM(Product_CustomerSegment_Monthly_Variable_Cost_Amount[[#This Row],[25-Jan]:[25-Jun]])</f>
        <v>4013.2299999999996</v>
      </c>
      <c r="AG41" t="s">
        <v>147</v>
      </c>
      <c r="AH41" t="s">
        <v>44</v>
      </c>
      <c r="AI41">
        <f>SUMIFS(Product_Fixed_Allocation[1/1/2025],Product_Fixed_Allocation[ProductID],Product_CustomerSegment_Monthly_Actual_Fixed_Cost[[#This Row],[ProductID]])</f>
        <v>680</v>
      </c>
      <c r="AJ41">
        <f>SUMIFS(Product_Fixed_Allocation[2/1/2025],Product_Fixed_Allocation[ProductID],Product_CustomerSegment_Monthly_Actual_Fixed_Cost[[#This Row],[ProductID]])</f>
        <v>680</v>
      </c>
      <c r="AK41">
        <f>SUMIFS(Product_Fixed_Allocation[3/1/2025],Product_Fixed_Allocation[ProductID],Product_CustomerSegment_Monthly_Actual_Fixed_Cost[[#This Row],[ProductID]])</f>
        <v>680</v>
      </c>
      <c r="AL41">
        <f>SUMIFS(Product_Fixed_Allocation[4/1/2025],Product_Fixed_Allocation[ProductID],Product_CustomerSegment_Monthly_Actual_Fixed_Cost[[#This Row],[ProductID]])</f>
        <v>680</v>
      </c>
      <c r="AM41">
        <f>SUMIFS(Product_Fixed_Allocation[5/1/2025],Product_Fixed_Allocation[ProductID],Product_CustomerSegment_Monthly_Actual_Fixed_Cost[[#This Row],[ProductID]])</f>
        <v>680</v>
      </c>
      <c r="AN41">
        <f>SUMIFS(Product_Fixed_Allocation[6/1/2025],Product_Fixed_Allocation[ProductID],Product_CustomerSegment_Monthly_Actual_Fixed_Cost[[#This Row],[ProductID]])</f>
        <v>680</v>
      </c>
      <c r="AO41">
        <f>SUM(Product_CustomerSegment_Monthly_Actual_Fixed_Cost[[#This Row],[25-Jan]:[25-Jun]])</f>
        <v>4080</v>
      </c>
      <c r="AR41" t="s">
        <v>147</v>
      </c>
      <c r="AS41" t="s">
        <v>44</v>
      </c>
      <c r="AT41">
        <f>Product_CustomerSegment_Monthly_Actual_Fixed_Cost[[#This Row],[25-Jan]]*Product_Segment_Monthly_Quantity[[#This Row],[1/1/2025]]</f>
        <v>680</v>
      </c>
      <c r="AU41">
        <f>Product_CustomerSegment_Monthly_Actual_Fixed_Cost[[#This Row],[25-Feb]]*Product_Segment_Monthly_Quantity[[#This Row],[2/1/2025]]</f>
        <v>0</v>
      </c>
      <c r="AV41">
        <f>Product_CustomerSegment_Monthly_Actual_Fixed_Cost[[#This Row],[25-Mar]]*Product_Segment_Monthly_Quantity[[#This Row],[3/1/2025]]</f>
        <v>0</v>
      </c>
      <c r="AW41">
        <f>Product_CustomerSegment_Monthly_Actual_Fixed_Cost[[#This Row],[25-Apr]]*Product_Segment_Monthly_Quantity[[#This Row],[4/1/2025]]</f>
        <v>2040</v>
      </c>
      <c r="AX41">
        <f>Product_CustomerSegment_Monthly_Actual_Fixed_Cost[[#This Row],[25-May]]*Product_Segment_Monthly_Quantity[[#This Row],[5/1/2025]]</f>
        <v>0</v>
      </c>
      <c r="AY41">
        <f>Product_CustomerSegment_Monthly_Actual_Fixed_Cost[[#This Row],[25-Jun]]*Product_Segment_Monthly_Quantity[[#This Row],[6/1/2025]]</f>
        <v>4080</v>
      </c>
      <c r="AZ41">
        <f>SUM(Product_CustomerSegment_Monthly_Fixed_Cost_Amount[[#This Row],[25-Jan]:[25-Jun]])</f>
        <v>6800</v>
      </c>
      <c r="BC41" t="s">
        <v>147</v>
      </c>
      <c r="BD41" t="s">
        <v>44</v>
      </c>
      <c r="BE41">
        <f>Product_CustomerSegment_Monthly_Fixed_Cost_Amount[[#This Row],[25-Jan]]+Product_CustomerSegment_Monthly_Variable_Cost_Amount[[#This Row],[25-Jan]]</f>
        <v>1083.51</v>
      </c>
      <c r="BF41">
        <f>Product_CustomerSegment_Monthly_Fixed_Cost_Amount[[#This Row],[25-Feb]]+Product_CustomerSegment_Monthly_Variable_Cost_Amount[[#This Row],[25-Feb]]</f>
        <v>0</v>
      </c>
      <c r="BG41">
        <f>Product_CustomerSegment_Monthly_Fixed_Cost_Amount[[#This Row],[25-Mar]]+Product_CustomerSegment_Monthly_Variable_Cost_Amount[[#This Row],[25-Mar]]</f>
        <v>0</v>
      </c>
      <c r="BH41">
        <f>Product_CustomerSegment_Monthly_Fixed_Cost_Amount[[#This Row],[25-Apr]]+Product_CustomerSegment_Monthly_Variable_Cost_Amount[[#This Row],[25-Apr]]</f>
        <v>3227.7</v>
      </c>
      <c r="BI41">
        <f>Product_CustomerSegment_Monthly_Fixed_Cost_Amount[[#This Row],[25-May]]+Product_CustomerSegment_Monthly_Variable_Cost_Amount[[#This Row],[25-May]]</f>
        <v>0</v>
      </c>
      <c r="BJ41">
        <f>Product_CustomerSegment_Monthly_Fixed_Cost_Amount[[#This Row],[25-Jun]]+Product_CustomerSegment_Monthly_Variable_Cost_Amount[[#This Row],[25-Jun]]</f>
        <v>6502.02</v>
      </c>
      <c r="BK41">
        <f>SUM(Product_CustomerSegment_Monthly_COGS[[#This Row],[25-Jan]:[25-Jun]])</f>
        <v>10813.23</v>
      </c>
    </row>
    <row r="42" spans="1:63">
      <c r="A42" t="s">
        <v>51</v>
      </c>
      <c r="B42" t="s">
        <v>28</v>
      </c>
      <c r="C4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4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4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4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4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4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42">
        <f>SUM(Product_Segment_Monthly_Quantity[[#This Row],[1/1/2025]:[6/1/2025]])</f>
        <v>9</v>
      </c>
      <c r="L42" t="s">
        <v>51</v>
      </c>
      <c r="M42" t="s">
        <v>28</v>
      </c>
      <c r="N42">
        <f>SUMIFS(Table21[1/1/2025],Table21[ProductID],Product_CustomerSegment_Monthly_Variable_Cost[[#This Row],[ProductID]])</f>
        <v>93.7</v>
      </c>
      <c r="O42">
        <f>SUMIFS(Table21[2/1/2025],Table21[ProductID],Product_CustomerSegment_Monthly_Variable_Cost[[#This Row],[ProductID]])</f>
        <v>96.82</v>
      </c>
      <c r="P42">
        <f>SUMIFS(Table21[3/1/2025],Table21[ProductID],Product_CustomerSegment_Monthly_Variable_Cost[[#This Row],[ProductID]])</f>
        <v>102.15</v>
      </c>
      <c r="Q42">
        <f>SUMIFS(Table21[4/1/2025],Table21[ProductID],Product_CustomerSegment_Monthly_Variable_Cost[[#This Row],[ProductID]])</f>
        <v>94.46</v>
      </c>
      <c r="R42">
        <f>SUMIFS(Table21[5/1/2025],Table21[ProductID],Product_CustomerSegment_Monthly_Variable_Cost[[#This Row],[ProductID]])</f>
        <v>92.44</v>
      </c>
      <c r="S42">
        <f>SUMIFS(Table21[6/1/2025],Table21[ProductID],Product_CustomerSegment_Monthly_Variable_Cost[[#This Row],[ProductID]])</f>
        <v>95.52</v>
      </c>
      <c r="V42" t="s">
        <v>51</v>
      </c>
      <c r="W42" t="s">
        <v>28</v>
      </c>
      <c r="X42">
        <f>Product_CustomerSegment_Monthly_Variable_Cost[[#This Row],[25-Jan]]*Product_Segment_Monthly_Quantity[[#This Row],[1/1/2025]]</f>
        <v>187.4</v>
      </c>
      <c r="Y42">
        <f>Product_CustomerSegment_Monthly_Variable_Cost[[#This Row],[25-Feb]]*Product_Segment_Monthly_Quantity[[#This Row],[2/1/2025]]</f>
        <v>96.82</v>
      </c>
      <c r="Z42">
        <f>Product_CustomerSegment_Monthly_Variable_Cost[[#This Row],[25-Mar]]*Product_Segment_Monthly_Quantity[[#This Row],[3/1/2025]]</f>
        <v>0</v>
      </c>
      <c r="AA42">
        <f>Product_CustomerSegment_Monthly_Variable_Cost[[#This Row],[25-Apr]]*Product_Segment_Monthly_Quantity[[#This Row],[4/1/2025]]</f>
        <v>94.46</v>
      </c>
      <c r="AB42">
        <f>Product_CustomerSegment_Monthly_Variable_Cost[[#This Row],[25-May]]*Product_Segment_Monthly_Quantity[[#This Row],[5/1/2025]]</f>
        <v>0</v>
      </c>
      <c r="AC42">
        <f>Product_CustomerSegment_Monthly_Variable_Cost[[#This Row],[25-Jun]]*Product_Segment_Monthly_Quantity[[#This Row],[6/1/2025]]</f>
        <v>477.59999999999997</v>
      </c>
      <c r="AD42">
        <f>SUM(Product_CustomerSegment_Monthly_Variable_Cost_Amount[[#This Row],[25-Jan]:[25-Jun]])</f>
        <v>856.28</v>
      </c>
      <c r="AG42" t="s">
        <v>51</v>
      </c>
      <c r="AH42" t="s">
        <v>28</v>
      </c>
      <c r="AI42">
        <f>SUMIFS(Product_Fixed_Allocation[1/1/2025],Product_Fixed_Allocation[ProductID],Product_CustomerSegment_Monthly_Actual_Fixed_Cost[[#This Row],[ProductID]])</f>
        <v>210</v>
      </c>
      <c r="AJ42">
        <f>SUMIFS(Product_Fixed_Allocation[2/1/2025],Product_Fixed_Allocation[ProductID],Product_CustomerSegment_Monthly_Actual_Fixed_Cost[[#This Row],[ProductID]])</f>
        <v>210</v>
      </c>
      <c r="AK42">
        <f>SUMIFS(Product_Fixed_Allocation[3/1/2025],Product_Fixed_Allocation[ProductID],Product_CustomerSegment_Monthly_Actual_Fixed_Cost[[#This Row],[ProductID]])</f>
        <v>210</v>
      </c>
      <c r="AL42">
        <f>SUMIFS(Product_Fixed_Allocation[4/1/2025],Product_Fixed_Allocation[ProductID],Product_CustomerSegment_Monthly_Actual_Fixed_Cost[[#This Row],[ProductID]])</f>
        <v>210</v>
      </c>
      <c r="AM42">
        <f>SUMIFS(Product_Fixed_Allocation[5/1/2025],Product_Fixed_Allocation[ProductID],Product_CustomerSegment_Monthly_Actual_Fixed_Cost[[#This Row],[ProductID]])</f>
        <v>210</v>
      </c>
      <c r="AN42">
        <f>SUMIFS(Product_Fixed_Allocation[6/1/2025],Product_Fixed_Allocation[ProductID],Product_CustomerSegment_Monthly_Actual_Fixed_Cost[[#This Row],[ProductID]])</f>
        <v>210</v>
      </c>
      <c r="AO42">
        <f>SUM(Product_CustomerSegment_Monthly_Actual_Fixed_Cost[[#This Row],[25-Jan]:[25-Jun]])</f>
        <v>1260</v>
      </c>
      <c r="AR42" t="s">
        <v>51</v>
      </c>
      <c r="AS42" t="s">
        <v>28</v>
      </c>
      <c r="AT42">
        <f>Product_CustomerSegment_Monthly_Actual_Fixed_Cost[[#This Row],[25-Jan]]*Product_Segment_Monthly_Quantity[[#This Row],[1/1/2025]]</f>
        <v>420</v>
      </c>
      <c r="AU42">
        <f>Product_CustomerSegment_Monthly_Actual_Fixed_Cost[[#This Row],[25-Feb]]*Product_Segment_Monthly_Quantity[[#This Row],[2/1/2025]]</f>
        <v>210</v>
      </c>
      <c r="AV42">
        <f>Product_CustomerSegment_Monthly_Actual_Fixed_Cost[[#This Row],[25-Mar]]*Product_Segment_Monthly_Quantity[[#This Row],[3/1/2025]]</f>
        <v>0</v>
      </c>
      <c r="AW42">
        <f>Product_CustomerSegment_Monthly_Actual_Fixed_Cost[[#This Row],[25-Apr]]*Product_Segment_Monthly_Quantity[[#This Row],[4/1/2025]]</f>
        <v>210</v>
      </c>
      <c r="AX42">
        <f>Product_CustomerSegment_Monthly_Actual_Fixed_Cost[[#This Row],[25-May]]*Product_Segment_Monthly_Quantity[[#This Row],[5/1/2025]]</f>
        <v>0</v>
      </c>
      <c r="AY42">
        <f>Product_CustomerSegment_Monthly_Actual_Fixed_Cost[[#This Row],[25-Jun]]*Product_Segment_Monthly_Quantity[[#This Row],[6/1/2025]]</f>
        <v>1050</v>
      </c>
      <c r="AZ42">
        <f>SUM(Product_CustomerSegment_Monthly_Fixed_Cost_Amount[[#This Row],[25-Jan]:[25-Jun]])</f>
        <v>1890</v>
      </c>
      <c r="BC42" t="s">
        <v>51</v>
      </c>
      <c r="BD42" t="s">
        <v>28</v>
      </c>
      <c r="BE42">
        <f>Product_CustomerSegment_Monthly_Fixed_Cost_Amount[[#This Row],[25-Jan]]+Product_CustomerSegment_Monthly_Variable_Cost_Amount[[#This Row],[25-Jan]]</f>
        <v>607.4</v>
      </c>
      <c r="BF42">
        <f>Product_CustomerSegment_Monthly_Fixed_Cost_Amount[[#This Row],[25-Feb]]+Product_CustomerSegment_Monthly_Variable_Cost_Amount[[#This Row],[25-Feb]]</f>
        <v>306.82</v>
      </c>
      <c r="BG42">
        <f>Product_CustomerSegment_Monthly_Fixed_Cost_Amount[[#This Row],[25-Mar]]+Product_CustomerSegment_Monthly_Variable_Cost_Amount[[#This Row],[25-Mar]]</f>
        <v>0</v>
      </c>
      <c r="BH42">
        <f>Product_CustomerSegment_Monthly_Fixed_Cost_Amount[[#This Row],[25-Apr]]+Product_CustomerSegment_Monthly_Variable_Cost_Amount[[#This Row],[25-Apr]]</f>
        <v>304.45999999999998</v>
      </c>
      <c r="BI42">
        <f>Product_CustomerSegment_Monthly_Fixed_Cost_Amount[[#This Row],[25-May]]+Product_CustomerSegment_Monthly_Variable_Cost_Amount[[#This Row],[25-May]]</f>
        <v>0</v>
      </c>
      <c r="BJ42">
        <f>Product_CustomerSegment_Monthly_Fixed_Cost_Amount[[#This Row],[25-Jun]]+Product_CustomerSegment_Monthly_Variable_Cost_Amount[[#This Row],[25-Jun]]</f>
        <v>1527.6</v>
      </c>
      <c r="BK42">
        <f>SUM(Product_CustomerSegment_Monthly_COGS[[#This Row],[25-Jan]:[25-Jun]])</f>
        <v>2746.2799999999997</v>
      </c>
    </row>
    <row r="43" spans="1:63">
      <c r="A43" t="s">
        <v>51</v>
      </c>
      <c r="B43" t="s">
        <v>36</v>
      </c>
      <c r="C4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4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4</v>
      </c>
      <c r="E4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4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5</v>
      </c>
      <c r="G4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4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43">
        <f>SUM(Product_Segment_Monthly_Quantity[[#This Row],[1/1/2025]:[6/1/2025]])</f>
        <v>16</v>
      </c>
      <c r="L43" t="s">
        <v>51</v>
      </c>
      <c r="M43" t="s">
        <v>36</v>
      </c>
      <c r="N43">
        <f>SUMIFS(Table21[1/1/2025],Table21[ProductID],Product_CustomerSegment_Monthly_Variable_Cost[[#This Row],[ProductID]])</f>
        <v>93.7</v>
      </c>
      <c r="O43">
        <f>SUMIFS(Table21[2/1/2025],Table21[ProductID],Product_CustomerSegment_Monthly_Variable_Cost[[#This Row],[ProductID]])</f>
        <v>96.82</v>
      </c>
      <c r="P43">
        <f>SUMIFS(Table21[3/1/2025],Table21[ProductID],Product_CustomerSegment_Monthly_Variable_Cost[[#This Row],[ProductID]])</f>
        <v>102.15</v>
      </c>
      <c r="Q43">
        <f>SUMIFS(Table21[4/1/2025],Table21[ProductID],Product_CustomerSegment_Monthly_Variable_Cost[[#This Row],[ProductID]])</f>
        <v>94.46</v>
      </c>
      <c r="R43">
        <f>SUMIFS(Table21[5/1/2025],Table21[ProductID],Product_CustomerSegment_Monthly_Variable_Cost[[#This Row],[ProductID]])</f>
        <v>92.44</v>
      </c>
      <c r="S43">
        <f>SUMIFS(Table21[6/1/2025],Table21[ProductID],Product_CustomerSegment_Monthly_Variable_Cost[[#This Row],[ProductID]])</f>
        <v>95.52</v>
      </c>
      <c r="V43" t="s">
        <v>51</v>
      </c>
      <c r="W43" t="s">
        <v>36</v>
      </c>
      <c r="X43">
        <f>Product_CustomerSegment_Monthly_Variable_Cost[[#This Row],[25-Jan]]*Product_Segment_Monthly_Quantity[[#This Row],[1/1/2025]]</f>
        <v>187.4</v>
      </c>
      <c r="Y43">
        <f>Product_CustomerSegment_Monthly_Variable_Cost[[#This Row],[25-Feb]]*Product_Segment_Monthly_Quantity[[#This Row],[2/1/2025]]</f>
        <v>387.28</v>
      </c>
      <c r="Z43">
        <f>Product_CustomerSegment_Monthly_Variable_Cost[[#This Row],[25-Mar]]*Product_Segment_Monthly_Quantity[[#This Row],[3/1/2025]]</f>
        <v>0</v>
      </c>
      <c r="AA43">
        <f>Product_CustomerSegment_Monthly_Variable_Cost[[#This Row],[25-Apr]]*Product_Segment_Monthly_Quantity[[#This Row],[4/1/2025]]</f>
        <v>472.29999999999995</v>
      </c>
      <c r="AB43">
        <f>Product_CustomerSegment_Monthly_Variable_Cost[[#This Row],[25-May]]*Product_Segment_Monthly_Quantity[[#This Row],[5/1/2025]]</f>
        <v>0</v>
      </c>
      <c r="AC43">
        <f>Product_CustomerSegment_Monthly_Variable_Cost[[#This Row],[25-Jun]]*Product_Segment_Monthly_Quantity[[#This Row],[6/1/2025]]</f>
        <v>477.59999999999997</v>
      </c>
      <c r="AD43">
        <f>SUM(Product_CustomerSegment_Monthly_Variable_Cost_Amount[[#This Row],[25-Jan]:[25-Jun]])</f>
        <v>1524.58</v>
      </c>
      <c r="AG43" t="s">
        <v>51</v>
      </c>
      <c r="AH43" t="s">
        <v>36</v>
      </c>
      <c r="AI43">
        <f>SUMIFS(Product_Fixed_Allocation[1/1/2025],Product_Fixed_Allocation[ProductID],Product_CustomerSegment_Monthly_Actual_Fixed_Cost[[#This Row],[ProductID]])</f>
        <v>210</v>
      </c>
      <c r="AJ43">
        <f>SUMIFS(Product_Fixed_Allocation[2/1/2025],Product_Fixed_Allocation[ProductID],Product_CustomerSegment_Monthly_Actual_Fixed_Cost[[#This Row],[ProductID]])</f>
        <v>210</v>
      </c>
      <c r="AK43">
        <f>SUMIFS(Product_Fixed_Allocation[3/1/2025],Product_Fixed_Allocation[ProductID],Product_CustomerSegment_Monthly_Actual_Fixed_Cost[[#This Row],[ProductID]])</f>
        <v>210</v>
      </c>
      <c r="AL43">
        <f>SUMIFS(Product_Fixed_Allocation[4/1/2025],Product_Fixed_Allocation[ProductID],Product_CustomerSegment_Monthly_Actual_Fixed_Cost[[#This Row],[ProductID]])</f>
        <v>210</v>
      </c>
      <c r="AM43">
        <f>SUMIFS(Product_Fixed_Allocation[5/1/2025],Product_Fixed_Allocation[ProductID],Product_CustomerSegment_Monthly_Actual_Fixed_Cost[[#This Row],[ProductID]])</f>
        <v>210</v>
      </c>
      <c r="AN43">
        <f>SUMIFS(Product_Fixed_Allocation[6/1/2025],Product_Fixed_Allocation[ProductID],Product_CustomerSegment_Monthly_Actual_Fixed_Cost[[#This Row],[ProductID]])</f>
        <v>210</v>
      </c>
      <c r="AO43">
        <f>SUM(Product_CustomerSegment_Monthly_Actual_Fixed_Cost[[#This Row],[25-Jan]:[25-Jun]])</f>
        <v>1260</v>
      </c>
      <c r="AR43" t="s">
        <v>51</v>
      </c>
      <c r="AS43" t="s">
        <v>36</v>
      </c>
      <c r="AT43">
        <f>Product_CustomerSegment_Monthly_Actual_Fixed_Cost[[#This Row],[25-Jan]]*Product_Segment_Monthly_Quantity[[#This Row],[1/1/2025]]</f>
        <v>420</v>
      </c>
      <c r="AU43">
        <f>Product_CustomerSegment_Monthly_Actual_Fixed_Cost[[#This Row],[25-Feb]]*Product_Segment_Monthly_Quantity[[#This Row],[2/1/2025]]</f>
        <v>840</v>
      </c>
      <c r="AV43">
        <f>Product_CustomerSegment_Monthly_Actual_Fixed_Cost[[#This Row],[25-Mar]]*Product_Segment_Monthly_Quantity[[#This Row],[3/1/2025]]</f>
        <v>0</v>
      </c>
      <c r="AW43">
        <f>Product_CustomerSegment_Monthly_Actual_Fixed_Cost[[#This Row],[25-Apr]]*Product_Segment_Monthly_Quantity[[#This Row],[4/1/2025]]</f>
        <v>1050</v>
      </c>
      <c r="AX43">
        <f>Product_CustomerSegment_Monthly_Actual_Fixed_Cost[[#This Row],[25-May]]*Product_Segment_Monthly_Quantity[[#This Row],[5/1/2025]]</f>
        <v>0</v>
      </c>
      <c r="AY43">
        <f>Product_CustomerSegment_Monthly_Actual_Fixed_Cost[[#This Row],[25-Jun]]*Product_Segment_Monthly_Quantity[[#This Row],[6/1/2025]]</f>
        <v>1050</v>
      </c>
      <c r="AZ43">
        <f>SUM(Product_CustomerSegment_Monthly_Fixed_Cost_Amount[[#This Row],[25-Jan]:[25-Jun]])</f>
        <v>3360</v>
      </c>
      <c r="BC43" t="s">
        <v>51</v>
      </c>
      <c r="BD43" t="s">
        <v>36</v>
      </c>
      <c r="BE43">
        <f>Product_CustomerSegment_Monthly_Fixed_Cost_Amount[[#This Row],[25-Jan]]+Product_CustomerSegment_Monthly_Variable_Cost_Amount[[#This Row],[25-Jan]]</f>
        <v>607.4</v>
      </c>
      <c r="BF43">
        <f>Product_CustomerSegment_Monthly_Fixed_Cost_Amount[[#This Row],[25-Feb]]+Product_CustomerSegment_Monthly_Variable_Cost_Amount[[#This Row],[25-Feb]]</f>
        <v>1227.28</v>
      </c>
      <c r="BG43">
        <f>Product_CustomerSegment_Monthly_Fixed_Cost_Amount[[#This Row],[25-Mar]]+Product_CustomerSegment_Monthly_Variable_Cost_Amount[[#This Row],[25-Mar]]</f>
        <v>0</v>
      </c>
      <c r="BH43">
        <f>Product_CustomerSegment_Monthly_Fixed_Cost_Amount[[#This Row],[25-Apr]]+Product_CustomerSegment_Monthly_Variable_Cost_Amount[[#This Row],[25-Apr]]</f>
        <v>1522.3</v>
      </c>
      <c r="BI43">
        <f>Product_CustomerSegment_Monthly_Fixed_Cost_Amount[[#This Row],[25-May]]+Product_CustomerSegment_Monthly_Variable_Cost_Amount[[#This Row],[25-May]]</f>
        <v>0</v>
      </c>
      <c r="BJ43">
        <f>Product_CustomerSegment_Monthly_Fixed_Cost_Amount[[#This Row],[25-Jun]]+Product_CustomerSegment_Monthly_Variable_Cost_Amount[[#This Row],[25-Jun]]</f>
        <v>1527.6</v>
      </c>
      <c r="BK43">
        <f>SUM(Product_CustomerSegment_Monthly_COGS[[#This Row],[25-Jan]:[25-Jun]])</f>
        <v>4884.58</v>
      </c>
    </row>
    <row r="44" spans="1:63">
      <c r="A44" t="s">
        <v>51</v>
      </c>
      <c r="B44" t="s">
        <v>48</v>
      </c>
      <c r="C4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4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4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4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5</v>
      </c>
      <c r="G4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4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44">
        <f>SUM(Product_Segment_Monthly_Quantity[[#This Row],[1/1/2025]:[6/1/2025]])</f>
        <v>12</v>
      </c>
      <c r="L44" t="s">
        <v>51</v>
      </c>
      <c r="M44" t="s">
        <v>48</v>
      </c>
      <c r="N44">
        <f>SUMIFS(Table21[1/1/2025],Table21[ProductID],Product_CustomerSegment_Monthly_Variable_Cost[[#This Row],[ProductID]])</f>
        <v>93.7</v>
      </c>
      <c r="O44">
        <f>SUMIFS(Table21[2/1/2025],Table21[ProductID],Product_CustomerSegment_Monthly_Variable_Cost[[#This Row],[ProductID]])</f>
        <v>96.82</v>
      </c>
      <c r="P44">
        <f>SUMIFS(Table21[3/1/2025],Table21[ProductID],Product_CustomerSegment_Monthly_Variable_Cost[[#This Row],[ProductID]])</f>
        <v>102.15</v>
      </c>
      <c r="Q44">
        <f>SUMIFS(Table21[4/1/2025],Table21[ProductID],Product_CustomerSegment_Monthly_Variable_Cost[[#This Row],[ProductID]])</f>
        <v>94.46</v>
      </c>
      <c r="R44">
        <f>SUMIFS(Table21[5/1/2025],Table21[ProductID],Product_CustomerSegment_Monthly_Variable_Cost[[#This Row],[ProductID]])</f>
        <v>92.44</v>
      </c>
      <c r="S44">
        <f>SUMIFS(Table21[6/1/2025],Table21[ProductID],Product_CustomerSegment_Monthly_Variable_Cost[[#This Row],[ProductID]])</f>
        <v>95.52</v>
      </c>
      <c r="V44" t="s">
        <v>51</v>
      </c>
      <c r="W44" t="s">
        <v>48</v>
      </c>
      <c r="X44">
        <f>Product_CustomerSegment_Monthly_Variable_Cost[[#This Row],[25-Jan]]*Product_Segment_Monthly_Quantity[[#This Row],[1/1/2025]]</f>
        <v>0</v>
      </c>
      <c r="Y44">
        <f>Product_CustomerSegment_Monthly_Variable_Cost[[#This Row],[25-Feb]]*Product_Segment_Monthly_Quantity[[#This Row],[2/1/2025]]</f>
        <v>96.82</v>
      </c>
      <c r="Z44">
        <f>Product_CustomerSegment_Monthly_Variable_Cost[[#This Row],[25-Mar]]*Product_Segment_Monthly_Quantity[[#This Row],[3/1/2025]]</f>
        <v>0</v>
      </c>
      <c r="AA44">
        <f>Product_CustomerSegment_Monthly_Variable_Cost[[#This Row],[25-Apr]]*Product_Segment_Monthly_Quantity[[#This Row],[4/1/2025]]</f>
        <v>472.29999999999995</v>
      </c>
      <c r="AB44">
        <f>Product_CustomerSegment_Monthly_Variable_Cost[[#This Row],[25-May]]*Product_Segment_Monthly_Quantity[[#This Row],[5/1/2025]]</f>
        <v>92.44</v>
      </c>
      <c r="AC44">
        <f>Product_CustomerSegment_Monthly_Variable_Cost[[#This Row],[25-Jun]]*Product_Segment_Monthly_Quantity[[#This Row],[6/1/2025]]</f>
        <v>477.59999999999997</v>
      </c>
      <c r="AD44">
        <f>SUM(Product_CustomerSegment_Monthly_Variable_Cost_Amount[[#This Row],[25-Jan]:[25-Jun]])</f>
        <v>1139.1599999999999</v>
      </c>
      <c r="AG44" t="s">
        <v>51</v>
      </c>
      <c r="AH44" t="s">
        <v>48</v>
      </c>
      <c r="AI44">
        <f>SUMIFS(Product_Fixed_Allocation[1/1/2025],Product_Fixed_Allocation[ProductID],Product_CustomerSegment_Monthly_Actual_Fixed_Cost[[#This Row],[ProductID]])</f>
        <v>210</v>
      </c>
      <c r="AJ44">
        <f>SUMIFS(Product_Fixed_Allocation[2/1/2025],Product_Fixed_Allocation[ProductID],Product_CustomerSegment_Monthly_Actual_Fixed_Cost[[#This Row],[ProductID]])</f>
        <v>210</v>
      </c>
      <c r="AK44">
        <f>SUMIFS(Product_Fixed_Allocation[3/1/2025],Product_Fixed_Allocation[ProductID],Product_CustomerSegment_Monthly_Actual_Fixed_Cost[[#This Row],[ProductID]])</f>
        <v>210</v>
      </c>
      <c r="AL44">
        <f>SUMIFS(Product_Fixed_Allocation[4/1/2025],Product_Fixed_Allocation[ProductID],Product_CustomerSegment_Monthly_Actual_Fixed_Cost[[#This Row],[ProductID]])</f>
        <v>210</v>
      </c>
      <c r="AM44">
        <f>SUMIFS(Product_Fixed_Allocation[5/1/2025],Product_Fixed_Allocation[ProductID],Product_CustomerSegment_Monthly_Actual_Fixed_Cost[[#This Row],[ProductID]])</f>
        <v>210</v>
      </c>
      <c r="AN44">
        <f>SUMIFS(Product_Fixed_Allocation[6/1/2025],Product_Fixed_Allocation[ProductID],Product_CustomerSegment_Monthly_Actual_Fixed_Cost[[#This Row],[ProductID]])</f>
        <v>210</v>
      </c>
      <c r="AO44">
        <f>SUM(Product_CustomerSegment_Monthly_Actual_Fixed_Cost[[#This Row],[25-Jan]:[25-Jun]])</f>
        <v>1260</v>
      </c>
      <c r="AR44" t="s">
        <v>51</v>
      </c>
      <c r="AS44" t="s">
        <v>48</v>
      </c>
      <c r="AT44">
        <f>Product_CustomerSegment_Monthly_Actual_Fixed_Cost[[#This Row],[25-Jan]]*Product_Segment_Monthly_Quantity[[#This Row],[1/1/2025]]</f>
        <v>0</v>
      </c>
      <c r="AU44">
        <f>Product_CustomerSegment_Monthly_Actual_Fixed_Cost[[#This Row],[25-Feb]]*Product_Segment_Monthly_Quantity[[#This Row],[2/1/2025]]</f>
        <v>210</v>
      </c>
      <c r="AV44">
        <f>Product_CustomerSegment_Monthly_Actual_Fixed_Cost[[#This Row],[25-Mar]]*Product_Segment_Monthly_Quantity[[#This Row],[3/1/2025]]</f>
        <v>0</v>
      </c>
      <c r="AW44">
        <f>Product_CustomerSegment_Monthly_Actual_Fixed_Cost[[#This Row],[25-Apr]]*Product_Segment_Monthly_Quantity[[#This Row],[4/1/2025]]</f>
        <v>1050</v>
      </c>
      <c r="AX44">
        <f>Product_CustomerSegment_Monthly_Actual_Fixed_Cost[[#This Row],[25-May]]*Product_Segment_Monthly_Quantity[[#This Row],[5/1/2025]]</f>
        <v>210</v>
      </c>
      <c r="AY44">
        <f>Product_CustomerSegment_Monthly_Actual_Fixed_Cost[[#This Row],[25-Jun]]*Product_Segment_Monthly_Quantity[[#This Row],[6/1/2025]]</f>
        <v>1050</v>
      </c>
      <c r="AZ44">
        <f>SUM(Product_CustomerSegment_Monthly_Fixed_Cost_Amount[[#This Row],[25-Jan]:[25-Jun]])</f>
        <v>2520</v>
      </c>
      <c r="BC44" t="s">
        <v>51</v>
      </c>
      <c r="BD44" t="s">
        <v>48</v>
      </c>
      <c r="BE44">
        <f>Product_CustomerSegment_Monthly_Fixed_Cost_Amount[[#This Row],[25-Jan]]+Product_CustomerSegment_Monthly_Variable_Cost_Amount[[#This Row],[25-Jan]]</f>
        <v>0</v>
      </c>
      <c r="BF44">
        <f>Product_CustomerSegment_Monthly_Fixed_Cost_Amount[[#This Row],[25-Feb]]+Product_CustomerSegment_Monthly_Variable_Cost_Amount[[#This Row],[25-Feb]]</f>
        <v>306.82</v>
      </c>
      <c r="BG44">
        <f>Product_CustomerSegment_Monthly_Fixed_Cost_Amount[[#This Row],[25-Mar]]+Product_CustomerSegment_Monthly_Variable_Cost_Amount[[#This Row],[25-Mar]]</f>
        <v>0</v>
      </c>
      <c r="BH44">
        <f>Product_CustomerSegment_Monthly_Fixed_Cost_Amount[[#This Row],[25-Apr]]+Product_CustomerSegment_Monthly_Variable_Cost_Amount[[#This Row],[25-Apr]]</f>
        <v>1522.3</v>
      </c>
      <c r="BI44">
        <f>Product_CustomerSegment_Monthly_Fixed_Cost_Amount[[#This Row],[25-May]]+Product_CustomerSegment_Monthly_Variable_Cost_Amount[[#This Row],[25-May]]</f>
        <v>302.44</v>
      </c>
      <c r="BJ44">
        <f>Product_CustomerSegment_Monthly_Fixed_Cost_Amount[[#This Row],[25-Jun]]+Product_CustomerSegment_Monthly_Variable_Cost_Amount[[#This Row],[25-Jun]]</f>
        <v>1527.6</v>
      </c>
      <c r="BK44">
        <f>SUM(Product_CustomerSegment_Monthly_COGS[[#This Row],[25-Jan]:[25-Jun]])</f>
        <v>3659.16</v>
      </c>
    </row>
    <row r="45" spans="1:63">
      <c r="A45" t="s">
        <v>51</v>
      </c>
      <c r="B45" t="s">
        <v>59</v>
      </c>
      <c r="C4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4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4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4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4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6</v>
      </c>
      <c r="H4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45">
        <f>SUM(Product_Segment_Monthly_Quantity[[#This Row],[1/1/2025]:[6/1/2025]])</f>
        <v>12</v>
      </c>
      <c r="L45" t="s">
        <v>51</v>
      </c>
      <c r="M45" t="s">
        <v>59</v>
      </c>
      <c r="N45">
        <f>SUMIFS(Table21[1/1/2025],Table21[ProductID],Product_CustomerSegment_Monthly_Variable_Cost[[#This Row],[ProductID]])</f>
        <v>93.7</v>
      </c>
      <c r="O45">
        <f>SUMIFS(Table21[2/1/2025],Table21[ProductID],Product_CustomerSegment_Monthly_Variable_Cost[[#This Row],[ProductID]])</f>
        <v>96.82</v>
      </c>
      <c r="P45">
        <f>SUMIFS(Table21[3/1/2025],Table21[ProductID],Product_CustomerSegment_Monthly_Variable_Cost[[#This Row],[ProductID]])</f>
        <v>102.15</v>
      </c>
      <c r="Q45">
        <f>SUMIFS(Table21[4/1/2025],Table21[ProductID],Product_CustomerSegment_Monthly_Variable_Cost[[#This Row],[ProductID]])</f>
        <v>94.46</v>
      </c>
      <c r="R45">
        <f>SUMIFS(Table21[5/1/2025],Table21[ProductID],Product_CustomerSegment_Monthly_Variable_Cost[[#This Row],[ProductID]])</f>
        <v>92.44</v>
      </c>
      <c r="S45">
        <f>SUMIFS(Table21[6/1/2025],Table21[ProductID],Product_CustomerSegment_Monthly_Variable_Cost[[#This Row],[ProductID]])</f>
        <v>95.52</v>
      </c>
      <c r="V45" t="s">
        <v>51</v>
      </c>
      <c r="W45" t="s">
        <v>59</v>
      </c>
      <c r="X45">
        <f>Product_CustomerSegment_Monthly_Variable_Cost[[#This Row],[25-Jan]]*Product_Segment_Monthly_Quantity[[#This Row],[1/1/2025]]</f>
        <v>93.7</v>
      </c>
      <c r="Y45">
        <f>Product_CustomerSegment_Monthly_Variable_Cost[[#This Row],[25-Feb]]*Product_Segment_Monthly_Quantity[[#This Row],[2/1/2025]]</f>
        <v>0</v>
      </c>
      <c r="Z45">
        <f>Product_CustomerSegment_Monthly_Variable_Cost[[#This Row],[25-Mar]]*Product_Segment_Monthly_Quantity[[#This Row],[3/1/2025]]</f>
        <v>204.3</v>
      </c>
      <c r="AA45">
        <f>Product_CustomerSegment_Monthly_Variable_Cost[[#This Row],[25-Apr]]*Product_Segment_Monthly_Quantity[[#This Row],[4/1/2025]]</f>
        <v>94.46</v>
      </c>
      <c r="AB45">
        <f>Product_CustomerSegment_Monthly_Variable_Cost[[#This Row],[25-May]]*Product_Segment_Monthly_Quantity[[#This Row],[5/1/2025]]</f>
        <v>554.64</v>
      </c>
      <c r="AC45">
        <f>Product_CustomerSegment_Monthly_Variable_Cost[[#This Row],[25-Jun]]*Product_Segment_Monthly_Quantity[[#This Row],[6/1/2025]]</f>
        <v>191.04</v>
      </c>
      <c r="AD45">
        <f>SUM(Product_CustomerSegment_Monthly_Variable_Cost_Amount[[#This Row],[25-Jan]:[25-Jun]])</f>
        <v>1138.1399999999999</v>
      </c>
      <c r="AG45" t="s">
        <v>51</v>
      </c>
      <c r="AH45" t="s">
        <v>59</v>
      </c>
      <c r="AI45">
        <f>SUMIFS(Product_Fixed_Allocation[1/1/2025],Product_Fixed_Allocation[ProductID],Product_CustomerSegment_Monthly_Actual_Fixed_Cost[[#This Row],[ProductID]])</f>
        <v>210</v>
      </c>
      <c r="AJ45">
        <f>SUMIFS(Product_Fixed_Allocation[2/1/2025],Product_Fixed_Allocation[ProductID],Product_CustomerSegment_Monthly_Actual_Fixed_Cost[[#This Row],[ProductID]])</f>
        <v>210</v>
      </c>
      <c r="AK45">
        <f>SUMIFS(Product_Fixed_Allocation[3/1/2025],Product_Fixed_Allocation[ProductID],Product_CustomerSegment_Monthly_Actual_Fixed_Cost[[#This Row],[ProductID]])</f>
        <v>210</v>
      </c>
      <c r="AL45">
        <f>SUMIFS(Product_Fixed_Allocation[4/1/2025],Product_Fixed_Allocation[ProductID],Product_CustomerSegment_Monthly_Actual_Fixed_Cost[[#This Row],[ProductID]])</f>
        <v>210</v>
      </c>
      <c r="AM45">
        <f>SUMIFS(Product_Fixed_Allocation[5/1/2025],Product_Fixed_Allocation[ProductID],Product_CustomerSegment_Monthly_Actual_Fixed_Cost[[#This Row],[ProductID]])</f>
        <v>210</v>
      </c>
      <c r="AN45">
        <f>SUMIFS(Product_Fixed_Allocation[6/1/2025],Product_Fixed_Allocation[ProductID],Product_CustomerSegment_Monthly_Actual_Fixed_Cost[[#This Row],[ProductID]])</f>
        <v>210</v>
      </c>
      <c r="AO45">
        <f>SUM(Product_CustomerSegment_Monthly_Actual_Fixed_Cost[[#This Row],[25-Jan]:[25-Jun]])</f>
        <v>1260</v>
      </c>
      <c r="AR45" t="s">
        <v>51</v>
      </c>
      <c r="AS45" t="s">
        <v>59</v>
      </c>
      <c r="AT45">
        <f>Product_CustomerSegment_Monthly_Actual_Fixed_Cost[[#This Row],[25-Jan]]*Product_Segment_Monthly_Quantity[[#This Row],[1/1/2025]]</f>
        <v>210</v>
      </c>
      <c r="AU45">
        <f>Product_CustomerSegment_Monthly_Actual_Fixed_Cost[[#This Row],[25-Feb]]*Product_Segment_Monthly_Quantity[[#This Row],[2/1/2025]]</f>
        <v>0</v>
      </c>
      <c r="AV45">
        <f>Product_CustomerSegment_Monthly_Actual_Fixed_Cost[[#This Row],[25-Mar]]*Product_Segment_Monthly_Quantity[[#This Row],[3/1/2025]]</f>
        <v>420</v>
      </c>
      <c r="AW45">
        <f>Product_CustomerSegment_Monthly_Actual_Fixed_Cost[[#This Row],[25-Apr]]*Product_Segment_Monthly_Quantity[[#This Row],[4/1/2025]]</f>
        <v>210</v>
      </c>
      <c r="AX45">
        <f>Product_CustomerSegment_Monthly_Actual_Fixed_Cost[[#This Row],[25-May]]*Product_Segment_Monthly_Quantity[[#This Row],[5/1/2025]]</f>
        <v>1260</v>
      </c>
      <c r="AY45">
        <f>Product_CustomerSegment_Monthly_Actual_Fixed_Cost[[#This Row],[25-Jun]]*Product_Segment_Monthly_Quantity[[#This Row],[6/1/2025]]</f>
        <v>420</v>
      </c>
      <c r="AZ45">
        <f>SUM(Product_CustomerSegment_Monthly_Fixed_Cost_Amount[[#This Row],[25-Jan]:[25-Jun]])</f>
        <v>2520</v>
      </c>
      <c r="BC45" t="s">
        <v>51</v>
      </c>
      <c r="BD45" t="s">
        <v>59</v>
      </c>
      <c r="BE45">
        <f>Product_CustomerSegment_Monthly_Fixed_Cost_Amount[[#This Row],[25-Jan]]+Product_CustomerSegment_Monthly_Variable_Cost_Amount[[#This Row],[25-Jan]]</f>
        <v>303.7</v>
      </c>
      <c r="BF45">
        <f>Product_CustomerSegment_Monthly_Fixed_Cost_Amount[[#This Row],[25-Feb]]+Product_CustomerSegment_Monthly_Variable_Cost_Amount[[#This Row],[25-Feb]]</f>
        <v>0</v>
      </c>
      <c r="BG45">
        <f>Product_CustomerSegment_Monthly_Fixed_Cost_Amount[[#This Row],[25-Mar]]+Product_CustomerSegment_Monthly_Variable_Cost_Amount[[#This Row],[25-Mar]]</f>
        <v>624.29999999999995</v>
      </c>
      <c r="BH45">
        <f>Product_CustomerSegment_Monthly_Fixed_Cost_Amount[[#This Row],[25-Apr]]+Product_CustomerSegment_Monthly_Variable_Cost_Amount[[#This Row],[25-Apr]]</f>
        <v>304.45999999999998</v>
      </c>
      <c r="BI45">
        <f>Product_CustomerSegment_Monthly_Fixed_Cost_Amount[[#This Row],[25-May]]+Product_CustomerSegment_Monthly_Variable_Cost_Amount[[#This Row],[25-May]]</f>
        <v>1814.6399999999999</v>
      </c>
      <c r="BJ45">
        <f>Product_CustomerSegment_Monthly_Fixed_Cost_Amount[[#This Row],[25-Jun]]+Product_CustomerSegment_Monthly_Variable_Cost_Amount[[#This Row],[25-Jun]]</f>
        <v>611.04</v>
      </c>
      <c r="BK45">
        <f>SUM(Product_CustomerSegment_Monthly_COGS[[#This Row],[25-Jan]:[25-Jun]])</f>
        <v>3658.14</v>
      </c>
    </row>
    <row r="46" spans="1:63">
      <c r="A46" t="s">
        <v>51</v>
      </c>
      <c r="B46" t="s">
        <v>44</v>
      </c>
      <c r="C4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4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4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4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4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4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46">
        <f>SUM(Product_Segment_Monthly_Quantity[[#This Row],[1/1/2025]:[6/1/2025]])</f>
        <v>9</v>
      </c>
      <c r="L46" t="s">
        <v>51</v>
      </c>
      <c r="M46" t="s">
        <v>44</v>
      </c>
      <c r="N46">
        <f>SUMIFS(Table21[1/1/2025],Table21[ProductID],Product_CustomerSegment_Monthly_Variable_Cost[[#This Row],[ProductID]])</f>
        <v>93.7</v>
      </c>
      <c r="O46">
        <f>SUMIFS(Table21[2/1/2025],Table21[ProductID],Product_CustomerSegment_Monthly_Variable_Cost[[#This Row],[ProductID]])</f>
        <v>96.82</v>
      </c>
      <c r="P46">
        <f>SUMIFS(Table21[3/1/2025],Table21[ProductID],Product_CustomerSegment_Monthly_Variable_Cost[[#This Row],[ProductID]])</f>
        <v>102.15</v>
      </c>
      <c r="Q46">
        <f>SUMIFS(Table21[4/1/2025],Table21[ProductID],Product_CustomerSegment_Monthly_Variable_Cost[[#This Row],[ProductID]])</f>
        <v>94.46</v>
      </c>
      <c r="R46">
        <f>SUMIFS(Table21[5/1/2025],Table21[ProductID],Product_CustomerSegment_Monthly_Variable_Cost[[#This Row],[ProductID]])</f>
        <v>92.44</v>
      </c>
      <c r="S46">
        <f>SUMIFS(Table21[6/1/2025],Table21[ProductID],Product_CustomerSegment_Monthly_Variable_Cost[[#This Row],[ProductID]])</f>
        <v>95.52</v>
      </c>
      <c r="V46" t="s">
        <v>51</v>
      </c>
      <c r="W46" t="s">
        <v>44</v>
      </c>
      <c r="X46">
        <f>Product_CustomerSegment_Monthly_Variable_Cost[[#This Row],[25-Jan]]*Product_Segment_Monthly_Quantity[[#This Row],[1/1/2025]]</f>
        <v>187.4</v>
      </c>
      <c r="Y46">
        <f>Product_CustomerSegment_Monthly_Variable_Cost[[#This Row],[25-Feb]]*Product_Segment_Monthly_Quantity[[#This Row],[2/1/2025]]</f>
        <v>0</v>
      </c>
      <c r="Z46">
        <f>Product_CustomerSegment_Monthly_Variable_Cost[[#This Row],[25-Mar]]*Product_Segment_Monthly_Quantity[[#This Row],[3/1/2025]]</f>
        <v>204.3</v>
      </c>
      <c r="AA46">
        <f>Product_CustomerSegment_Monthly_Variable_Cost[[#This Row],[25-Apr]]*Product_Segment_Monthly_Quantity[[#This Row],[4/1/2025]]</f>
        <v>188.92</v>
      </c>
      <c r="AB46">
        <f>Product_CustomerSegment_Monthly_Variable_Cost[[#This Row],[25-May]]*Product_Segment_Monthly_Quantity[[#This Row],[5/1/2025]]</f>
        <v>184.88</v>
      </c>
      <c r="AC46">
        <f>Product_CustomerSegment_Monthly_Variable_Cost[[#This Row],[25-Jun]]*Product_Segment_Monthly_Quantity[[#This Row],[6/1/2025]]</f>
        <v>95.52</v>
      </c>
      <c r="AD46">
        <f>SUM(Product_CustomerSegment_Monthly_Variable_Cost_Amount[[#This Row],[25-Jan]:[25-Jun]])</f>
        <v>861.02</v>
      </c>
      <c r="AG46" t="s">
        <v>51</v>
      </c>
      <c r="AH46" t="s">
        <v>44</v>
      </c>
      <c r="AI46">
        <f>SUMIFS(Product_Fixed_Allocation[1/1/2025],Product_Fixed_Allocation[ProductID],Product_CustomerSegment_Monthly_Actual_Fixed_Cost[[#This Row],[ProductID]])</f>
        <v>210</v>
      </c>
      <c r="AJ46">
        <f>SUMIFS(Product_Fixed_Allocation[2/1/2025],Product_Fixed_Allocation[ProductID],Product_CustomerSegment_Monthly_Actual_Fixed_Cost[[#This Row],[ProductID]])</f>
        <v>210</v>
      </c>
      <c r="AK46">
        <f>SUMIFS(Product_Fixed_Allocation[3/1/2025],Product_Fixed_Allocation[ProductID],Product_CustomerSegment_Monthly_Actual_Fixed_Cost[[#This Row],[ProductID]])</f>
        <v>210</v>
      </c>
      <c r="AL46">
        <f>SUMIFS(Product_Fixed_Allocation[4/1/2025],Product_Fixed_Allocation[ProductID],Product_CustomerSegment_Monthly_Actual_Fixed_Cost[[#This Row],[ProductID]])</f>
        <v>210</v>
      </c>
      <c r="AM46">
        <f>SUMIFS(Product_Fixed_Allocation[5/1/2025],Product_Fixed_Allocation[ProductID],Product_CustomerSegment_Monthly_Actual_Fixed_Cost[[#This Row],[ProductID]])</f>
        <v>210</v>
      </c>
      <c r="AN46">
        <f>SUMIFS(Product_Fixed_Allocation[6/1/2025],Product_Fixed_Allocation[ProductID],Product_CustomerSegment_Monthly_Actual_Fixed_Cost[[#This Row],[ProductID]])</f>
        <v>210</v>
      </c>
      <c r="AO46">
        <f>SUM(Product_CustomerSegment_Monthly_Actual_Fixed_Cost[[#This Row],[25-Jan]:[25-Jun]])</f>
        <v>1260</v>
      </c>
      <c r="AR46" t="s">
        <v>51</v>
      </c>
      <c r="AS46" t="s">
        <v>44</v>
      </c>
      <c r="AT46">
        <f>Product_CustomerSegment_Monthly_Actual_Fixed_Cost[[#This Row],[25-Jan]]*Product_Segment_Monthly_Quantity[[#This Row],[1/1/2025]]</f>
        <v>420</v>
      </c>
      <c r="AU46">
        <f>Product_CustomerSegment_Monthly_Actual_Fixed_Cost[[#This Row],[25-Feb]]*Product_Segment_Monthly_Quantity[[#This Row],[2/1/2025]]</f>
        <v>0</v>
      </c>
      <c r="AV46">
        <f>Product_CustomerSegment_Monthly_Actual_Fixed_Cost[[#This Row],[25-Mar]]*Product_Segment_Monthly_Quantity[[#This Row],[3/1/2025]]</f>
        <v>420</v>
      </c>
      <c r="AW46">
        <f>Product_CustomerSegment_Monthly_Actual_Fixed_Cost[[#This Row],[25-Apr]]*Product_Segment_Monthly_Quantity[[#This Row],[4/1/2025]]</f>
        <v>420</v>
      </c>
      <c r="AX46">
        <f>Product_CustomerSegment_Monthly_Actual_Fixed_Cost[[#This Row],[25-May]]*Product_Segment_Monthly_Quantity[[#This Row],[5/1/2025]]</f>
        <v>420</v>
      </c>
      <c r="AY46">
        <f>Product_CustomerSegment_Monthly_Actual_Fixed_Cost[[#This Row],[25-Jun]]*Product_Segment_Monthly_Quantity[[#This Row],[6/1/2025]]</f>
        <v>210</v>
      </c>
      <c r="AZ46">
        <f>SUM(Product_CustomerSegment_Monthly_Fixed_Cost_Amount[[#This Row],[25-Jan]:[25-Jun]])</f>
        <v>1890</v>
      </c>
      <c r="BC46" t="s">
        <v>51</v>
      </c>
      <c r="BD46" t="s">
        <v>44</v>
      </c>
      <c r="BE46">
        <f>Product_CustomerSegment_Monthly_Fixed_Cost_Amount[[#This Row],[25-Jan]]+Product_CustomerSegment_Monthly_Variable_Cost_Amount[[#This Row],[25-Jan]]</f>
        <v>607.4</v>
      </c>
      <c r="BF46">
        <f>Product_CustomerSegment_Monthly_Fixed_Cost_Amount[[#This Row],[25-Feb]]+Product_CustomerSegment_Monthly_Variable_Cost_Amount[[#This Row],[25-Feb]]</f>
        <v>0</v>
      </c>
      <c r="BG46">
        <f>Product_CustomerSegment_Monthly_Fixed_Cost_Amount[[#This Row],[25-Mar]]+Product_CustomerSegment_Monthly_Variable_Cost_Amount[[#This Row],[25-Mar]]</f>
        <v>624.29999999999995</v>
      </c>
      <c r="BH46">
        <f>Product_CustomerSegment_Monthly_Fixed_Cost_Amount[[#This Row],[25-Apr]]+Product_CustomerSegment_Monthly_Variable_Cost_Amount[[#This Row],[25-Apr]]</f>
        <v>608.91999999999996</v>
      </c>
      <c r="BI46">
        <f>Product_CustomerSegment_Monthly_Fixed_Cost_Amount[[#This Row],[25-May]]+Product_CustomerSegment_Monthly_Variable_Cost_Amount[[#This Row],[25-May]]</f>
        <v>604.88</v>
      </c>
      <c r="BJ46">
        <f>Product_CustomerSegment_Monthly_Fixed_Cost_Amount[[#This Row],[25-Jun]]+Product_CustomerSegment_Monthly_Variable_Cost_Amount[[#This Row],[25-Jun]]</f>
        <v>305.52</v>
      </c>
      <c r="BK46">
        <f>SUM(Product_CustomerSegment_Monthly_COGS[[#This Row],[25-Jan]:[25-Jun]])</f>
        <v>2751.02</v>
      </c>
    </row>
    <row r="47" spans="1:63">
      <c r="A47" t="s">
        <v>86</v>
      </c>
      <c r="B47" t="s">
        <v>28</v>
      </c>
      <c r="C4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4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4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4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4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4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6</v>
      </c>
      <c r="I47">
        <f>SUM(Product_Segment_Monthly_Quantity[[#This Row],[1/1/2025]:[6/1/2025]])</f>
        <v>13</v>
      </c>
      <c r="L47" t="s">
        <v>86</v>
      </c>
      <c r="M47" t="s">
        <v>28</v>
      </c>
      <c r="N47">
        <f>SUMIFS(Table21[1/1/2025],Table21[ProductID],Product_CustomerSegment_Monthly_Variable_Cost[[#This Row],[ProductID]])</f>
        <v>66.33</v>
      </c>
      <c r="O47">
        <f>SUMIFS(Table21[2/1/2025],Table21[ProductID],Product_CustomerSegment_Monthly_Variable_Cost[[#This Row],[ProductID]])</f>
        <v>69.849999999999994</v>
      </c>
      <c r="P47">
        <f>SUMIFS(Table21[3/1/2025],Table21[ProductID],Product_CustomerSegment_Monthly_Variable_Cost[[#This Row],[ProductID]])</f>
        <v>67.67</v>
      </c>
      <c r="Q47">
        <f>SUMIFS(Table21[4/1/2025],Table21[ProductID],Product_CustomerSegment_Monthly_Variable_Cost[[#This Row],[ProductID]])</f>
        <v>62.98</v>
      </c>
      <c r="R47">
        <f>SUMIFS(Table21[5/1/2025],Table21[ProductID],Product_CustomerSegment_Monthly_Variable_Cost[[#This Row],[ProductID]])</f>
        <v>64.709999999999994</v>
      </c>
      <c r="S47">
        <f>SUMIFS(Table21[6/1/2025],Table21[ProductID],Product_CustomerSegment_Monthly_Variable_Cost[[#This Row],[ProductID]])</f>
        <v>64.45</v>
      </c>
      <c r="V47" t="s">
        <v>86</v>
      </c>
      <c r="W47" t="s">
        <v>28</v>
      </c>
      <c r="X47">
        <f>Product_CustomerSegment_Monthly_Variable_Cost[[#This Row],[25-Jan]]*Product_Segment_Monthly_Quantity[[#This Row],[1/1/2025]]</f>
        <v>66.33</v>
      </c>
      <c r="Y47">
        <f>Product_CustomerSegment_Monthly_Variable_Cost[[#This Row],[25-Feb]]*Product_Segment_Monthly_Quantity[[#This Row],[2/1/2025]]</f>
        <v>69.849999999999994</v>
      </c>
      <c r="Z47">
        <f>Product_CustomerSegment_Monthly_Variable_Cost[[#This Row],[25-Mar]]*Product_Segment_Monthly_Quantity[[#This Row],[3/1/2025]]</f>
        <v>135.34</v>
      </c>
      <c r="AA47">
        <f>Product_CustomerSegment_Monthly_Variable_Cost[[#This Row],[25-Apr]]*Product_Segment_Monthly_Quantity[[#This Row],[4/1/2025]]</f>
        <v>188.94</v>
      </c>
      <c r="AB47">
        <f>Product_CustomerSegment_Monthly_Variable_Cost[[#This Row],[25-May]]*Product_Segment_Monthly_Quantity[[#This Row],[5/1/2025]]</f>
        <v>0</v>
      </c>
      <c r="AC47">
        <f>Product_CustomerSegment_Monthly_Variable_Cost[[#This Row],[25-Jun]]*Product_Segment_Monthly_Quantity[[#This Row],[6/1/2025]]</f>
        <v>386.70000000000005</v>
      </c>
      <c r="AD47">
        <f>SUM(Product_CustomerSegment_Monthly_Variable_Cost_Amount[[#This Row],[25-Jan]:[25-Jun]])</f>
        <v>847.16000000000008</v>
      </c>
      <c r="AG47" t="s">
        <v>86</v>
      </c>
      <c r="AH47" t="s">
        <v>28</v>
      </c>
      <c r="AI47">
        <f>SUMIFS(Product_Fixed_Allocation[1/1/2025],Product_Fixed_Allocation[ProductID],Product_CustomerSegment_Monthly_Actual_Fixed_Cost[[#This Row],[ProductID]])</f>
        <v>145</v>
      </c>
      <c r="AJ47">
        <f>SUMIFS(Product_Fixed_Allocation[2/1/2025],Product_Fixed_Allocation[ProductID],Product_CustomerSegment_Monthly_Actual_Fixed_Cost[[#This Row],[ProductID]])</f>
        <v>145</v>
      </c>
      <c r="AK47">
        <f>SUMIFS(Product_Fixed_Allocation[3/1/2025],Product_Fixed_Allocation[ProductID],Product_CustomerSegment_Monthly_Actual_Fixed_Cost[[#This Row],[ProductID]])</f>
        <v>145</v>
      </c>
      <c r="AL47">
        <f>SUMIFS(Product_Fixed_Allocation[4/1/2025],Product_Fixed_Allocation[ProductID],Product_CustomerSegment_Monthly_Actual_Fixed_Cost[[#This Row],[ProductID]])</f>
        <v>145</v>
      </c>
      <c r="AM47">
        <f>SUMIFS(Product_Fixed_Allocation[5/1/2025],Product_Fixed_Allocation[ProductID],Product_CustomerSegment_Monthly_Actual_Fixed_Cost[[#This Row],[ProductID]])</f>
        <v>145</v>
      </c>
      <c r="AN47">
        <f>SUMIFS(Product_Fixed_Allocation[6/1/2025],Product_Fixed_Allocation[ProductID],Product_CustomerSegment_Monthly_Actual_Fixed_Cost[[#This Row],[ProductID]])</f>
        <v>145</v>
      </c>
      <c r="AO47">
        <f>SUM(Product_CustomerSegment_Monthly_Actual_Fixed_Cost[[#This Row],[25-Jan]:[25-Jun]])</f>
        <v>870</v>
      </c>
      <c r="AR47" t="s">
        <v>86</v>
      </c>
      <c r="AS47" t="s">
        <v>28</v>
      </c>
      <c r="AT47">
        <f>Product_CustomerSegment_Monthly_Actual_Fixed_Cost[[#This Row],[25-Jan]]*Product_Segment_Monthly_Quantity[[#This Row],[1/1/2025]]</f>
        <v>145</v>
      </c>
      <c r="AU47">
        <f>Product_CustomerSegment_Monthly_Actual_Fixed_Cost[[#This Row],[25-Feb]]*Product_Segment_Monthly_Quantity[[#This Row],[2/1/2025]]</f>
        <v>145</v>
      </c>
      <c r="AV47">
        <f>Product_CustomerSegment_Monthly_Actual_Fixed_Cost[[#This Row],[25-Mar]]*Product_Segment_Monthly_Quantity[[#This Row],[3/1/2025]]</f>
        <v>290</v>
      </c>
      <c r="AW47">
        <f>Product_CustomerSegment_Monthly_Actual_Fixed_Cost[[#This Row],[25-Apr]]*Product_Segment_Monthly_Quantity[[#This Row],[4/1/2025]]</f>
        <v>435</v>
      </c>
      <c r="AX47">
        <f>Product_CustomerSegment_Monthly_Actual_Fixed_Cost[[#This Row],[25-May]]*Product_Segment_Monthly_Quantity[[#This Row],[5/1/2025]]</f>
        <v>0</v>
      </c>
      <c r="AY47">
        <f>Product_CustomerSegment_Monthly_Actual_Fixed_Cost[[#This Row],[25-Jun]]*Product_Segment_Monthly_Quantity[[#This Row],[6/1/2025]]</f>
        <v>870</v>
      </c>
      <c r="AZ47">
        <f>SUM(Product_CustomerSegment_Monthly_Fixed_Cost_Amount[[#This Row],[25-Jan]:[25-Jun]])</f>
        <v>1885</v>
      </c>
      <c r="BC47" t="s">
        <v>86</v>
      </c>
      <c r="BD47" t="s">
        <v>28</v>
      </c>
      <c r="BE47">
        <f>Product_CustomerSegment_Monthly_Fixed_Cost_Amount[[#This Row],[25-Jan]]+Product_CustomerSegment_Monthly_Variable_Cost_Amount[[#This Row],[25-Jan]]</f>
        <v>211.32999999999998</v>
      </c>
      <c r="BF47">
        <f>Product_CustomerSegment_Monthly_Fixed_Cost_Amount[[#This Row],[25-Feb]]+Product_CustomerSegment_Monthly_Variable_Cost_Amount[[#This Row],[25-Feb]]</f>
        <v>214.85</v>
      </c>
      <c r="BG47">
        <f>Product_CustomerSegment_Monthly_Fixed_Cost_Amount[[#This Row],[25-Mar]]+Product_CustomerSegment_Monthly_Variable_Cost_Amount[[#This Row],[25-Mar]]</f>
        <v>425.34000000000003</v>
      </c>
      <c r="BH47">
        <f>Product_CustomerSegment_Monthly_Fixed_Cost_Amount[[#This Row],[25-Apr]]+Product_CustomerSegment_Monthly_Variable_Cost_Amount[[#This Row],[25-Apr]]</f>
        <v>623.94000000000005</v>
      </c>
      <c r="BI47">
        <f>Product_CustomerSegment_Monthly_Fixed_Cost_Amount[[#This Row],[25-May]]+Product_CustomerSegment_Monthly_Variable_Cost_Amount[[#This Row],[25-May]]</f>
        <v>0</v>
      </c>
      <c r="BJ47">
        <f>Product_CustomerSegment_Monthly_Fixed_Cost_Amount[[#This Row],[25-Jun]]+Product_CustomerSegment_Monthly_Variable_Cost_Amount[[#This Row],[25-Jun]]</f>
        <v>1256.7</v>
      </c>
      <c r="BK47">
        <f>SUM(Product_CustomerSegment_Monthly_COGS[[#This Row],[25-Jan]:[25-Jun]])</f>
        <v>2732.16</v>
      </c>
    </row>
    <row r="48" spans="1:63">
      <c r="A48" t="s">
        <v>86</v>
      </c>
      <c r="B48" t="s">
        <v>36</v>
      </c>
      <c r="C4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4</v>
      </c>
      <c r="D4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4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5</v>
      </c>
      <c r="F4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4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</v>
      </c>
      <c r="H4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48">
        <f>SUM(Product_Segment_Monthly_Quantity[[#This Row],[1/1/2025]:[6/1/2025]])</f>
        <v>14</v>
      </c>
      <c r="L48" t="s">
        <v>86</v>
      </c>
      <c r="M48" t="s">
        <v>36</v>
      </c>
      <c r="N48">
        <f>SUMIFS(Table21[1/1/2025],Table21[ProductID],Product_CustomerSegment_Monthly_Variable_Cost[[#This Row],[ProductID]])</f>
        <v>66.33</v>
      </c>
      <c r="O48">
        <f>SUMIFS(Table21[2/1/2025],Table21[ProductID],Product_CustomerSegment_Monthly_Variable_Cost[[#This Row],[ProductID]])</f>
        <v>69.849999999999994</v>
      </c>
      <c r="P48">
        <f>SUMIFS(Table21[3/1/2025],Table21[ProductID],Product_CustomerSegment_Monthly_Variable_Cost[[#This Row],[ProductID]])</f>
        <v>67.67</v>
      </c>
      <c r="Q48">
        <f>SUMIFS(Table21[4/1/2025],Table21[ProductID],Product_CustomerSegment_Monthly_Variable_Cost[[#This Row],[ProductID]])</f>
        <v>62.98</v>
      </c>
      <c r="R48">
        <f>SUMIFS(Table21[5/1/2025],Table21[ProductID],Product_CustomerSegment_Monthly_Variable_Cost[[#This Row],[ProductID]])</f>
        <v>64.709999999999994</v>
      </c>
      <c r="S48">
        <f>SUMIFS(Table21[6/1/2025],Table21[ProductID],Product_CustomerSegment_Monthly_Variable_Cost[[#This Row],[ProductID]])</f>
        <v>64.45</v>
      </c>
      <c r="V48" t="s">
        <v>86</v>
      </c>
      <c r="W48" t="s">
        <v>36</v>
      </c>
      <c r="X48">
        <f>Product_CustomerSegment_Monthly_Variable_Cost[[#This Row],[25-Jan]]*Product_Segment_Monthly_Quantity[[#This Row],[1/1/2025]]</f>
        <v>265.32</v>
      </c>
      <c r="Y48">
        <f>Product_CustomerSegment_Monthly_Variable_Cost[[#This Row],[25-Feb]]*Product_Segment_Monthly_Quantity[[#This Row],[2/1/2025]]</f>
        <v>0</v>
      </c>
      <c r="Z48">
        <f>Product_CustomerSegment_Monthly_Variable_Cost[[#This Row],[25-Mar]]*Product_Segment_Monthly_Quantity[[#This Row],[3/1/2025]]</f>
        <v>338.35</v>
      </c>
      <c r="AA48">
        <f>Product_CustomerSegment_Monthly_Variable_Cost[[#This Row],[25-Apr]]*Product_Segment_Monthly_Quantity[[#This Row],[4/1/2025]]</f>
        <v>0</v>
      </c>
      <c r="AB48">
        <f>Product_CustomerSegment_Monthly_Variable_Cost[[#This Row],[25-May]]*Product_Segment_Monthly_Quantity[[#This Row],[5/1/2025]]</f>
        <v>194.13</v>
      </c>
      <c r="AC48">
        <f>Product_CustomerSegment_Monthly_Variable_Cost[[#This Row],[25-Jun]]*Product_Segment_Monthly_Quantity[[#This Row],[6/1/2025]]</f>
        <v>128.9</v>
      </c>
      <c r="AD48">
        <f>SUM(Product_CustomerSegment_Monthly_Variable_Cost_Amount[[#This Row],[25-Jan]:[25-Jun]])</f>
        <v>926.7</v>
      </c>
      <c r="AG48" t="s">
        <v>86</v>
      </c>
      <c r="AH48" t="s">
        <v>36</v>
      </c>
      <c r="AI48">
        <f>SUMIFS(Product_Fixed_Allocation[1/1/2025],Product_Fixed_Allocation[ProductID],Product_CustomerSegment_Monthly_Actual_Fixed_Cost[[#This Row],[ProductID]])</f>
        <v>145</v>
      </c>
      <c r="AJ48">
        <f>SUMIFS(Product_Fixed_Allocation[2/1/2025],Product_Fixed_Allocation[ProductID],Product_CustomerSegment_Monthly_Actual_Fixed_Cost[[#This Row],[ProductID]])</f>
        <v>145</v>
      </c>
      <c r="AK48">
        <f>SUMIFS(Product_Fixed_Allocation[3/1/2025],Product_Fixed_Allocation[ProductID],Product_CustomerSegment_Monthly_Actual_Fixed_Cost[[#This Row],[ProductID]])</f>
        <v>145</v>
      </c>
      <c r="AL48">
        <f>SUMIFS(Product_Fixed_Allocation[4/1/2025],Product_Fixed_Allocation[ProductID],Product_CustomerSegment_Monthly_Actual_Fixed_Cost[[#This Row],[ProductID]])</f>
        <v>145</v>
      </c>
      <c r="AM48">
        <f>SUMIFS(Product_Fixed_Allocation[5/1/2025],Product_Fixed_Allocation[ProductID],Product_CustomerSegment_Monthly_Actual_Fixed_Cost[[#This Row],[ProductID]])</f>
        <v>145</v>
      </c>
      <c r="AN48">
        <f>SUMIFS(Product_Fixed_Allocation[6/1/2025],Product_Fixed_Allocation[ProductID],Product_CustomerSegment_Monthly_Actual_Fixed_Cost[[#This Row],[ProductID]])</f>
        <v>145</v>
      </c>
      <c r="AO48">
        <f>SUM(Product_CustomerSegment_Monthly_Actual_Fixed_Cost[[#This Row],[25-Jan]:[25-Jun]])</f>
        <v>870</v>
      </c>
      <c r="AR48" t="s">
        <v>86</v>
      </c>
      <c r="AS48" t="s">
        <v>36</v>
      </c>
      <c r="AT48">
        <f>Product_CustomerSegment_Monthly_Actual_Fixed_Cost[[#This Row],[25-Jan]]*Product_Segment_Monthly_Quantity[[#This Row],[1/1/2025]]</f>
        <v>580</v>
      </c>
      <c r="AU48">
        <f>Product_CustomerSegment_Monthly_Actual_Fixed_Cost[[#This Row],[25-Feb]]*Product_Segment_Monthly_Quantity[[#This Row],[2/1/2025]]</f>
        <v>0</v>
      </c>
      <c r="AV48">
        <f>Product_CustomerSegment_Monthly_Actual_Fixed_Cost[[#This Row],[25-Mar]]*Product_Segment_Monthly_Quantity[[#This Row],[3/1/2025]]</f>
        <v>725</v>
      </c>
      <c r="AW48">
        <f>Product_CustomerSegment_Monthly_Actual_Fixed_Cost[[#This Row],[25-Apr]]*Product_Segment_Monthly_Quantity[[#This Row],[4/1/2025]]</f>
        <v>0</v>
      </c>
      <c r="AX48">
        <f>Product_CustomerSegment_Monthly_Actual_Fixed_Cost[[#This Row],[25-May]]*Product_Segment_Monthly_Quantity[[#This Row],[5/1/2025]]</f>
        <v>435</v>
      </c>
      <c r="AY48">
        <f>Product_CustomerSegment_Monthly_Actual_Fixed_Cost[[#This Row],[25-Jun]]*Product_Segment_Monthly_Quantity[[#This Row],[6/1/2025]]</f>
        <v>290</v>
      </c>
      <c r="AZ48">
        <f>SUM(Product_CustomerSegment_Monthly_Fixed_Cost_Amount[[#This Row],[25-Jan]:[25-Jun]])</f>
        <v>2030</v>
      </c>
      <c r="BC48" t="s">
        <v>86</v>
      </c>
      <c r="BD48" t="s">
        <v>36</v>
      </c>
      <c r="BE48">
        <f>Product_CustomerSegment_Monthly_Fixed_Cost_Amount[[#This Row],[25-Jan]]+Product_CustomerSegment_Monthly_Variable_Cost_Amount[[#This Row],[25-Jan]]</f>
        <v>845.31999999999994</v>
      </c>
      <c r="BF48">
        <f>Product_CustomerSegment_Monthly_Fixed_Cost_Amount[[#This Row],[25-Feb]]+Product_CustomerSegment_Monthly_Variable_Cost_Amount[[#This Row],[25-Feb]]</f>
        <v>0</v>
      </c>
      <c r="BG48">
        <f>Product_CustomerSegment_Monthly_Fixed_Cost_Amount[[#This Row],[25-Mar]]+Product_CustomerSegment_Monthly_Variable_Cost_Amount[[#This Row],[25-Mar]]</f>
        <v>1063.3499999999999</v>
      </c>
      <c r="BH48">
        <f>Product_CustomerSegment_Monthly_Fixed_Cost_Amount[[#This Row],[25-Apr]]+Product_CustomerSegment_Monthly_Variable_Cost_Amount[[#This Row],[25-Apr]]</f>
        <v>0</v>
      </c>
      <c r="BI48">
        <f>Product_CustomerSegment_Monthly_Fixed_Cost_Amount[[#This Row],[25-May]]+Product_CustomerSegment_Monthly_Variable_Cost_Amount[[#This Row],[25-May]]</f>
        <v>629.13</v>
      </c>
      <c r="BJ48">
        <f>Product_CustomerSegment_Monthly_Fixed_Cost_Amount[[#This Row],[25-Jun]]+Product_CustomerSegment_Monthly_Variable_Cost_Amount[[#This Row],[25-Jun]]</f>
        <v>418.9</v>
      </c>
      <c r="BK48">
        <f>SUM(Product_CustomerSegment_Monthly_COGS[[#This Row],[25-Jan]:[25-Jun]])</f>
        <v>2956.7</v>
      </c>
    </row>
    <row r="49" spans="1:63">
      <c r="A49" t="s">
        <v>86</v>
      </c>
      <c r="B49" t="s">
        <v>48</v>
      </c>
      <c r="C4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4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4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4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4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</v>
      </c>
      <c r="H4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</v>
      </c>
      <c r="I49">
        <f>SUM(Product_Segment_Monthly_Quantity[[#This Row],[1/1/2025]:[6/1/2025]])</f>
        <v>13</v>
      </c>
      <c r="L49" t="s">
        <v>86</v>
      </c>
      <c r="M49" t="s">
        <v>48</v>
      </c>
      <c r="N49">
        <f>SUMIFS(Table21[1/1/2025],Table21[ProductID],Product_CustomerSegment_Monthly_Variable_Cost[[#This Row],[ProductID]])</f>
        <v>66.33</v>
      </c>
      <c r="O49">
        <f>SUMIFS(Table21[2/1/2025],Table21[ProductID],Product_CustomerSegment_Monthly_Variable_Cost[[#This Row],[ProductID]])</f>
        <v>69.849999999999994</v>
      </c>
      <c r="P49">
        <f>SUMIFS(Table21[3/1/2025],Table21[ProductID],Product_CustomerSegment_Monthly_Variable_Cost[[#This Row],[ProductID]])</f>
        <v>67.67</v>
      </c>
      <c r="Q49">
        <f>SUMIFS(Table21[4/1/2025],Table21[ProductID],Product_CustomerSegment_Monthly_Variable_Cost[[#This Row],[ProductID]])</f>
        <v>62.98</v>
      </c>
      <c r="R49">
        <f>SUMIFS(Table21[5/1/2025],Table21[ProductID],Product_CustomerSegment_Monthly_Variable_Cost[[#This Row],[ProductID]])</f>
        <v>64.709999999999994</v>
      </c>
      <c r="S49">
        <f>SUMIFS(Table21[6/1/2025],Table21[ProductID],Product_CustomerSegment_Monthly_Variable_Cost[[#This Row],[ProductID]])</f>
        <v>64.45</v>
      </c>
      <c r="V49" t="s">
        <v>86</v>
      </c>
      <c r="W49" t="s">
        <v>48</v>
      </c>
      <c r="X49">
        <f>Product_CustomerSegment_Monthly_Variable_Cost[[#This Row],[25-Jan]]*Product_Segment_Monthly_Quantity[[#This Row],[1/1/2025]]</f>
        <v>132.66</v>
      </c>
      <c r="Y49">
        <f>Product_CustomerSegment_Monthly_Variable_Cost[[#This Row],[25-Feb]]*Product_Segment_Monthly_Quantity[[#This Row],[2/1/2025]]</f>
        <v>69.849999999999994</v>
      </c>
      <c r="Z49">
        <f>Product_CustomerSegment_Monthly_Variable_Cost[[#This Row],[25-Mar]]*Product_Segment_Monthly_Quantity[[#This Row],[3/1/2025]]</f>
        <v>135.34</v>
      </c>
      <c r="AA49">
        <f>Product_CustomerSegment_Monthly_Variable_Cost[[#This Row],[25-Apr]]*Product_Segment_Monthly_Quantity[[#This Row],[4/1/2025]]</f>
        <v>125.96</v>
      </c>
      <c r="AB49">
        <f>Product_CustomerSegment_Monthly_Variable_Cost[[#This Row],[25-May]]*Product_Segment_Monthly_Quantity[[#This Row],[5/1/2025]]</f>
        <v>194.13</v>
      </c>
      <c r="AC49">
        <f>Product_CustomerSegment_Monthly_Variable_Cost[[#This Row],[25-Jun]]*Product_Segment_Monthly_Quantity[[#This Row],[6/1/2025]]</f>
        <v>193.35000000000002</v>
      </c>
      <c r="AD49">
        <f>SUM(Product_CustomerSegment_Monthly_Variable_Cost_Amount[[#This Row],[25-Jan]:[25-Jun]])</f>
        <v>851.29000000000008</v>
      </c>
      <c r="AG49" t="s">
        <v>86</v>
      </c>
      <c r="AH49" t="s">
        <v>48</v>
      </c>
      <c r="AI49">
        <f>SUMIFS(Product_Fixed_Allocation[1/1/2025],Product_Fixed_Allocation[ProductID],Product_CustomerSegment_Monthly_Actual_Fixed_Cost[[#This Row],[ProductID]])</f>
        <v>145</v>
      </c>
      <c r="AJ49">
        <f>SUMIFS(Product_Fixed_Allocation[2/1/2025],Product_Fixed_Allocation[ProductID],Product_CustomerSegment_Monthly_Actual_Fixed_Cost[[#This Row],[ProductID]])</f>
        <v>145</v>
      </c>
      <c r="AK49">
        <f>SUMIFS(Product_Fixed_Allocation[3/1/2025],Product_Fixed_Allocation[ProductID],Product_CustomerSegment_Monthly_Actual_Fixed_Cost[[#This Row],[ProductID]])</f>
        <v>145</v>
      </c>
      <c r="AL49">
        <f>SUMIFS(Product_Fixed_Allocation[4/1/2025],Product_Fixed_Allocation[ProductID],Product_CustomerSegment_Monthly_Actual_Fixed_Cost[[#This Row],[ProductID]])</f>
        <v>145</v>
      </c>
      <c r="AM49">
        <f>SUMIFS(Product_Fixed_Allocation[5/1/2025],Product_Fixed_Allocation[ProductID],Product_CustomerSegment_Monthly_Actual_Fixed_Cost[[#This Row],[ProductID]])</f>
        <v>145</v>
      </c>
      <c r="AN49">
        <f>SUMIFS(Product_Fixed_Allocation[6/1/2025],Product_Fixed_Allocation[ProductID],Product_CustomerSegment_Monthly_Actual_Fixed_Cost[[#This Row],[ProductID]])</f>
        <v>145</v>
      </c>
      <c r="AO49">
        <f>SUM(Product_CustomerSegment_Monthly_Actual_Fixed_Cost[[#This Row],[25-Jan]:[25-Jun]])</f>
        <v>870</v>
      </c>
      <c r="AR49" t="s">
        <v>86</v>
      </c>
      <c r="AS49" t="s">
        <v>48</v>
      </c>
      <c r="AT49">
        <f>Product_CustomerSegment_Monthly_Actual_Fixed_Cost[[#This Row],[25-Jan]]*Product_Segment_Monthly_Quantity[[#This Row],[1/1/2025]]</f>
        <v>290</v>
      </c>
      <c r="AU49">
        <f>Product_CustomerSegment_Monthly_Actual_Fixed_Cost[[#This Row],[25-Feb]]*Product_Segment_Monthly_Quantity[[#This Row],[2/1/2025]]</f>
        <v>145</v>
      </c>
      <c r="AV49">
        <f>Product_CustomerSegment_Monthly_Actual_Fixed_Cost[[#This Row],[25-Mar]]*Product_Segment_Monthly_Quantity[[#This Row],[3/1/2025]]</f>
        <v>290</v>
      </c>
      <c r="AW49">
        <f>Product_CustomerSegment_Monthly_Actual_Fixed_Cost[[#This Row],[25-Apr]]*Product_Segment_Monthly_Quantity[[#This Row],[4/1/2025]]</f>
        <v>290</v>
      </c>
      <c r="AX49">
        <f>Product_CustomerSegment_Monthly_Actual_Fixed_Cost[[#This Row],[25-May]]*Product_Segment_Monthly_Quantity[[#This Row],[5/1/2025]]</f>
        <v>435</v>
      </c>
      <c r="AY49">
        <f>Product_CustomerSegment_Monthly_Actual_Fixed_Cost[[#This Row],[25-Jun]]*Product_Segment_Monthly_Quantity[[#This Row],[6/1/2025]]</f>
        <v>435</v>
      </c>
      <c r="AZ49">
        <f>SUM(Product_CustomerSegment_Monthly_Fixed_Cost_Amount[[#This Row],[25-Jan]:[25-Jun]])</f>
        <v>1885</v>
      </c>
      <c r="BC49" t="s">
        <v>86</v>
      </c>
      <c r="BD49" t="s">
        <v>48</v>
      </c>
      <c r="BE49">
        <f>Product_CustomerSegment_Monthly_Fixed_Cost_Amount[[#This Row],[25-Jan]]+Product_CustomerSegment_Monthly_Variable_Cost_Amount[[#This Row],[25-Jan]]</f>
        <v>422.65999999999997</v>
      </c>
      <c r="BF49">
        <f>Product_CustomerSegment_Monthly_Fixed_Cost_Amount[[#This Row],[25-Feb]]+Product_CustomerSegment_Monthly_Variable_Cost_Amount[[#This Row],[25-Feb]]</f>
        <v>214.85</v>
      </c>
      <c r="BG49">
        <f>Product_CustomerSegment_Monthly_Fixed_Cost_Amount[[#This Row],[25-Mar]]+Product_CustomerSegment_Monthly_Variable_Cost_Amount[[#This Row],[25-Mar]]</f>
        <v>425.34000000000003</v>
      </c>
      <c r="BH49">
        <f>Product_CustomerSegment_Monthly_Fixed_Cost_Amount[[#This Row],[25-Apr]]+Product_CustomerSegment_Monthly_Variable_Cost_Amount[[#This Row],[25-Apr]]</f>
        <v>415.96</v>
      </c>
      <c r="BI49">
        <f>Product_CustomerSegment_Monthly_Fixed_Cost_Amount[[#This Row],[25-May]]+Product_CustomerSegment_Monthly_Variable_Cost_Amount[[#This Row],[25-May]]</f>
        <v>629.13</v>
      </c>
      <c r="BJ49">
        <f>Product_CustomerSegment_Monthly_Fixed_Cost_Amount[[#This Row],[25-Jun]]+Product_CustomerSegment_Monthly_Variable_Cost_Amount[[#This Row],[25-Jun]]</f>
        <v>628.35</v>
      </c>
      <c r="BK49">
        <f>SUM(Product_CustomerSegment_Monthly_COGS[[#This Row],[25-Jan]:[25-Jun]])</f>
        <v>2736.29</v>
      </c>
    </row>
    <row r="50" spans="1:63">
      <c r="A50" t="s">
        <v>86</v>
      </c>
      <c r="B50" t="s">
        <v>59</v>
      </c>
      <c r="C5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5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5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5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5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5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50">
        <f>SUM(Product_Segment_Monthly_Quantity[[#This Row],[1/1/2025]:[6/1/2025]])</f>
        <v>10</v>
      </c>
      <c r="L50" t="s">
        <v>86</v>
      </c>
      <c r="M50" t="s">
        <v>59</v>
      </c>
      <c r="N50">
        <f>SUMIFS(Table21[1/1/2025],Table21[ProductID],Product_CustomerSegment_Monthly_Variable_Cost[[#This Row],[ProductID]])</f>
        <v>66.33</v>
      </c>
      <c r="O50">
        <f>SUMIFS(Table21[2/1/2025],Table21[ProductID],Product_CustomerSegment_Monthly_Variable_Cost[[#This Row],[ProductID]])</f>
        <v>69.849999999999994</v>
      </c>
      <c r="P50">
        <f>SUMIFS(Table21[3/1/2025],Table21[ProductID],Product_CustomerSegment_Monthly_Variable_Cost[[#This Row],[ProductID]])</f>
        <v>67.67</v>
      </c>
      <c r="Q50">
        <f>SUMIFS(Table21[4/1/2025],Table21[ProductID],Product_CustomerSegment_Monthly_Variable_Cost[[#This Row],[ProductID]])</f>
        <v>62.98</v>
      </c>
      <c r="R50">
        <f>SUMIFS(Table21[5/1/2025],Table21[ProductID],Product_CustomerSegment_Monthly_Variable_Cost[[#This Row],[ProductID]])</f>
        <v>64.709999999999994</v>
      </c>
      <c r="S50">
        <f>SUMIFS(Table21[6/1/2025],Table21[ProductID],Product_CustomerSegment_Monthly_Variable_Cost[[#This Row],[ProductID]])</f>
        <v>64.45</v>
      </c>
      <c r="V50" t="s">
        <v>86</v>
      </c>
      <c r="W50" t="s">
        <v>59</v>
      </c>
      <c r="X50">
        <f>Product_CustomerSegment_Monthly_Variable_Cost[[#This Row],[25-Jan]]*Product_Segment_Monthly_Quantity[[#This Row],[1/1/2025]]</f>
        <v>66.33</v>
      </c>
      <c r="Y50">
        <f>Product_CustomerSegment_Monthly_Variable_Cost[[#This Row],[25-Feb]]*Product_Segment_Monthly_Quantity[[#This Row],[2/1/2025]]</f>
        <v>209.54999999999998</v>
      </c>
      <c r="Z50">
        <f>Product_CustomerSegment_Monthly_Variable_Cost[[#This Row],[25-Mar]]*Product_Segment_Monthly_Quantity[[#This Row],[3/1/2025]]</f>
        <v>135.34</v>
      </c>
      <c r="AA50">
        <f>Product_CustomerSegment_Monthly_Variable_Cost[[#This Row],[25-Apr]]*Product_Segment_Monthly_Quantity[[#This Row],[4/1/2025]]</f>
        <v>188.94</v>
      </c>
      <c r="AB50">
        <f>Product_CustomerSegment_Monthly_Variable_Cost[[#This Row],[25-May]]*Product_Segment_Monthly_Quantity[[#This Row],[5/1/2025]]</f>
        <v>64.709999999999994</v>
      </c>
      <c r="AC50">
        <f>Product_CustomerSegment_Monthly_Variable_Cost[[#This Row],[25-Jun]]*Product_Segment_Monthly_Quantity[[#This Row],[6/1/2025]]</f>
        <v>0</v>
      </c>
      <c r="AD50">
        <f>SUM(Product_CustomerSegment_Monthly_Variable_Cost_Amount[[#This Row],[25-Jan]:[25-Jun]])</f>
        <v>664.87000000000012</v>
      </c>
      <c r="AG50" t="s">
        <v>86</v>
      </c>
      <c r="AH50" t="s">
        <v>59</v>
      </c>
      <c r="AI50">
        <f>SUMIFS(Product_Fixed_Allocation[1/1/2025],Product_Fixed_Allocation[ProductID],Product_CustomerSegment_Monthly_Actual_Fixed_Cost[[#This Row],[ProductID]])</f>
        <v>145</v>
      </c>
      <c r="AJ50">
        <f>SUMIFS(Product_Fixed_Allocation[2/1/2025],Product_Fixed_Allocation[ProductID],Product_CustomerSegment_Monthly_Actual_Fixed_Cost[[#This Row],[ProductID]])</f>
        <v>145</v>
      </c>
      <c r="AK50">
        <f>SUMIFS(Product_Fixed_Allocation[3/1/2025],Product_Fixed_Allocation[ProductID],Product_CustomerSegment_Monthly_Actual_Fixed_Cost[[#This Row],[ProductID]])</f>
        <v>145</v>
      </c>
      <c r="AL50">
        <f>SUMIFS(Product_Fixed_Allocation[4/1/2025],Product_Fixed_Allocation[ProductID],Product_CustomerSegment_Monthly_Actual_Fixed_Cost[[#This Row],[ProductID]])</f>
        <v>145</v>
      </c>
      <c r="AM50">
        <f>SUMIFS(Product_Fixed_Allocation[5/1/2025],Product_Fixed_Allocation[ProductID],Product_CustomerSegment_Monthly_Actual_Fixed_Cost[[#This Row],[ProductID]])</f>
        <v>145</v>
      </c>
      <c r="AN50">
        <f>SUMIFS(Product_Fixed_Allocation[6/1/2025],Product_Fixed_Allocation[ProductID],Product_CustomerSegment_Monthly_Actual_Fixed_Cost[[#This Row],[ProductID]])</f>
        <v>145</v>
      </c>
      <c r="AO50">
        <f>SUM(Product_CustomerSegment_Monthly_Actual_Fixed_Cost[[#This Row],[25-Jan]:[25-Jun]])</f>
        <v>870</v>
      </c>
      <c r="AR50" t="s">
        <v>86</v>
      </c>
      <c r="AS50" t="s">
        <v>59</v>
      </c>
      <c r="AT50">
        <f>Product_CustomerSegment_Monthly_Actual_Fixed_Cost[[#This Row],[25-Jan]]*Product_Segment_Monthly_Quantity[[#This Row],[1/1/2025]]</f>
        <v>145</v>
      </c>
      <c r="AU50">
        <f>Product_CustomerSegment_Monthly_Actual_Fixed_Cost[[#This Row],[25-Feb]]*Product_Segment_Monthly_Quantity[[#This Row],[2/1/2025]]</f>
        <v>435</v>
      </c>
      <c r="AV50">
        <f>Product_CustomerSegment_Monthly_Actual_Fixed_Cost[[#This Row],[25-Mar]]*Product_Segment_Monthly_Quantity[[#This Row],[3/1/2025]]</f>
        <v>290</v>
      </c>
      <c r="AW50">
        <f>Product_CustomerSegment_Monthly_Actual_Fixed_Cost[[#This Row],[25-Apr]]*Product_Segment_Monthly_Quantity[[#This Row],[4/1/2025]]</f>
        <v>435</v>
      </c>
      <c r="AX50">
        <f>Product_CustomerSegment_Monthly_Actual_Fixed_Cost[[#This Row],[25-May]]*Product_Segment_Monthly_Quantity[[#This Row],[5/1/2025]]</f>
        <v>145</v>
      </c>
      <c r="AY50">
        <f>Product_CustomerSegment_Monthly_Actual_Fixed_Cost[[#This Row],[25-Jun]]*Product_Segment_Monthly_Quantity[[#This Row],[6/1/2025]]</f>
        <v>0</v>
      </c>
      <c r="AZ50">
        <f>SUM(Product_CustomerSegment_Monthly_Fixed_Cost_Amount[[#This Row],[25-Jan]:[25-Jun]])</f>
        <v>1450</v>
      </c>
      <c r="BC50" t="s">
        <v>86</v>
      </c>
      <c r="BD50" t="s">
        <v>59</v>
      </c>
      <c r="BE50">
        <f>Product_CustomerSegment_Monthly_Fixed_Cost_Amount[[#This Row],[25-Jan]]+Product_CustomerSegment_Monthly_Variable_Cost_Amount[[#This Row],[25-Jan]]</f>
        <v>211.32999999999998</v>
      </c>
      <c r="BF50">
        <f>Product_CustomerSegment_Monthly_Fixed_Cost_Amount[[#This Row],[25-Feb]]+Product_CustomerSegment_Monthly_Variable_Cost_Amount[[#This Row],[25-Feb]]</f>
        <v>644.54999999999995</v>
      </c>
      <c r="BG50">
        <f>Product_CustomerSegment_Monthly_Fixed_Cost_Amount[[#This Row],[25-Mar]]+Product_CustomerSegment_Monthly_Variable_Cost_Amount[[#This Row],[25-Mar]]</f>
        <v>425.34000000000003</v>
      </c>
      <c r="BH50">
        <f>Product_CustomerSegment_Monthly_Fixed_Cost_Amount[[#This Row],[25-Apr]]+Product_CustomerSegment_Monthly_Variable_Cost_Amount[[#This Row],[25-Apr]]</f>
        <v>623.94000000000005</v>
      </c>
      <c r="BI50">
        <f>Product_CustomerSegment_Monthly_Fixed_Cost_Amount[[#This Row],[25-May]]+Product_CustomerSegment_Monthly_Variable_Cost_Amount[[#This Row],[25-May]]</f>
        <v>209.70999999999998</v>
      </c>
      <c r="BJ50">
        <f>Product_CustomerSegment_Monthly_Fixed_Cost_Amount[[#This Row],[25-Jun]]+Product_CustomerSegment_Monthly_Variable_Cost_Amount[[#This Row],[25-Jun]]</f>
        <v>0</v>
      </c>
      <c r="BK50">
        <f>SUM(Product_CustomerSegment_Monthly_COGS[[#This Row],[25-Jan]:[25-Jun]])</f>
        <v>2114.87</v>
      </c>
    </row>
    <row r="51" spans="1:63">
      <c r="A51" t="s">
        <v>86</v>
      </c>
      <c r="B51" t="s">
        <v>44</v>
      </c>
      <c r="C5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5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5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5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5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</v>
      </c>
      <c r="H5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</v>
      </c>
      <c r="I51">
        <f>SUM(Product_Segment_Monthly_Quantity[[#This Row],[1/1/2025]:[6/1/2025]])</f>
        <v>15</v>
      </c>
      <c r="L51" t="s">
        <v>86</v>
      </c>
      <c r="M51" t="s">
        <v>44</v>
      </c>
      <c r="N51">
        <f>SUMIFS(Table21[1/1/2025],Table21[ProductID],Product_CustomerSegment_Monthly_Variable_Cost[[#This Row],[ProductID]])</f>
        <v>66.33</v>
      </c>
      <c r="O51">
        <f>SUMIFS(Table21[2/1/2025],Table21[ProductID],Product_CustomerSegment_Monthly_Variable_Cost[[#This Row],[ProductID]])</f>
        <v>69.849999999999994</v>
      </c>
      <c r="P51">
        <f>SUMIFS(Table21[3/1/2025],Table21[ProductID],Product_CustomerSegment_Monthly_Variable_Cost[[#This Row],[ProductID]])</f>
        <v>67.67</v>
      </c>
      <c r="Q51">
        <f>SUMIFS(Table21[4/1/2025],Table21[ProductID],Product_CustomerSegment_Monthly_Variable_Cost[[#This Row],[ProductID]])</f>
        <v>62.98</v>
      </c>
      <c r="R51">
        <f>SUMIFS(Table21[5/1/2025],Table21[ProductID],Product_CustomerSegment_Monthly_Variable_Cost[[#This Row],[ProductID]])</f>
        <v>64.709999999999994</v>
      </c>
      <c r="S51">
        <f>SUMIFS(Table21[6/1/2025],Table21[ProductID],Product_CustomerSegment_Monthly_Variable_Cost[[#This Row],[ProductID]])</f>
        <v>64.45</v>
      </c>
      <c r="V51" t="s">
        <v>86</v>
      </c>
      <c r="W51" t="s">
        <v>44</v>
      </c>
      <c r="X51">
        <f>Product_CustomerSegment_Monthly_Variable_Cost[[#This Row],[25-Jan]]*Product_Segment_Monthly_Quantity[[#This Row],[1/1/2025]]</f>
        <v>198.99</v>
      </c>
      <c r="Y51">
        <f>Product_CustomerSegment_Monthly_Variable_Cost[[#This Row],[25-Feb]]*Product_Segment_Monthly_Quantity[[#This Row],[2/1/2025]]</f>
        <v>69.849999999999994</v>
      </c>
      <c r="Z51">
        <f>Product_CustomerSegment_Monthly_Variable_Cost[[#This Row],[25-Mar]]*Product_Segment_Monthly_Quantity[[#This Row],[3/1/2025]]</f>
        <v>135.34</v>
      </c>
      <c r="AA51">
        <f>Product_CustomerSegment_Monthly_Variable_Cost[[#This Row],[25-Apr]]*Product_Segment_Monthly_Quantity[[#This Row],[4/1/2025]]</f>
        <v>188.94</v>
      </c>
      <c r="AB51">
        <f>Product_CustomerSegment_Monthly_Variable_Cost[[#This Row],[25-May]]*Product_Segment_Monthly_Quantity[[#This Row],[5/1/2025]]</f>
        <v>194.13</v>
      </c>
      <c r="AC51">
        <f>Product_CustomerSegment_Monthly_Variable_Cost[[#This Row],[25-Jun]]*Product_Segment_Monthly_Quantity[[#This Row],[6/1/2025]]</f>
        <v>193.35000000000002</v>
      </c>
      <c r="AD51">
        <f>SUM(Product_CustomerSegment_Monthly_Variable_Cost_Amount[[#This Row],[25-Jan]:[25-Jun]])</f>
        <v>980.60000000000014</v>
      </c>
      <c r="AG51" t="s">
        <v>86</v>
      </c>
      <c r="AH51" t="s">
        <v>44</v>
      </c>
      <c r="AI51">
        <f>SUMIFS(Product_Fixed_Allocation[1/1/2025],Product_Fixed_Allocation[ProductID],Product_CustomerSegment_Monthly_Actual_Fixed_Cost[[#This Row],[ProductID]])</f>
        <v>145</v>
      </c>
      <c r="AJ51">
        <f>SUMIFS(Product_Fixed_Allocation[2/1/2025],Product_Fixed_Allocation[ProductID],Product_CustomerSegment_Monthly_Actual_Fixed_Cost[[#This Row],[ProductID]])</f>
        <v>145</v>
      </c>
      <c r="AK51">
        <f>SUMIFS(Product_Fixed_Allocation[3/1/2025],Product_Fixed_Allocation[ProductID],Product_CustomerSegment_Monthly_Actual_Fixed_Cost[[#This Row],[ProductID]])</f>
        <v>145</v>
      </c>
      <c r="AL51">
        <f>SUMIFS(Product_Fixed_Allocation[4/1/2025],Product_Fixed_Allocation[ProductID],Product_CustomerSegment_Monthly_Actual_Fixed_Cost[[#This Row],[ProductID]])</f>
        <v>145</v>
      </c>
      <c r="AM51">
        <f>SUMIFS(Product_Fixed_Allocation[5/1/2025],Product_Fixed_Allocation[ProductID],Product_CustomerSegment_Monthly_Actual_Fixed_Cost[[#This Row],[ProductID]])</f>
        <v>145</v>
      </c>
      <c r="AN51">
        <f>SUMIFS(Product_Fixed_Allocation[6/1/2025],Product_Fixed_Allocation[ProductID],Product_CustomerSegment_Monthly_Actual_Fixed_Cost[[#This Row],[ProductID]])</f>
        <v>145</v>
      </c>
      <c r="AO51">
        <f>SUM(Product_CustomerSegment_Monthly_Actual_Fixed_Cost[[#This Row],[25-Jan]:[25-Jun]])</f>
        <v>870</v>
      </c>
      <c r="AR51" t="s">
        <v>86</v>
      </c>
      <c r="AS51" t="s">
        <v>44</v>
      </c>
      <c r="AT51">
        <f>Product_CustomerSegment_Monthly_Actual_Fixed_Cost[[#This Row],[25-Jan]]*Product_Segment_Monthly_Quantity[[#This Row],[1/1/2025]]</f>
        <v>435</v>
      </c>
      <c r="AU51">
        <f>Product_CustomerSegment_Monthly_Actual_Fixed_Cost[[#This Row],[25-Feb]]*Product_Segment_Monthly_Quantity[[#This Row],[2/1/2025]]</f>
        <v>145</v>
      </c>
      <c r="AV51">
        <f>Product_CustomerSegment_Monthly_Actual_Fixed_Cost[[#This Row],[25-Mar]]*Product_Segment_Monthly_Quantity[[#This Row],[3/1/2025]]</f>
        <v>290</v>
      </c>
      <c r="AW51">
        <f>Product_CustomerSegment_Monthly_Actual_Fixed_Cost[[#This Row],[25-Apr]]*Product_Segment_Monthly_Quantity[[#This Row],[4/1/2025]]</f>
        <v>435</v>
      </c>
      <c r="AX51">
        <f>Product_CustomerSegment_Monthly_Actual_Fixed_Cost[[#This Row],[25-May]]*Product_Segment_Monthly_Quantity[[#This Row],[5/1/2025]]</f>
        <v>435</v>
      </c>
      <c r="AY51">
        <f>Product_CustomerSegment_Monthly_Actual_Fixed_Cost[[#This Row],[25-Jun]]*Product_Segment_Monthly_Quantity[[#This Row],[6/1/2025]]</f>
        <v>435</v>
      </c>
      <c r="AZ51">
        <f>SUM(Product_CustomerSegment_Monthly_Fixed_Cost_Amount[[#This Row],[25-Jan]:[25-Jun]])</f>
        <v>2175</v>
      </c>
      <c r="BC51" t="s">
        <v>86</v>
      </c>
      <c r="BD51" t="s">
        <v>44</v>
      </c>
      <c r="BE51">
        <f>Product_CustomerSegment_Monthly_Fixed_Cost_Amount[[#This Row],[25-Jan]]+Product_CustomerSegment_Monthly_Variable_Cost_Amount[[#This Row],[25-Jan]]</f>
        <v>633.99</v>
      </c>
      <c r="BF51">
        <f>Product_CustomerSegment_Monthly_Fixed_Cost_Amount[[#This Row],[25-Feb]]+Product_CustomerSegment_Monthly_Variable_Cost_Amount[[#This Row],[25-Feb]]</f>
        <v>214.85</v>
      </c>
      <c r="BG51">
        <f>Product_CustomerSegment_Monthly_Fixed_Cost_Amount[[#This Row],[25-Mar]]+Product_CustomerSegment_Monthly_Variable_Cost_Amount[[#This Row],[25-Mar]]</f>
        <v>425.34000000000003</v>
      </c>
      <c r="BH51">
        <f>Product_CustomerSegment_Monthly_Fixed_Cost_Amount[[#This Row],[25-Apr]]+Product_CustomerSegment_Monthly_Variable_Cost_Amount[[#This Row],[25-Apr]]</f>
        <v>623.94000000000005</v>
      </c>
      <c r="BI51">
        <f>Product_CustomerSegment_Monthly_Fixed_Cost_Amount[[#This Row],[25-May]]+Product_CustomerSegment_Monthly_Variable_Cost_Amount[[#This Row],[25-May]]</f>
        <v>629.13</v>
      </c>
      <c r="BJ51">
        <f>Product_CustomerSegment_Monthly_Fixed_Cost_Amount[[#This Row],[25-Jun]]+Product_CustomerSegment_Monthly_Variable_Cost_Amount[[#This Row],[25-Jun]]</f>
        <v>628.35</v>
      </c>
      <c r="BK51">
        <f>SUM(Product_CustomerSegment_Monthly_COGS[[#This Row],[25-Jan]:[25-Jun]])</f>
        <v>3155.6</v>
      </c>
    </row>
    <row r="52" spans="1:63">
      <c r="A52" t="s">
        <v>62</v>
      </c>
      <c r="B52" t="s">
        <v>28</v>
      </c>
      <c r="C5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5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5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5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5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5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52">
        <f>SUM(Product_Segment_Monthly_Quantity[[#This Row],[1/1/2025]:[6/1/2025]])</f>
        <v>2</v>
      </c>
      <c r="L52" t="s">
        <v>62</v>
      </c>
      <c r="M52" t="s">
        <v>28</v>
      </c>
      <c r="N52">
        <f>SUMIFS(Table21[1/1/2025],Table21[ProductID],Product_CustomerSegment_Monthly_Variable_Cost[[#This Row],[ProductID]])</f>
        <v>143.6</v>
      </c>
      <c r="O52">
        <f>SUMIFS(Table21[2/1/2025],Table21[ProductID],Product_CustomerSegment_Monthly_Variable_Cost[[#This Row],[ProductID]])</f>
        <v>140.63</v>
      </c>
      <c r="P52">
        <f>SUMIFS(Table21[3/1/2025],Table21[ProductID],Product_CustomerSegment_Monthly_Variable_Cost[[#This Row],[ProductID]])</f>
        <v>146.57</v>
      </c>
      <c r="Q52">
        <f>SUMIFS(Table21[4/1/2025],Table21[ProductID],Product_CustomerSegment_Monthly_Variable_Cost[[#This Row],[ProductID]])</f>
        <v>143.72999999999999</v>
      </c>
      <c r="R52">
        <f>SUMIFS(Table21[5/1/2025],Table21[ProductID],Product_CustomerSegment_Monthly_Variable_Cost[[#This Row],[ProductID]])</f>
        <v>146.06</v>
      </c>
      <c r="S52">
        <f>SUMIFS(Table21[6/1/2025],Table21[ProductID],Product_CustomerSegment_Monthly_Variable_Cost[[#This Row],[ProductID]])</f>
        <v>142.15</v>
      </c>
      <c r="V52" t="s">
        <v>62</v>
      </c>
      <c r="W52" t="s">
        <v>28</v>
      </c>
      <c r="X52">
        <f>Product_CustomerSegment_Monthly_Variable_Cost[[#This Row],[25-Jan]]*Product_Segment_Monthly_Quantity[[#This Row],[1/1/2025]]</f>
        <v>0</v>
      </c>
      <c r="Y52">
        <f>Product_CustomerSegment_Monthly_Variable_Cost[[#This Row],[25-Feb]]*Product_Segment_Monthly_Quantity[[#This Row],[2/1/2025]]</f>
        <v>0</v>
      </c>
      <c r="Z52">
        <f>Product_CustomerSegment_Monthly_Variable_Cost[[#This Row],[25-Mar]]*Product_Segment_Monthly_Quantity[[#This Row],[3/1/2025]]</f>
        <v>0</v>
      </c>
      <c r="AA52">
        <f>Product_CustomerSegment_Monthly_Variable_Cost[[#This Row],[25-Apr]]*Product_Segment_Monthly_Quantity[[#This Row],[4/1/2025]]</f>
        <v>143.72999999999999</v>
      </c>
      <c r="AB52">
        <f>Product_CustomerSegment_Monthly_Variable_Cost[[#This Row],[25-May]]*Product_Segment_Monthly_Quantity[[#This Row],[5/1/2025]]</f>
        <v>0</v>
      </c>
      <c r="AC52">
        <f>Product_CustomerSegment_Monthly_Variable_Cost[[#This Row],[25-Jun]]*Product_Segment_Monthly_Quantity[[#This Row],[6/1/2025]]</f>
        <v>142.15</v>
      </c>
      <c r="AD52">
        <f>SUM(Product_CustomerSegment_Monthly_Variable_Cost_Amount[[#This Row],[25-Jan]:[25-Jun]])</f>
        <v>285.88</v>
      </c>
      <c r="AG52" t="s">
        <v>62</v>
      </c>
      <c r="AH52" t="s">
        <v>28</v>
      </c>
      <c r="AI52">
        <f>SUMIFS(Product_Fixed_Allocation[1/1/2025],Product_Fixed_Allocation[ProductID],Product_CustomerSegment_Monthly_Actual_Fixed_Cost[[#This Row],[ProductID]])</f>
        <v>255</v>
      </c>
      <c r="AJ52">
        <f>SUMIFS(Product_Fixed_Allocation[2/1/2025],Product_Fixed_Allocation[ProductID],Product_CustomerSegment_Monthly_Actual_Fixed_Cost[[#This Row],[ProductID]])</f>
        <v>255</v>
      </c>
      <c r="AK52">
        <f>SUMIFS(Product_Fixed_Allocation[3/1/2025],Product_Fixed_Allocation[ProductID],Product_CustomerSegment_Monthly_Actual_Fixed_Cost[[#This Row],[ProductID]])</f>
        <v>255</v>
      </c>
      <c r="AL52">
        <f>SUMIFS(Product_Fixed_Allocation[4/1/2025],Product_Fixed_Allocation[ProductID],Product_CustomerSegment_Monthly_Actual_Fixed_Cost[[#This Row],[ProductID]])</f>
        <v>255</v>
      </c>
      <c r="AM52">
        <f>SUMIFS(Product_Fixed_Allocation[5/1/2025],Product_Fixed_Allocation[ProductID],Product_CustomerSegment_Monthly_Actual_Fixed_Cost[[#This Row],[ProductID]])</f>
        <v>255</v>
      </c>
      <c r="AN52">
        <f>SUMIFS(Product_Fixed_Allocation[6/1/2025],Product_Fixed_Allocation[ProductID],Product_CustomerSegment_Monthly_Actual_Fixed_Cost[[#This Row],[ProductID]])</f>
        <v>255</v>
      </c>
      <c r="AO52">
        <f>SUM(Product_CustomerSegment_Monthly_Actual_Fixed_Cost[[#This Row],[25-Jan]:[25-Jun]])</f>
        <v>1530</v>
      </c>
      <c r="AR52" t="s">
        <v>62</v>
      </c>
      <c r="AS52" t="s">
        <v>28</v>
      </c>
      <c r="AT52">
        <f>Product_CustomerSegment_Monthly_Actual_Fixed_Cost[[#This Row],[25-Jan]]*Product_Segment_Monthly_Quantity[[#This Row],[1/1/2025]]</f>
        <v>0</v>
      </c>
      <c r="AU52">
        <f>Product_CustomerSegment_Monthly_Actual_Fixed_Cost[[#This Row],[25-Feb]]*Product_Segment_Monthly_Quantity[[#This Row],[2/1/2025]]</f>
        <v>0</v>
      </c>
      <c r="AV52">
        <f>Product_CustomerSegment_Monthly_Actual_Fixed_Cost[[#This Row],[25-Mar]]*Product_Segment_Monthly_Quantity[[#This Row],[3/1/2025]]</f>
        <v>0</v>
      </c>
      <c r="AW52">
        <f>Product_CustomerSegment_Monthly_Actual_Fixed_Cost[[#This Row],[25-Apr]]*Product_Segment_Monthly_Quantity[[#This Row],[4/1/2025]]</f>
        <v>255</v>
      </c>
      <c r="AX52">
        <f>Product_CustomerSegment_Monthly_Actual_Fixed_Cost[[#This Row],[25-May]]*Product_Segment_Monthly_Quantity[[#This Row],[5/1/2025]]</f>
        <v>0</v>
      </c>
      <c r="AY52">
        <f>Product_CustomerSegment_Monthly_Actual_Fixed_Cost[[#This Row],[25-Jun]]*Product_Segment_Monthly_Quantity[[#This Row],[6/1/2025]]</f>
        <v>255</v>
      </c>
      <c r="AZ52">
        <f>SUM(Product_CustomerSegment_Monthly_Fixed_Cost_Amount[[#This Row],[25-Jan]:[25-Jun]])</f>
        <v>510</v>
      </c>
      <c r="BC52" t="s">
        <v>62</v>
      </c>
      <c r="BD52" t="s">
        <v>28</v>
      </c>
      <c r="BE52">
        <f>Product_CustomerSegment_Monthly_Fixed_Cost_Amount[[#This Row],[25-Jan]]+Product_CustomerSegment_Monthly_Variable_Cost_Amount[[#This Row],[25-Jan]]</f>
        <v>0</v>
      </c>
      <c r="BF52">
        <f>Product_CustomerSegment_Monthly_Fixed_Cost_Amount[[#This Row],[25-Feb]]+Product_CustomerSegment_Monthly_Variable_Cost_Amount[[#This Row],[25-Feb]]</f>
        <v>0</v>
      </c>
      <c r="BG52">
        <f>Product_CustomerSegment_Monthly_Fixed_Cost_Amount[[#This Row],[25-Mar]]+Product_CustomerSegment_Monthly_Variable_Cost_Amount[[#This Row],[25-Mar]]</f>
        <v>0</v>
      </c>
      <c r="BH52">
        <f>Product_CustomerSegment_Monthly_Fixed_Cost_Amount[[#This Row],[25-Apr]]+Product_CustomerSegment_Monthly_Variable_Cost_Amount[[#This Row],[25-Apr]]</f>
        <v>398.73</v>
      </c>
      <c r="BI52">
        <f>Product_CustomerSegment_Monthly_Fixed_Cost_Amount[[#This Row],[25-May]]+Product_CustomerSegment_Monthly_Variable_Cost_Amount[[#This Row],[25-May]]</f>
        <v>0</v>
      </c>
      <c r="BJ52">
        <f>Product_CustomerSegment_Monthly_Fixed_Cost_Amount[[#This Row],[25-Jun]]+Product_CustomerSegment_Monthly_Variable_Cost_Amount[[#This Row],[25-Jun]]</f>
        <v>397.15</v>
      </c>
      <c r="BK52">
        <f>SUM(Product_CustomerSegment_Monthly_COGS[[#This Row],[25-Jan]:[25-Jun]])</f>
        <v>795.88</v>
      </c>
    </row>
    <row r="53" spans="1:63">
      <c r="A53" t="s">
        <v>62</v>
      </c>
      <c r="B53" t="s">
        <v>36</v>
      </c>
      <c r="C5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7</v>
      </c>
      <c r="D5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5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8</v>
      </c>
      <c r="F5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5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5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</v>
      </c>
      <c r="I53">
        <f>SUM(Product_Segment_Monthly_Quantity[[#This Row],[1/1/2025]:[6/1/2025]])</f>
        <v>20</v>
      </c>
      <c r="L53" t="s">
        <v>62</v>
      </c>
      <c r="M53" t="s">
        <v>36</v>
      </c>
      <c r="N53">
        <f>SUMIFS(Table21[1/1/2025],Table21[ProductID],Product_CustomerSegment_Monthly_Variable_Cost[[#This Row],[ProductID]])</f>
        <v>143.6</v>
      </c>
      <c r="O53">
        <f>SUMIFS(Table21[2/1/2025],Table21[ProductID],Product_CustomerSegment_Monthly_Variable_Cost[[#This Row],[ProductID]])</f>
        <v>140.63</v>
      </c>
      <c r="P53">
        <f>SUMIFS(Table21[3/1/2025],Table21[ProductID],Product_CustomerSegment_Monthly_Variable_Cost[[#This Row],[ProductID]])</f>
        <v>146.57</v>
      </c>
      <c r="Q53">
        <f>SUMIFS(Table21[4/1/2025],Table21[ProductID],Product_CustomerSegment_Monthly_Variable_Cost[[#This Row],[ProductID]])</f>
        <v>143.72999999999999</v>
      </c>
      <c r="R53">
        <f>SUMIFS(Table21[5/1/2025],Table21[ProductID],Product_CustomerSegment_Monthly_Variable_Cost[[#This Row],[ProductID]])</f>
        <v>146.06</v>
      </c>
      <c r="S53">
        <f>SUMIFS(Table21[6/1/2025],Table21[ProductID],Product_CustomerSegment_Monthly_Variable_Cost[[#This Row],[ProductID]])</f>
        <v>142.15</v>
      </c>
      <c r="V53" t="s">
        <v>62</v>
      </c>
      <c r="W53" t="s">
        <v>36</v>
      </c>
      <c r="X53">
        <f>Product_CustomerSegment_Monthly_Variable_Cost[[#This Row],[25-Jan]]*Product_Segment_Monthly_Quantity[[#This Row],[1/1/2025]]</f>
        <v>1005.1999999999999</v>
      </c>
      <c r="Y53">
        <f>Product_CustomerSegment_Monthly_Variable_Cost[[#This Row],[25-Feb]]*Product_Segment_Monthly_Quantity[[#This Row],[2/1/2025]]</f>
        <v>0</v>
      </c>
      <c r="Z53">
        <f>Product_CustomerSegment_Monthly_Variable_Cost[[#This Row],[25-Mar]]*Product_Segment_Monthly_Quantity[[#This Row],[3/1/2025]]</f>
        <v>1172.56</v>
      </c>
      <c r="AA53">
        <f>Product_CustomerSegment_Monthly_Variable_Cost[[#This Row],[25-Apr]]*Product_Segment_Monthly_Quantity[[#This Row],[4/1/2025]]</f>
        <v>143.72999999999999</v>
      </c>
      <c r="AB53">
        <f>Product_CustomerSegment_Monthly_Variable_Cost[[#This Row],[25-May]]*Product_Segment_Monthly_Quantity[[#This Row],[5/1/2025]]</f>
        <v>146.06</v>
      </c>
      <c r="AC53">
        <f>Product_CustomerSegment_Monthly_Variable_Cost[[#This Row],[25-Jun]]*Product_Segment_Monthly_Quantity[[#This Row],[6/1/2025]]</f>
        <v>426.45000000000005</v>
      </c>
      <c r="AD53">
        <f>SUM(Product_CustomerSegment_Monthly_Variable_Cost_Amount[[#This Row],[25-Jan]:[25-Jun]])</f>
        <v>2894</v>
      </c>
      <c r="AG53" t="s">
        <v>62</v>
      </c>
      <c r="AH53" t="s">
        <v>36</v>
      </c>
      <c r="AI53">
        <f>SUMIFS(Product_Fixed_Allocation[1/1/2025],Product_Fixed_Allocation[ProductID],Product_CustomerSegment_Monthly_Actual_Fixed_Cost[[#This Row],[ProductID]])</f>
        <v>255</v>
      </c>
      <c r="AJ53">
        <f>SUMIFS(Product_Fixed_Allocation[2/1/2025],Product_Fixed_Allocation[ProductID],Product_CustomerSegment_Monthly_Actual_Fixed_Cost[[#This Row],[ProductID]])</f>
        <v>255</v>
      </c>
      <c r="AK53">
        <f>SUMIFS(Product_Fixed_Allocation[3/1/2025],Product_Fixed_Allocation[ProductID],Product_CustomerSegment_Monthly_Actual_Fixed_Cost[[#This Row],[ProductID]])</f>
        <v>255</v>
      </c>
      <c r="AL53">
        <f>SUMIFS(Product_Fixed_Allocation[4/1/2025],Product_Fixed_Allocation[ProductID],Product_CustomerSegment_Monthly_Actual_Fixed_Cost[[#This Row],[ProductID]])</f>
        <v>255</v>
      </c>
      <c r="AM53">
        <f>SUMIFS(Product_Fixed_Allocation[5/1/2025],Product_Fixed_Allocation[ProductID],Product_CustomerSegment_Monthly_Actual_Fixed_Cost[[#This Row],[ProductID]])</f>
        <v>255</v>
      </c>
      <c r="AN53">
        <f>SUMIFS(Product_Fixed_Allocation[6/1/2025],Product_Fixed_Allocation[ProductID],Product_CustomerSegment_Monthly_Actual_Fixed_Cost[[#This Row],[ProductID]])</f>
        <v>255</v>
      </c>
      <c r="AO53">
        <f>SUM(Product_CustomerSegment_Monthly_Actual_Fixed_Cost[[#This Row],[25-Jan]:[25-Jun]])</f>
        <v>1530</v>
      </c>
      <c r="AR53" t="s">
        <v>62</v>
      </c>
      <c r="AS53" t="s">
        <v>36</v>
      </c>
      <c r="AT53">
        <f>Product_CustomerSegment_Monthly_Actual_Fixed_Cost[[#This Row],[25-Jan]]*Product_Segment_Monthly_Quantity[[#This Row],[1/1/2025]]</f>
        <v>1785</v>
      </c>
      <c r="AU53">
        <f>Product_CustomerSegment_Monthly_Actual_Fixed_Cost[[#This Row],[25-Feb]]*Product_Segment_Monthly_Quantity[[#This Row],[2/1/2025]]</f>
        <v>0</v>
      </c>
      <c r="AV53">
        <f>Product_CustomerSegment_Monthly_Actual_Fixed_Cost[[#This Row],[25-Mar]]*Product_Segment_Monthly_Quantity[[#This Row],[3/1/2025]]</f>
        <v>2040</v>
      </c>
      <c r="AW53">
        <f>Product_CustomerSegment_Monthly_Actual_Fixed_Cost[[#This Row],[25-Apr]]*Product_Segment_Monthly_Quantity[[#This Row],[4/1/2025]]</f>
        <v>255</v>
      </c>
      <c r="AX53">
        <f>Product_CustomerSegment_Monthly_Actual_Fixed_Cost[[#This Row],[25-May]]*Product_Segment_Monthly_Quantity[[#This Row],[5/1/2025]]</f>
        <v>255</v>
      </c>
      <c r="AY53">
        <f>Product_CustomerSegment_Monthly_Actual_Fixed_Cost[[#This Row],[25-Jun]]*Product_Segment_Monthly_Quantity[[#This Row],[6/1/2025]]</f>
        <v>765</v>
      </c>
      <c r="AZ53">
        <f>SUM(Product_CustomerSegment_Monthly_Fixed_Cost_Amount[[#This Row],[25-Jan]:[25-Jun]])</f>
        <v>5100</v>
      </c>
      <c r="BC53" t="s">
        <v>62</v>
      </c>
      <c r="BD53" t="s">
        <v>36</v>
      </c>
      <c r="BE53">
        <f>Product_CustomerSegment_Monthly_Fixed_Cost_Amount[[#This Row],[25-Jan]]+Product_CustomerSegment_Monthly_Variable_Cost_Amount[[#This Row],[25-Jan]]</f>
        <v>2790.2</v>
      </c>
      <c r="BF53">
        <f>Product_CustomerSegment_Monthly_Fixed_Cost_Amount[[#This Row],[25-Feb]]+Product_CustomerSegment_Monthly_Variable_Cost_Amount[[#This Row],[25-Feb]]</f>
        <v>0</v>
      </c>
      <c r="BG53">
        <f>Product_CustomerSegment_Monthly_Fixed_Cost_Amount[[#This Row],[25-Mar]]+Product_CustomerSegment_Monthly_Variable_Cost_Amount[[#This Row],[25-Mar]]</f>
        <v>3212.56</v>
      </c>
      <c r="BH53">
        <f>Product_CustomerSegment_Monthly_Fixed_Cost_Amount[[#This Row],[25-Apr]]+Product_CustomerSegment_Monthly_Variable_Cost_Amount[[#This Row],[25-Apr]]</f>
        <v>398.73</v>
      </c>
      <c r="BI53">
        <f>Product_CustomerSegment_Monthly_Fixed_Cost_Amount[[#This Row],[25-May]]+Product_CustomerSegment_Monthly_Variable_Cost_Amount[[#This Row],[25-May]]</f>
        <v>401.06</v>
      </c>
      <c r="BJ53">
        <f>Product_CustomerSegment_Monthly_Fixed_Cost_Amount[[#This Row],[25-Jun]]+Product_CustomerSegment_Monthly_Variable_Cost_Amount[[#This Row],[25-Jun]]</f>
        <v>1191.45</v>
      </c>
      <c r="BK53">
        <f>SUM(Product_CustomerSegment_Monthly_COGS[[#This Row],[25-Jan]:[25-Jun]])</f>
        <v>7994</v>
      </c>
    </row>
    <row r="54" spans="1:63">
      <c r="A54" t="s">
        <v>62</v>
      </c>
      <c r="B54" t="s">
        <v>48</v>
      </c>
      <c r="C5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5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</v>
      </c>
      <c r="E5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5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5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5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4</v>
      </c>
      <c r="I54">
        <f>SUM(Product_Segment_Monthly_Quantity[[#This Row],[1/1/2025]:[6/1/2025]])</f>
        <v>7</v>
      </c>
      <c r="L54" t="s">
        <v>62</v>
      </c>
      <c r="M54" t="s">
        <v>48</v>
      </c>
      <c r="N54">
        <f>SUMIFS(Table21[1/1/2025],Table21[ProductID],Product_CustomerSegment_Monthly_Variable_Cost[[#This Row],[ProductID]])</f>
        <v>143.6</v>
      </c>
      <c r="O54">
        <f>SUMIFS(Table21[2/1/2025],Table21[ProductID],Product_CustomerSegment_Monthly_Variable_Cost[[#This Row],[ProductID]])</f>
        <v>140.63</v>
      </c>
      <c r="P54">
        <f>SUMIFS(Table21[3/1/2025],Table21[ProductID],Product_CustomerSegment_Monthly_Variable_Cost[[#This Row],[ProductID]])</f>
        <v>146.57</v>
      </c>
      <c r="Q54">
        <f>SUMIFS(Table21[4/1/2025],Table21[ProductID],Product_CustomerSegment_Monthly_Variable_Cost[[#This Row],[ProductID]])</f>
        <v>143.72999999999999</v>
      </c>
      <c r="R54">
        <f>SUMIFS(Table21[5/1/2025],Table21[ProductID],Product_CustomerSegment_Monthly_Variable_Cost[[#This Row],[ProductID]])</f>
        <v>146.06</v>
      </c>
      <c r="S54">
        <f>SUMIFS(Table21[6/1/2025],Table21[ProductID],Product_CustomerSegment_Monthly_Variable_Cost[[#This Row],[ProductID]])</f>
        <v>142.15</v>
      </c>
      <c r="V54" t="s">
        <v>62</v>
      </c>
      <c r="W54" t="s">
        <v>48</v>
      </c>
      <c r="X54">
        <f>Product_CustomerSegment_Monthly_Variable_Cost[[#This Row],[25-Jan]]*Product_Segment_Monthly_Quantity[[#This Row],[1/1/2025]]</f>
        <v>0</v>
      </c>
      <c r="Y54">
        <f>Product_CustomerSegment_Monthly_Variable_Cost[[#This Row],[25-Feb]]*Product_Segment_Monthly_Quantity[[#This Row],[2/1/2025]]</f>
        <v>140.63</v>
      </c>
      <c r="Z54">
        <f>Product_CustomerSegment_Monthly_Variable_Cost[[#This Row],[25-Mar]]*Product_Segment_Monthly_Quantity[[#This Row],[3/1/2025]]</f>
        <v>0</v>
      </c>
      <c r="AA54">
        <f>Product_CustomerSegment_Monthly_Variable_Cost[[#This Row],[25-Apr]]*Product_Segment_Monthly_Quantity[[#This Row],[4/1/2025]]</f>
        <v>287.45999999999998</v>
      </c>
      <c r="AB54">
        <f>Product_CustomerSegment_Monthly_Variable_Cost[[#This Row],[25-May]]*Product_Segment_Monthly_Quantity[[#This Row],[5/1/2025]]</f>
        <v>0</v>
      </c>
      <c r="AC54">
        <f>Product_CustomerSegment_Monthly_Variable_Cost[[#This Row],[25-Jun]]*Product_Segment_Monthly_Quantity[[#This Row],[6/1/2025]]</f>
        <v>568.6</v>
      </c>
      <c r="AD54">
        <f>SUM(Product_CustomerSegment_Monthly_Variable_Cost_Amount[[#This Row],[25-Jan]:[25-Jun]])</f>
        <v>996.69</v>
      </c>
      <c r="AG54" t="s">
        <v>62</v>
      </c>
      <c r="AH54" t="s">
        <v>48</v>
      </c>
      <c r="AI54">
        <f>SUMIFS(Product_Fixed_Allocation[1/1/2025],Product_Fixed_Allocation[ProductID],Product_CustomerSegment_Monthly_Actual_Fixed_Cost[[#This Row],[ProductID]])</f>
        <v>255</v>
      </c>
      <c r="AJ54">
        <f>SUMIFS(Product_Fixed_Allocation[2/1/2025],Product_Fixed_Allocation[ProductID],Product_CustomerSegment_Monthly_Actual_Fixed_Cost[[#This Row],[ProductID]])</f>
        <v>255</v>
      </c>
      <c r="AK54">
        <f>SUMIFS(Product_Fixed_Allocation[3/1/2025],Product_Fixed_Allocation[ProductID],Product_CustomerSegment_Monthly_Actual_Fixed_Cost[[#This Row],[ProductID]])</f>
        <v>255</v>
      </c>
      <c r="AL54">
        <f>SUMIFS(Product_Fixed_Allocation[4/1/2025],Product_Fixed_Allocation[ProductID],Product_CustomerSegment_Monthly_Actual_Fixed_Cost[[#This Row],[ProductID]])</f>
        <v>255</v>
      </c>
      <c r="AM54">
        <f>SUMIFS(Product_Fixed_Allocation[5/1/2025],Product_Fixed_Allocation[ProductID],Product_CustomerSegment_Monthly_Actual_Fixed_Cost[[#This Row],[ProductID]])</f>
        <v>255</v>
      </c>
      <c r="AN54">
        <f>SUMIFS(Product_Fixed_Allocation[6/1/2025],Product_Fixed_Allocation[ProductID],Product_CustomerSegment_Monthly_Actual_Fixed_Cost[[#This Row],[ProductID]])</f>
        <v>255</v>
      </c>
      <c r="AO54">
        <f>SUM(Product_CustomerSegment_Monthly_Actual_Fixed_Cost[[#This Row],[25-Jan]:[25-Jun]])</f>
        <v>1530</v>
      </c>
      <c r="AR54" t="s">
        <v>62</v>
      </c>
      <c r="AS54" t="s">
        <v>48</v>
      </c>
      <c r="AT54">
        <f>Product_CustomerSegment_Monthly_Actual_Fixed_Cost[[#This Row],[25-Jan]]*Product_Segment_Monthly_Quantity[[#This Row],[1/1/2025]]</f>
        <v>0</v>
      </c>
      <c r="AU54">
        <f>Product_CustomerSegment_Monthly_Actual_Fixed_Cost[[#This Row],[25-Feb]]*Product_Segment_Monthly_Quantity[[#This Row],[2/1/2025]]</f>
        <v>255</v>
      </c>
      <c r="AV54">
        <f>Product_CustomerSegment_Monthly_Actual_Fixed_Cost[[#This Row],[25-Mar]]*Product_Segment_Monthly_Quantity[[#This Row],[3/1/2025]]</f>
        <v>0</v>
      </c>
      <c r="AW54">
        <f>Product_CustomerSegment_Monthly_Actual_Fixed_Cost[[#This Row],[25-Apr]]*Product_Segment_Monthly_Quantity[[#This Row],[4/1/2025]]</f>
        <v>510</v>
      </c>
      <c r="AX54">
        <f>Product_CustomerSegment_Monthly_Actual_Fixed_Cost[[#This Row],[25-May]]*Product_Segment_Monthly_Quantity[[#This Row],[5/1/2025]]</f>
        <v>0</v>
      </c>
      <c r="AY54">
        <f>Product_CustomerSegment_Monthly_Actual_Fixed_Cost[[#This Row],[25-Jun]]*Product_Segment_Monthly_Quantity[[#This Row],[6/1/2025]]</f>
        <v>1020</v>
      </c>
      <c r="AZ54">
        <f>SUM(Product_CustomerSegment_Monthly_Fixed_Cost_Amount[[#This Row],[25-Jan]:[25-Jun]])</f>
        <v>1785</v>
      </c>
      <c r="BC54" t="s">
        <v>62</v>
      </c>
      <c r="BD54" t="s">
        <v>48</v>
      </c>
      <c r="BE54">
        <f>Product_CustomerSegment_Monthly_Fixed_Cost_Amount[[#This Row],[25-Jan]]+Product_CustomerSegment_Monthly_Variable_Cost_Amount[[#This Row],[25-Jan]]</f>
        <v>0</v>
      </c>
      <c r="BF54">
        <f>Product_CustomerSegment_Monthly_Fixed_Cost_Amount[[#This Row],[25-Feb]]+Product_CustomerSegment_Monthly_Variable_Cost_Amount[[#This Row],[25-Feb]]</f>
        <v>395.63</v>
      </c>
      <c r="BG54">
        <f>Product_CustomerSegment_Monthly_Fixed_Cost_Amount[[#This Row],[25-Mar]]+Product_CustomerSegment_Monthly_Variable_Cost_Amount[[#This Row],[25-Mar]]</f>
        <v>0</v>
      </c>
      <c r="BH54">
        <f>Product_CustomerSegment_Monthly_Fixed_Cost_Amount[[#This Row],[25-Apr]]+Product_CustomerSegment_Monthly_Variable_Cost_Amount[[#This Row],[25-Apr]]</f>
        <v>797.46</v>
      </c>
      <c r="BI54">
        <f>Product_CustomerSegment_Monthly_Fixed_Cost_Amount[[#This Row],[25-May]]+Product_CustomerSegment_Monthly_Variable_Cost_Amount[[#This Row],[25-May]]</f>
        <v>0</v>
      </c>
      <c r="BJ54">
        <f>Product_CustomerSegment_Monthly_Fixed_Cost_Amount[[#This Row],[25-Jun]]+Product_CustomerSegment_Monthly_Variable_Cost_Amount[[#This Row],[25-Jun]]</f>
        <v>1588.6</v>
      </c>
      <c r="BK54">
        <f>SUM(Product_CustomerSegment_Monthly_COGS[[#This Row],[25-Jan]:[25-Jun]])</f>
        <v>2781.69</v>
      </c>
    </row>
    <row r="55" spans="1:63">
      <c r="A55" t="s">
        <v>62</v>
      </c>
      <c r="B55" t="s">
        <v>59</v>
      </c>
      <c r="C5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5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5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9</v>
      </c>
      <c r="F5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5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5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55">
        <f>SUM(Product_Segment_Monthly_Quantity[[#This Row],[1/1/2025]:[6/1/2025]])</f>
        <v>12</v>
      </c>
      <c r="L55" t="s">
        <v>62</v>
      </c>
      <c r="M55" t="s">
        <v>59</v>
      </c>
      <c r="N55">
        <f>SUMIFS(Table21[1/1/2025],Table21[ProductID],Product_CustomerSegment_Monthly_Variable_Cost[[#This Row],[ProductID]])</f>
        <v>143.6</v>
      </c>
      <c r="O55">
        <f>SUMIFS(Table21[2/1/2025],Table21[ProductID],Product_CustomerSegment_Monthly_Variable_Cost[[#This Row],[ProductID]])</f>
        <v>140.63</v>
      </c>
      <c r="P55">
        <f>SUMIFS(Table21[3/1/2025],Table21[ProductID],Product_CustomerSegment_Monthly_Variable_Cost[[#This Row],[ProductID]])</f>
        <v>146.57</v>
      </c>
      <c r="Q55">
        <f>SUMIFS(Table21[4/1/2025],Table21[ProductID],Product_CustomerSegment_Monthly_Variable_Cost[[#This Row],[ProductID]])</f>
        <v>143.72999999999999</v>
      </c>
      <c r="R55">
        <f>SUMIFS(Table21[5/1/2025],Table21[ProductID],Product_CustomerSegment_Monthly_Variable_Cost[[#This Row],[ProductID]])</f>
        <v>146.06</v>
      </c>
      <c r="S55">
        <f>SUMIFS(Table21[6/1/2025],Table21[ProductID],Product_CustomerSegment_Monthly_Variable_Cost[[#This Row],[ProductID]])</f>
        <v>142.15</v>
      </c>
      <c r="V55" t="s">
        <v>62</v>
      </c>
      <c r="W55" t="s">
        <v>59</v>
      </c>
      <c r="X55">
        <f>Product_CustomerSegment_Monthly_Variable_Cost[[#This Row],[25-Jan]]*Product_Segment_Monthly_Quantity[[#This Row],[1/1/2025]]</f>
        <v>0</v>
      </c>
      <c r="Y55">
        <f>Product_CustomerSegment_Monthly_Variable_Cost[[#This Row],[25-Feb]]*Product_Segment_Monthly_Quantity[[#This Row],[2/1/2025]]</f>
        <v>0</v>
      </c>
      <c r="Z55">
        <f>Product_CustomerSegment_Monthly_Variable_Cost[[#This Row],[25-Mar]]*Product_Segment_Monthly_Quantity[[#This Row],[3/1/2025]]</f>
        <v>1319.1299999999999</v>
      </c>
      <c r="AA55">
        <f>Product_CustomerSegment_Monthly_Variable_Cost[[#This Row],[25-Apr]]*Product_Segment_Monthly_Quantity[[#This Row],[4/1/2025]]</f>
        <v>143.72999999999999</v>
      </c>
      <c r="AB55">
        <f>Product_CustomerSegment_Monthly_Variable_Cost[[#This Row],[25-May]]*Product_Segment_Monthly_Quantity[[#This Row],[5/1/2025]]</f>
        <v>0</v>
      </c>
      <c r="AC55">
        <f>Product_CustomerSegment_Monthly_Variable_Cost[[#This Row],[25-Jun]]*Product_Segment_Monthly_Quantity[[#This Row],[6/1/2025]]</f>
        <v>284.3</v>
      </c>
      <c r="AD55">
        <f>SUM(Product_CustomerSegment_Monthly_Variable_Cost_Amount[[#This Row],[25-Jan]:[25-Jun]])</f>
        <v>1747.1599999999999</v>
      </c>
      <c r="AG55" t="s">
        <v>62</v>
      </c>
      <c r="AH55" t="s">
        <v>59</v>
      </c>
      <c r="AI55">
        <f>SUMIFS(Product_Fixed_Allocation[1/1/2025],Product_Fixed_Allocation[ProductID],Product_CustomerSegment_Monthly_Actual_Fixed_Cost[[#This Row],[ProductID]])</f>
        <v>255</v>
      </c>
      <c r="AJ55">
        <f>SUMIFS(Product_Fixed_Allocation[2/1/2025],Product_Fixed_Allocation[ProductID],Product_CustomerSegment_Monthly_Actual_Fixed_Cost[[#This Row],[ProductID]])</f>
        <v>255</v>
      </c>
      <c r="AK55">
        <f>SUMIFS(Product_Fixed_Allocation[3/1/2025],Product_Fixed_Allocation[ProductID],Product_CustomerSegment_Monthly_Actual_Fixed_Cost[[#This Row],[ProductID]])</f>
        <v>255</v>
      </c>
      <c r="AL55">
        <f>SUMIFS(Product_Fixed_Allocation[4/1/2025],Product_Fixed_Allocation[ProductID],Product_CustomerSegment_Monthly_Actual_Fixed_Cost[[#This Row],[ProductID]])</f>
        <v>255</v>
      </c>
      <c r="AM55">
        <f>SUMIFS(Product_Fixed_Allocation[5/1/2025],Product_Fixed_Allocation[ProductID],Product_CustomerSegment_Monthly_Actual_Fixed_Cost[[#This Row],[ProductID]])</f>
        <v>255</v>
      </c>
      <c r="AN55">
        <f>SUMIFS(Product_Fixed_Allocation[6/1/2025],Product_Fixed_Allocation[ProductID],Product_CustomerSegment_Monthly_Actual_Fixed_Cost[[#This Row],[ProductID]])</f>
        <v>255</v>
      </c>
      <c r="AO55">
        <f>SUM(Product_CustomerSegment_Monthly_Actual_Fixed_Cost[[#This Row],[25-Jan]:[25-Jun]])</f>
        <v>1530</v>
      </c>
      <c r="AR55" t="s">
        <v>62</v>
      </c>
      <c r="AS55" t="s">
        <v>59</v>
      </c>
      <c r="AT55">
        <f>Product_CustomerSegment_Monthly_Actual_Fixed_Cost[[#This Row],[25-Jan]]*Product_Segment_Monthly_Quantity[[#This Row],[1/1/2025]]</f>
        <v>0</v>
      </c>
      <c r="AU55">
        <f>Product_CustomerSegment_Monthly_Actual_Fixed_Cost[[#This Row],[25-Feb]]*Product_Segment_Monthly_Quantity[[#This Row],[2/1/2025]]</f>
        <v>0</v>
      </c>
      <c r="AV55">
        <f>Product_CustomerSegment_Monthly_Actual_Fixed_Cost[[#This Row],[25-Mar]]*Product_Segment_Monthly_Quantity[[#This Row],[3/1/2025]]</f>
        <v>2295</v>
      </c>
      <c r="AW55">
        <f>Product_CustomerSegment_Monthly_Actual_Fixed_Cost[[#This Row],[25-Apr]]*Product_Segment_Monthly_Quantity[[#This Row],[4/1/2025]]</f>
        <v>255</v>
      </c>
      <c r="AX55">
        <f>Product_CustomerSegment_Monthly_Actual_Fixed_Cost[[#This Row],[25-May]]*Product_Segment_Monthly_Quantity[[#This Row],[5/1/2025]]</f>
        <v>0</v>
      </c>
      <c r="AY55">
        <f>Product_CustomerSegment_Monthly_Actual_Fixed_Cost[[#This Row],[25-Jun]]*Product_Segment_Monthly_Quantity[[#This Row],[6/1/2025]]</f>
        <v>510</v>
      </c>
      <c r="AZ55">
        <f>SUM(Product_CustomerSegment_Monthly_Fixed_Cost_Amount[[#This Row],[25-Jan]:[25-Jun]])</f>
        <v>3060</v>
      </c>
      <c r="BC55" t="s">
        <v>62</v>
      </c>
      <c r="BD55" t="s">
        <v>59</v>
      </c>
      <c r="BE55">
        <f>Product_CustomerSegment_Monthly_Fixed_Cost_Amount[[#This Row],[25-Jan]]+Product_CustomerSegment_Monthly_Variable_Cost_Amount[[#This Row],[25-Jan]]</f>
        <v>0</v>
      </c>
      <c r="BF55">
        <f>Product_CustomerSegment_Monthly_Fixed_Cost_Amount[[#This Row],[25-Feb]]+Product_CustomerSegment_Monthly_Variable_Cost_Amount[[#This Row],[25-Feb]]</f>
        <v>0</v>
      </c>
      <c r="BG55">
        <f>Product_CustomerSegment_Monthly_Fixed_Cost_Amount[[#This Row],[25-Mar]]+Product_CustomerSegment_Monthly_Variable_Cost_Amount[[#This Row],[25-Mar]]</f>
        <v>3614.13</v>
      </c>
      <c r="BH55">
        <f>Product_CustomerSegment_Monthly_Fixed_Cost_Amount[[#This Row],[25-Apr]]+Product_CustomerSegment_Monthly_Variable_Cost_Amount[[#This Row],[25-Apr]]</f>
        <v>398.73</v>
      </c>
      <c r="BI55">
        <f>Product_CustomerSegment_Monthly_Fixed_Cost_Amount[[#This Row],[25-May]]+Product_CustomerSegment_Monthly_Variable_Cost_Amount[[#This Row],[25-May]]</f>
        <v>0</v>
      </c>
      <c r="BJ55">
        <f>Product_CustomerSegment_Monthly_Fixed_Cost_Amount[[#This Row],[25-Jun]]+Product_CustomerSegment_Monthly_Variable_Cost_Amount[[#This Row],[25-Jun]]</f>
        <v>794.3</v>
      </c>
      <c r="BK55">
        <f>SUM(Product_CustomerSegment_Monthly_COGS[[#This Row],[25-Jan]:[25-Jun]])</f>
        <v>4807.16</v>
      </c>
    </row>
    <row r="56" spans="1:63">
      <c r="A56" t="s">
        <v>62</v>
      </c>
      <c r="B56" t="s">
        <v>44</v>
      </c>
      <c r="C5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5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5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</v>
      </c>
      <c r="F5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5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5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56">
        <f>SUM(Product_Segment_Monthly_Quantity[[#This Row],[1/1/2025]:[6/1/2025]])</f>
        <v>10</v>
      </c>
      <c r="L56" t="s">
        <v>62</v>
      </c>
      <c r="M56" t="s">
        <v>44</v>
      </c>
      <c r="N56">
        <f>SUMIFS(Table21[1/1/2025],Table21[ProductID],Product_CustomerSegment_Monthly_Variable_Cost[[#This Row],[ProductID]])</f>
        <v>143.6</v>
      </c>
      <c r="O56">
        <f>SUMIFS(Table21[2/1/2025],Table21[ProductID],Product_CustomerSegment_Monthly_Variable_Cost[[#This Row],[ProductID]])</f>
        <v>140.63</v>
      </c>
      <c r="P56">
        <f>SUMIFS(Table21[3/1/2025],Table21[ProductID],Product_CustomerSegment_Monthly_Variable_Cost[[#This Row],[ProductID]])</f>
        <v>146.57</v>
      </c>
      <c r="Q56">
        <f>SUMIFS(Table21[4/1/2025],Table21[ProductID],Product_CustomerSegment_Monthly_Variable_Cost[[#This Row],[ProductID]])</f>
        <v>143.72999999999999</v>
      </c>
      <c r="R56">
        <f>SUMIFS(Table21[5/1/2025],Table21[ProductID],Product_CustomerSegment_Monthly_Variable_Cost[[#This Row],[ProductID]])</f>
        <v>146.06</v>
      </c>
      <c r="S56">
        <f>SUMIFS(Table21[6/1/2025],Table21[ProductID],Product_CustomerSegment_Monthly_Variable_Cost[[#This Row],[ProductID]])</f>
        <v>142.15</v>
      </c>
      <c r="V56" t="s">
        <v>62</v>
      </c>
      <c r="W56" t="s">
        <v>44</v>
      </c>
      <c r="X56">
        <f>Product_CustomerSegment_Monthly_Variable_Cost[[#This Row],[25-Jan]]*Product_Segment_Monthly_Quantity[[#This Row],[1/1/2025]]</f>
        <v>287.2</v>
      </c>
      <c r="Y56">
        <f>Product_CustomerSegment_Monthly_Variable_Cost[[#This Row],[25-Feb]]*Product_Segment_Monthly_Quantity[[#This Row],[2/1/2025]]</f>
        <v>421.89</v>
      </c>
      <c r="Z56">
        <f>Product_CustomerSegment_Monthly_Variable_Cost[[#This Row],[25-Mar]]*Product_Segment_Monthly_Quantity[[#This Row],[3/1/2025]]</f>
        <v>293.14</v>
      </c>
      <c r="AA56">
        <f>Product_CustomerSegment_Monthly_Variable_Cost[[#This Row],[25-Apr]]*Product_Segment_Monthly_Quantity[[#This Row],[4/1/2025]]</f>
        <v>143.72999999999999</v>
      </c>
      <c r="AB56">
        <f>Product_CustomerSegment_Monthly_Variable_Cost[[#This Row],[25-May]]*Product_Segment_Monthly_Quantity[[#This Row],[5/1/2025]]</f>
        <v>0</v>
      </c>
      <c r="AC56">
        <f>Product_CustomerSegment_Monthly_Variable_Cost[[#This Row],[25-Jun]]*Product_Segment_Monthly_Quantity[[#This Row],[6/1/2025]]</f>
        <v>284.3</v>
      </c>
      <c r="AD56">
        <f>SUM(Product_CustomerSegment_Monthly_Variable_Cost_Amount[[#This Row],[25-Jan]:[25-Jun]])</f>
        <v>1430.2599999999998</v>
      </c>
      <c r="AG56" t="s">
        <v>62</v>
      </c>
      <c r="AH56" t="s">
        <v>44</v>
      </c>
      <c r="AI56">
        <f>SUMIFS(Product_Fixed_Allocation[1/1/2025],Product_Fixed_Allocation[ProductID],Product_CustomerSegment_Monthly_Actual_Fixed_Cost[[#This Row],[ProductID]])</f>
        <v>255</v>
      </c>
      <c r="AJ56">
        <f>SUMIFS(Product_Fixed_Allocation[2/1/2025],Product_Fixed_Allocation[ProductID],Product_CustomerSegment_Monthly_Actual_Fixed_Cost[[#This Row],[ProductID]])</f>
        <v>255</v>
      </c>
      <c r="AK56">
        <f>SUMIFS(Product_Fixed_Allocation[3/1/2025],Product_Fixed_Allocation[ProductID],Product_CustomerSegment_Monthly_Actual_Fixed_Cost[[#This Row],[ProductID]])</f>
        <v>255</v>
      </c>
      <c r="AL56">
        <f>SUMIFS(Product_Fixed_Allocation[4/1/2025],Product_Fixed_Allocation[ProductID],Product_CustomerSegment_Monthly_Actual_Fixed_Cost[[#This Row],[ProductID]])</f>
        <v>255</v>
      </c>
      <c r="AM56">
        <f>SUMIFS(Product_Fixed_Allocation[5/1/2025],Product_Fixed_Allocation[ProductID],Product_CustomerSegment_Monthly_Actual_Fixed_Cost[[#This Row],[ProductID]])</f>
        <v>255</v>
      </c>
      <c r="AN56">
        <f>SUMIFS(Product_Fixed_Allocation[6/1/2025],Product_Fixed_Allocation[ProductID],Product_CustomerSegment_Monthly_Actual_Fixed_Cost[[#This Row],[ProductID]])</f>
        <v>255</v>
      </c>
      <c r="AO56">
        <f>SUM(Product_CustomerSegment_Monthly_Actual_Fixed_Cost[[#This Row],[25-Jan]:[25-Jun]])</f>
        <v>1530</v>
      </c>
      <c r="AR56" t="s">
        <v>62</v>
      </c>
      <c r="AS56" t="s">
        <v>44</v>
      </c>
      <c r="AT56">
        <f>Product_CustomerSegment_Monthly_Actual_Fixed_Cost[[#This Row],[25-Jan]]*Product_Segment_Monthly_Quantity[[#This Row],[1/1/2025]]</f>
        <v>510</v>
      </c>
      <c r="AU56">
        <f>Product_CustomerSegment_Monthly_Actual_Fixed_Cost[[#This Row],[25-Feb]]*Product_Segment_Monthly_Quantity[[#This Row],[2/1/2025]]</f>
        <v>765</v>
      </c>
      <c r="AV56">
        <f>Product_CustomerSegment_Monthly_Actual_Fixed_Cost[[#This Row],[25-Mar]]*Product_Segment_Monthly_Quantity[[#This Row],[3/1/2025]]</f>
        <v>510</v>
      </c>
      <c r="AW56">
        <f>Product_CustomerSegment_Monthly_Actual_Fixed_Cost[[#This Row],[25-Apr]]*Product_Segment_Monthly_Quantity[[#This Row],[4/1/2025]]</f>
        <v>255</v>
      </c>
      <c r="AX56">
        <f>Product_CustomerSegment_Monthly_Actual_Fixed_Cost[[#This Row],[25-May]]*Product_Segment_Monthly_Quantity[[#This Row],[5/1/2025]]</f>
        <v>0</v>
      </c>
      <c r="AY56">
        <f>Product_CustomerSegment_Monthly_Actual_Fixed_Cost[[#This Row],[25-Jun]]*Product_Segment_Monthly_Quantity[[#This Row],[6/1/2025]]</f>
        <v>510</v>
      </c>
      <c r="AZ56">
        <f>SUM(Product_CustomerSegment_Monthly_Fixed_Cost_Amount[[#This Row],[25-Jan]:[25-Jun]])</f>
        <v>2550</v>
      </c>
      <c r="BC56" t="s">
        <v>62</v>
      </c>
      <c r="BD56" t="s">
        <v>44</v>
      </c>
      <c r="BE56">
        <f>Product_CustomerSegment_Monthly_Fixed_Cost_Amount[[#This Row],[25-Jan]]+Product_CustomerSegment_Monthly_Variable_Cost_Amount[[#This Row],[25-Jan]]</f>
        <v>797.2</v>
      </c>
      <c r="BF56">
        <f>Product_CustomerSegment_Monthly_Fixed_Cost_Amount[[#This Row],[25-Feb]]+Product_CustomerSegment_Monthly_Variable_Cost_Amount[[#This Row],[25-Feb]]</f>
        <v>1186.8899999999999</v>
      </c>
      <c r="BG56">
        <f>Product_CustomerSegment_Monthly_Fixed_Cost_Amount[[#This Row],[25-Mar]]+Product_CustomerSegment_Monthly_Variable_Cost_Amount[[#This Row],[25-Mar]]</f>
        <v>803.14</v>
      </c>
      <c r="BH56">
        <f>Product_CustomerSegment_Monthly_Fixed_Cost_Amount[[#This Row],[25-Apr]]+Product_CustomerSegment_Monthly_Variable_Cost_Amount[[#This Row],[25-Apr]]</f>
        <v>398.73</v>
      </c>
      <c r="BI56">
        <f>Product_CustomerSegment_Monthly_Fixed_Cost_Amount[[#This Row],[25-May]]+Product_CustomerSegment_Monthly_Variable_Cost_Amount[[#This Row],[25-May]]</f>
        <v>0</v>
      </c>
      <c r="BJ56">
        <f>Product_CustomerSegment_Monthly_Fixed_Cost_Amount[[#This Row],[25-Jun]]+Product_CustomerSegment_Monthly_Variable_Cost_Amount[[#This Row],[25-Jun]]</f>
        <v>794.3</v>
      </c>
      <c r="BK56">
        <f>SUM(Product_CustomerSegment_Monthly_COGS[[#This Row],[25-Jan]:[25-Jun]])</f>
        <v>3980.26</v>
      </c>
    </row>
    <row r="57" spans="1:63">
      <c r="A57" t="s">
        <v>72</v>
      </c>
      <c r="B57" t="s">
        <v>28</v>
      </c>
      <c r="C5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23</v>
      </c>
      <c r="D5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9</v>
      </c>
      <c r="E5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21</v>
      </c>
      <c r="F5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16</v>
      </c>
      <c r="G5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13</v>
      </c>
      <c r="H5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23</v>
      </c>
      <c r="I57">
        <f>SUM(Product_Segment_Monthly_Quantity[[#This Row],[1/1/2025]:[6/1/2025]])</f>
        <v>105</v>
      </c>
      <c r="L57" t="s">
        <v>72</v>
      </c>
      <c r="M57" t="s">
        <v>28</v>
      </c>
      <c r="N57">
        <f>SUMIFS(Table21[1/1/2025],Table21[ProductID],Product_CustomerSegment_Monthly_Variable_Cost[[#This Row],[ProductID]])</f>
        <v>185.89</v>
      </c>
      <c r="O57">
        <f>SUMIFS(Table21[2/1/2025],Table21[ProductID],Product_CustomerSegment_Monthly_Variable_Cost[[#This Row],[ProductID]])</f>
        <v>190.57499999999999</v>
      </c>
      <c r="P57">
        <f>SUMIFS(Table21[3/1/2025],Table21[ProductID],Product_CustomerSegment_Monthly_Variable_Cost[[#This Row],[ProductID]])</f>
        <v>195.26</v>
      </c>
      <c r="Q57">
        <f>SUMIFS(Table21[4/1/2025],Table21[ProductID],Product_CustomerSegment_Monthly_Variable_Cost[[#This Row],[ProductID]])</f>
        <v>185.52</v>
      </c>
      <c r="R57">
        <f>SUMIFS(Table21[5/1/2025],Table21[ProductID],Product_CustomerSegment_Monthly_Variable_Cost[[#This Row],[ProductID]])</f>
        <v>188.04</v>
      </c>
      <c r="S57">
        <f>SUMIFS(Table21[6/1/2025],Table21[ProductID],Product_CustomerSegment_Monthly_Variable_Cost[[#This Row],[ProductID]])</f>
        <v>181.78</v>
      </c>
      <c r="V57" t="s">
        <v>72</v>
      </c>
      <c r="W57" t="s">
        <v>28</v>
      </c>
      <c r="X57">
        <f>Product_CustomerSegment_Monthly_Variable_Cost[[#This Row],[25-Jan]]*Product_Segment_Monthly_Quantity[[#This Row],[1/1/2025]]</f>
        <v>4275.4699999999993</v>
      </c>
      <c r="Y57">
        <f>Product_CustomerSegment_Monthly_Variable_Cost[[#This Row],[25-Feb]]*Product_Segment_Monthly_Quantity[[#This Row],[2/1/2025]]</f>
        <v>1715.175</v>
      </c>
      <c r="Z57">
        <f>Product_CustomerSegment_Monthly_Variable_Cost[[#This Row],[25-Mar]]*Product_Segment_Monthly_Quantity[[#This Row],[3/1/2025]]</f>
        <v>4100.46</v>
      </c>
      <c r="AA57">
        <f>Product_CustomerSegment_Monthly_Variable_Cost[[#This Row],[25-Apr]]*Product_Segment_Monthly_Quantity[[#This Row],[4/1/2025]]</f>
        <v>2968.32</v>
      </c>
      <c r="AB57">
        <f>Product_CustomerSegment_Monthly_Variable_Cost[[#This Row],[25-May]]*Product_Segment_Monthly_Quantity[[#This Row],[5/1/2025]]</f>
        <v>2444.52</v>
      </c>
      <c r="AC57">
        <f>Product_CustomerSegment_Monthly_Variable_Cost[[#This Row],[25-Jun]]*Product_Segment_Monthly_Quantity[[#This Row],[6/1/2025]]</f>
        <v>4180.9399999999996</v>
      </c>
      <c r="AD57">
        <f>SUM(Product_CustomerSegment_Monthly_Variable_Cost_Amount[[#This Row],[25-Jan]:[25-Jun]])</f>
        <v>19684.884999999998</v>
      </c>
      <c r="AG57" t="s">
        <v>72</v>
      </c>
      <c r="AH57" t="s">
        <v>28</v>
      </c>
      <c r="AI57">
        <f>SUMIFS(Product_Fixed_Allocation[1/1/2025],Product_Fixed_Allocation[ProductID],Product_CustomerSegment_Monthly_Actual_Fixed_Cost[[#This Row],[ProductID]])</f>
        <v>42</v>
      </c>
      <c r="AJ57">
        <f>SUMIFS(Product_Fixed_Allocation[2/1/2025],Product_Fixed_Allocation[ProductID],Product_CustomerSegment_Monthly_Actual_Fixed_Cost[[#This Row],[ProductID]])</f>
        <v>42</v>
      </c>
      <c r="AK57">
        <f>SUMIFS(Product_Fixed_Allocation[3/1/2025],Product_Fixed_Allocation[ProductID],Product_CustomerSegment_Monthly_Actual_Fixed_Cost[[#This Row],[ProductID]])</f>
        <v>42</v>
      </c>
      <c r="AL57">
        <f>SUMIFS(Product_Fixed_Allocation[4/1/2025],Product_Fixed_Allocation[ProductID],Product_CustomerSegment_Monthly_Actual_Fixed_Cost[[#This Row],[ProductID]])</f>
        <v>42</v>
      </c>
      <c r="AM57">
        <f>SUMIFS(Product_Fixed_Allocation[5/1/2025],Product_Fixed_Allocation[ProductID],Product_CustomerSegment_Monthly_Actual_Fixed_Cost[[#This Row],[ProductID]])</f>
        <v>42</v>
      </c>
      <c r="AN57">
        <f>SUMIFS(Product_Fixed_Allocation[6/1/2025],Product_Fixed_Allocation[ProductID],Product_CustomerSegment_Monthly_Actual_Fixed_Cost[[#This Row],[ProductID]])</f>
        <v>42</v>
      </c>
      <c r="AO57">
        <f>SUM(Product_CustomerSegment_Monthly_Actual_Fixed_Cost[[#This Row],[25-Jan]:[25-Jun]])</f>
        <v>252</v>
      </c>
      <c r="AR57" t="s">
        <v>72</v>
      </c>
      <c r="AS57" t="s">
        <v>28</v>
      </c>
      <c r="AT57">
        <f>Product_CustomerSegment_Monthly_Actual_Fixed_Cost[[#This Row],[25-Jan]]*Product_Segment_Monthly_Quantity[[#This Row],[1/1/2025]]</f>
        <v>966</v>
      </c>
      <c r="AU57">
        <f>Product_CustomerSegment_Monthly_Actual_Fixed_Cost[[#This Row],[25-Feb]]*Product_Segment_Monthly_Quantity[[#This Row],[2/1/2025]]</f>
        <v>378</v>
      </c>
      <c r="AV57">
        <f>Product_CustomerSegment_Monthly_Actual_Fixed_Cost[[#This Row],[25-Mar]]*Product_Segment_Monthly_Quantity[[#This Row],[3/1/2025]]</f>
        <v>882</v>
      </c>
      <c r="AW57">
        <f>Product_CustomerSegment_Monthly_Actual_Fixed_Cost[[#This Row],[25-Apr]]*Product_Segment_Monthly_Quantity[[#This Row],[4/1/2025]]</f>
        <v>672</v>
      </c>
      <c r="AX57">
        <f>Product_CustomerSegment_Monthly_Actual_Fixed_Cost[[#This Row],[25-May]]*Product_Segment_Monthly_Quantity[[#This Row],[5/1/2025]]</f>
        <v>546</v>
      </c>
      <c r="AY57">
        <f>Product_CustomerSegment_Monthly_Actual_Fixed_Cost[[#This Row],[25-Jun]]*Product_Segment_Monthly_Quantity[[#This Row],[6/1/2025]]</f>
        <v>966</v>
      </c>
      <c r="AZ57">
        <f>SUM(Product_CustomerSegment_Monthly_Fixed_Cost_Amount[[#This Row],[25-Jan]:[25-Jun]])</f>
        <v>4410</v>
      </c>
      <c r="BC57" t="s">
        <v>72</v>
      </c>
      <c r="BD57" t="s">
        <v>28</v>
      </c>
      <c r="BE57">
        <f>Product_CustomerSegment_Monthly_Fixed_Cost_Amount[[#This Row],[25-Jan]]+Product_CustomerSegment_Monthly_Variable_Cost_Amount[[#This Row],[25-Jan]]</f>
        <v>5241.4699999999993</v>
      </c>
      <c r="BF57">
        <f>Product_CustomerSegment_Monthly_Fixed_Cost_Amount[[#This Row],[25-Feb]]+Product_CustomerSegment_Monthly_Variable_Cost_Amount[[#This Row],[25-Feb]]</f>
        <v>2093.1750000000002</v>
      </c>
      <c r="BG57">
        <f>Product_CustomerSegment_Monthly_Fixed_Cost_Amount[[#This Row],[25-Mar]]+Product_CustomerSegment_Monthly_Variable_Cost_Amount[[#This Row],[25-Mar]]</f>
        <v>4982.46</v>
      </c>
      <c r="BH57">
        <f>Product_CustomerSegment_Monthly_Fixed_Cost_Amount[[#This Row],[25-Apr]]+Product_CustomerSegment_Monthly_Variable_Cost_Amount[[#This Row],[25-Apr]]</f>
        <v>3640.32</v>
      </c>
      <c r="BI57">
        <f>Product_CustomerSegment_Monthly_Fixed_Cost_Amount[[#This Row],[25-May]]+Product_CustomerSegment_Monthly_Variable_Cost_Amount[[#This Row],[25-May]]</f>
        <v>2990.52</v>
      </c>
      <c r="BJ57">
        <f>Product_CustomerSegment_Monthly_Fixed_Cost_Amount[[#This Row],[25-Jun]]+Product_CustomerSegment_Monthly_Variable_Cost_Amount[[#This Row],[25-Jun]]</f>
        <v>5146.9399999999996</v>
      </c>
      <c r="BK57">
        <f>SUM(Product_CustomerSegment_Monthly_COGS[[#This Row],[25-Jan]:[25-Jun]])</f>
        <v>24094.884999999998</v>
      </c>
    </row>
    <row r="58" spans="1:63">
      <c r="A58" t="s">
        <v>72</v>
      </c>
      <c r="B58" t="s">
        <v>36</v>
      </c>
      <c r="C5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13</v>
      </c>
      <c r="D5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23</v>
      </c>
      <c r="E5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79</v>
      </c>
      <c r="F5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37</v>
      </c>
      <c r="G5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16</v>
      </c>
      <c r="H5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23</v>
      </c>
      <c r="I58">
        <f>SUM(Product_Segment_Monthly_Quantity[[#This Row],[1/1/2025]:[6/1/2025]])</f>
        <v>191</v>
      </c>
      <c r="L58" t="s">
        <v>72</v>
      </c>
      <c r="M58" t="s">
        <v>36</v>
      </c>
      <c r="N58">
        <f>SUMIFS(Table21[1/1/2025],Table21[ProductID],Product_CustomerSegment_Monthly_Variable_Cost[[#This Row],[ProductID]])</f>
        <v>185.89</v>
      </c>
      <c r="O58">
        <f>SUMIFS(Table21[2/1/2025],Table21[ProductID],Product_CustomerSegment_Monthly_Variable_Cost[[#This Row],[ProductID]])</f>
        <v>190.57499999999999</v>
      </c>
      <c r="P58">
        <f>SUMIFS(Table21[3/1/2025],Table21[ProductID],Product_CustomerSegment_Monthly_Variable_Cost[[#This Row],[ProductID]])</f>
        <v>195.26</v>
      </c>
      <c r="Q58">
        <f>SUMIFS(Table21[4/1/2025],Table21[ProductID],Product_CustomerSegment_Monthly_Variable_Cost[[#This Row],[ProductID]])</f>
        <v>185.52</v>
      </c>
      <c r="R58">
        <f>SUMIFS(Table21[5/1/2025],Table21[ProductID],Product_CustomerSegment_Monthly_Variable_Cost[[#This Row],[ProductID]])</f>
        <v>188.04</v>
      </c>
      <c r="S58">
        <f>SUMIFS(Table21[6/1/2025],Table21[ProductID],Product_CustomerSegment_Monthly_Variable_Cost[[#This Row],[ProductID]])</f>
        <v>181.78</v>
      </c>
      <c r="V58" t="s">
        <v>72</v>
      </c>
      <c r="W58" t="s">
        <v>36</v>
      </c>
      <c r="X58">
        <f>Product_CustomerSegment_Monthly_Variable_Cost[[#This Row],[25-Jan]]*Product_Segment_Monthly_Quantity[[#This Row],[1/1/2025]]</f>
        <v>2416.5699999999997</v>
      </c>
      <c r="Y58">
        <f>Product_CustomerSegment_Monthly_Variable_Cost[[#This Row],[25-Feb]]*Product_Segment_Monthly_Quantity[[#This Row],[2/1/2025]]</f>
        <v>4383.2249999999995</v>
      </c>
      <c r="Z58">
        <f>Product_CustomerSegment_Monthly_Variable_Cost[[#This Row],[25-Mar]]*Product_Segment_Monthly_Quantity[[#This Row],[3/1/2025]]</f>
        <v>15425.539999999999</v>
      </c>
      <c r="AA58">
        <f>Product_CustomerSegment_Monthly_Variable_Cost[[#This Row],[25-Apr]]*Product_Segment_Monthly_Quantity[[#This Row],[4/1/2025]]</f>
        <v>6864.2400000000007</v>
      </c>
      <c r="AB58">
        <f>Product_CustomerSegment_Monthly_Variable_Cost[[#This Row],[25-May]]*Product_Segment_Monthly_Quantity[[#This Row],[5/1/2025]]</f>
        <v>3008.64</v>
      </c>
      <c r="AC58">
        <f>Product_CustomerSegment_Monthly_Variable_Cost[[#This Row],[25-Jun]]*Product_Segment_Monthly_Quantity[[#This Row],[6/1/2025]]</f>
        <v>4180.9399999999996</v>
      </c>
      <c r="AD58">
        <f>SUM(Product_CustomerSegment_Monthly_Variable_Cost_Amount[[#This Row],[25-Jan]:[25-Jun]])</f>
        <v>36279.154999999999</v>
      </c>
      <c r="AG58" t="s">
        <v>72</v>
      </c>
      <c r="AH58" t="s">
        <v>36</v>
      </c>
      <c r="AI58">
        <f>SUMIFS(Product_Fixed_Allocation[1/1/2025],Product_Fixed_Allocation[ProductID],Product_CustomerSegment_Monthly_Actual_Fixed_Cost[[#This Row],[ProductID]])</f>
        <v>42</v>
      </c>
      <c r="AJ58">
        <f>SUMIFS(Product_Fixed_Allocation[2/1/2025],Product_Fixed_Allocation[ProductID],Product_CustomerSegment_Monthly_Actual_Fixed_Cost[[#This Row],[ProductID]])</f>
        <v>42</v>
      </c>
      <c r="AK58">
        <f>SUMIFS(Product_Fixed_Allocation[3/1/2025],Product_Fixed_Allocation[ProductID],Product_CustomerSegment_Monthly_Actual_Fixed_Cost[[#This Row],[ProductID]])</f>
        <v>42</v>
      </c>
      <c r="AL58">
        <f>SUMIFS(Product_Fixed_Allocation[4/1/2025],Product_Fixed_Allocation[ProductID],Product_CustomerSegment_Monthly_Actual_Fixed_Cost[[#This Row],[ProductID]])</f>
        <v>42</v>
      </c>
      <c r="AM58">
        <f>SUMIFS(Product_Fixed_Allocation[5/1/2025],Product_Fixed_Allocation[ProductID],Product_CustomerSegment_Monthly_Actual_Fixed_Cost[[#This Row],[ProductID]])</f>
        <v>42</v>
      </c>
      <c r="AN58">
        <f>SUMIFS(Product_Fixed_Allocation[6/1/2025],Product_Fixed_Allocation[ProductID],Product_CustomerSegment_Monthly_Actual_Fixed_Cost[[#This Row],[ProductID]])</f>
        <v>42</v>
      </c>
      <c r="AO58">
        <f>SUM(Product_CustomerSegment_Monthly_Actual_Fixed_Cost[[#This Row],[25-Jan]:[25-Jun]])</f>
        <v>252</v>
      </c>
      <c r="AR58" t="s">
        <v>72</v>
      </c>
      <c r="AS58" t="s">
        <v>36</v>
      </c>
      <c r="AT58">
        <f>Product_CustomerSegment_Monthly_Actual_Fixed_Cost[[#This Row],[25-Jan]]*Product_Segment_Monthly_Quantity[[#This Row],[1/1/2025]]</f>
        <v>546</v>
      </c>
      <c r="AU58">
        <f>Product_CustomerSegment_Monthly_Actual_Fixed_Cost[[#This Row],[25-Feb]]*Product_Segment_Monthly_Quantity[[#This Row],[2/1/2025]]</f>
        <v>966</v>
      </c>
      <c r="AV58">
        <f>Product_CustomerSegment_Monthly_Actual_Fixed_Cost[[#This Row],[25-Mar]]*Product_Segment_Monthly_Quantity[[#This Row],[3/1/2025]]</f>
        <v>3318</v>
      </c>
      <c r="AW58">
        <f>Product_CustomerSegment_Monthly_Actual_Fixed_Cost[[#This Row],[25-Apr]]*Product_Segment_Monthly_Quantity[[#This Row],[4/1/2025]]</f>
        <v>1554</v>
      </c>
      <c r="AX58">
        <f>Product_CustomerSegment_Monthly_Actual_Fixed_Cost[[#This Row],[25-May]]*Product_Segment_Monthly_Quantity[[#This Row],[5/1/2025]]</f>
        <v>672</v>
      </c>
      <c r="AY58">
        <f>Product_CustomerSegment_Monthly_Actual_Fixed_Cost[[#This Row],[25-Jun]]*Product_Segment_Monthly_Quantity[[#This Row],[6/1/2025]]</f>
        <v>966</v>
      </c>
      <c r="AZ58">
        <f>SUM(Product_CustomerSegment_Monthly_Fixed_Cost_Amount[[#This Row],[25-Jan]:[25-Jun]])</f>
        <v>8022</v>
      </c>
      <c r="BC58" t="s">
        <v>72</v>
      </c>
      <c r="BD58" t="s">
        <v>36</v>
      </c>
      <c r="BE58">
        <f>Product_CustomerSegment_Monthly_Fixed_Cost_Amount[[#This Row],[25-Jan]]+Product_CustomerSegment_Monthly_Variable_Cost_Amount[[#This Row],[25-Jan]]</f>
        <v>2962.5699999999997</v>
      </c>
      <c r="BF58">
        <f>Product_CustomerSegment_Monthly_Fixed_Cost_Amount[[#This Row],[25-Feb]]+Product_CustomerSegment_Monthly_Variable_Cost_Amount[[#This Row],[25-Feb]]</f>
        <v>5349.2249999999995</v>
      </c>
      <c r="BG58">
        <f>Product_CustomerSegment_Monthly_Fixed_Cost_Amount[[#This Row],[25-Mar]]+Product_CustomerSegment_Monthly_Variable_Cost_Amount[[#This Row],[25-Mar]]</f>
        <v>18743.54</v>
      </c>
      <c r="BH58">
        <f>Product_CustomerSegment_Monthly_Fixed_Cost_Amount[[#This Row],[25-Apr]]+Product_CustomerSegment_Monthly_Variable_Cost_Amount[[#This Row],[25-Apr]]</f>
        <v>8418.2400000000016</v>
      </c>
      <c r="BI58">
        <f>Product_CustomerSegment_Monthly_Fixed_Cost_Amount[[#This Row],[25-May]]+Product_CustomerSegment_Monthly_Variable_Cost_Amount[[#This Row],[25-May]]</f>
        <v>3680.64</v>
      </c>
      <c r="BJ58">
        <f>Product_CustomerSegment_Monthly_Fixed_Cost_Amount[[#This Row],[25-Jun]]+Product_CustomerSegment_Monthly_Variable_Cost_Amount[[#This Row],[25-Jun]]</f>
        <v>5146.9399999999996</v>
      </c>
      <c r="BK58">
        <f>SUM(Product_CustomerSegment_Monthly_COGS[[#This Row],[25-Jan]:[25-Jun]])</f>
        <v>44301.154999999999</v>
      </c>
    </row>
    <row r="59" spans="1:63">
      <c r="A59" t="s">
        <v>72</v>
      </c>
      <c r="B59" t="s">
        <v>48</v>
      </c>
      <c r="C5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31</v>
      </c>
      <c r="D5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11</v>
      </c>
      <c r="E5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4</v>
      </c>
      <c r="F5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10</v>
      </c>
      <c r="G5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28</v>
      </c>
      <c r="H5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</v>
      </c>
      <c r="I59">
        <f>SUM(Product_Segment_Monthly_Quantity[[#This Row],[1/1/2025]:[6/1/2025]])</f>
        <v>87</v>
      </c>
      <c r="L59" t="s">
        <v>72</v>
      </c>
      <c r="M59" t="s">
        <v>48</v>
      </c>
      <c r="N59">
        <f>SUMIFS(Table21[1/1/2025],Table21[ProductID],Product_CustomerSegment_Monthly_Variable_Cost[[#This Row],[ProductID]])</f>
        <v>185.89</v>
      </c>
      <c r="O59">
        <f>SUMIFS(Table21[2/1/2025],Table21[ProductID],Product_CustomerSegment_Monthly_Variable_Cost[[#This Row],[ProductID]])</f>
        <v>190.57499999999999</v>
      </c>
      <c r="P59">
        <f>SUMIFS(Table21[3/1/2025],Table21[ProductID],Product_CustomerSegment_Monthly_Variable_Cost[[#This Row],[ProductID]])</f>
        <v>195.26</v>
      </c>
      <c r="Q59">
        <f>SUMIFS(Table21[4/1/2025],Table21[ProductID],Product_CustomerSegment_Monthly_Variable_Cost[[#This Row],[ProductID]])</f>
        <v>185.52</v>
      </c>
      <c r="R59">
        <f>SUMIFS(Table21[5/1/2025],Table21[ProductID],Product_CustomerSegment_Monthly_Variable_Cost[[#This Row],[ProductID]])</f>
        <v>188.04</v>
      </c>
      <c r="S59">
        <f>SUMIFS(Table21[6/1/2025],Table21[ProductID],Product_CustomerSegment_Monthly_Variable_Cost[[#This Row],[ProductID]])</f>
        <v>181.78</v>
      </c>
      <c r="V59" t="s">
        <v>72</v>
      </c>
      <c r="W59" t="s">
        <v>48</v>
      </c>
      <c r="X59">
        <f>Product_CustomerSegment_Monthly_Variable_Cost[[#This Row],[25-Jan]]*Product_Segment_Monthly_Quantity[[#This Row],[1/1/2025]]</f>
        <v>5762.5899999999992</v>
      </c>
      <c r="Y59">
        <f>Product_CustomerSegment_Monthly_Variable_Cost[[#This Row],[25-Feb]]*Product_Segment_Monthly_Quantity[[#This Row],[2/1/2025]]</f>
        <v>2096.3249999999998</v>
      </c>
      <c r="Z59">
        <f>Product_CustomerSegment_Monthly_Variable_Cost[[#This Row],[25-Mar]]*Product_Segment_Monthly_Quantity[[#This Row],[3/1/2025]]</f>
        <v>781.04</v>
      </c>
      <c r="AA59">
        <f>Product_CustomerSegment_Monthly_Variable_Cost[[#This Row],[25-Apr]]*Product_Segment_Monthly_Quantity[[#This Row],[4/1/2025]]</f>
        <v>1855.2</v>
      </c>
      <c r="AB59">
        <f>Product_CustomerSegment_Monthly_Variable_Cost[[#This Row],[25-May]]*Product_Segment_Monthly_Quantity[[#This Row],[5/1/2025]]</f>
        <v>5265.12</v>
      </c>
      <c r="AC59">
        <f>Product_CustomerSegment_Monthly_Variable_Cost[[#This Row],[25-Jun]]*Product_Segment_Monthly_Quantity[[#This Row],[6/1/2025]]</f>
        <v>545.34</v>
      </c>
      <c r="AD59">
        <f>SUM(Product_CustomerSegment_Monthly_Variable_Cost_Amount[[#This Row],[25-Jan]:[25-Jun]])</f>
        <v>16305.614999999998</v>
      </c>
      <c r="AG59" t="s">
        <v>72</v>
      </c>
      <c r="AH59" t="s">
        <v>48</v>
      </c>
      <c r="AI59">
        <f>SUMIFS(Product_Fixed_Allocation[1/1/2025],Product_Fixed_Allocation[ProductID],Product_CustomerSegment_Monthly_Actual_Fixed_Cost[[#This Row],[ProductID]])</f>
        <v>42</v>
      </c>
      <c r="AJ59">
        <f>SUMIFS(Product_Fixed_Allocation[2/1/2025],Product_Fixed_Allocation[ProductID],Product_CustomerSegment_Monthly_Actual_Fixed_Cost[[#This Row],[ProductID]])</f>
        <v>42</v>
      </c>
      <c r="AK59">
        <f>SUMIFS(Product_Fixed_Allocation[3/1/2025],Product_Fixed_Allocation[ProductID],Product_CustomerSegment_Monthly_Actual_Fixed_Cost[[#This Row],[ProductID]])</f>
        <v>42</v>
      </c>
      <c r="AL59">
        <f>SUMIFS(Product_Fixed_Allocation[4/1/2025],Product_Fixed_Allocation[ProductID],Product_CustomerSegment_Monthly_Actual_Fixed_Cost[[#This Row],[ProductID]])</f>
        <v>42</v>
      </c>
      <c r="AM59">
        <f>SUMIFS(Product_Fixed_Allocation[5/1/2025],Product_Fixed_Allocation[ProductID],Product_CustomerSegment_Monthly_Actual_Fixed_Cost[[#This Row],[ProductID]])</f>
        <v>42</v>
      </c>
      <c r="AN59">
        <f>SUMIFS(Product_Fixed_Allocation[6/1/2025],Product_Fixed_Allocation[ProductID],Product_CustomerSegment_Monthly_Actual_Fixed_Cost[[#This Row],[ProductID]])</f>
        <v>42</v>
      </c>
      <c r="AO59">
        <f>SUM(Product_CustomerSegment_Monthly_Actual_Fixed_Cost[[#This Row],[25-Jan]:[25-Jun]])</f>
        <v>252</v>
      </c>
      <c r="AR59" t="s">
        <v>72</v>
      </c>
      <c r="AS59" t="s">
        <v>48</v>
      </c>
      <c r="AT59">
        <f>Product_CustomerSegment_Monthly_Actual_Fixed_Cost[[#This Row],[25-Jan]]*Product_Segment_Monthly_Quantity[[#This Row],[1/1/2025]]</f>
        <v>1302</v>
      </c>
      <c r="AU59">
        <f>Product_CustomerSegment_Monthly_Actual_Fixed_Cost[[#This Row],[25-Feb]]*Product_Segment_Monthly_Quantity[[#This Row],[2/1/2025]]</f>
        <v>462</v>
      </c>
      <c r="AV59">
        <f>Product_CustomerSegment_Monthly_Actual_Fixed_Cost[[#This Row],[25-Mar]]*Product_Segment_Monthly_Quantity[[#This Row],[3/1/2025]]</f>
        <v>168</v>
      </c>
      <c r="AW59">
        <f>Product_CustomerSegment_Monthly_Actual_Fixed_Cost[[#This Row],[25-Apr]]*Product_Segment_Monthly_Quantity[[#This Row],[4/1/2025]]</f>
        <v>420</v>
      </c>
      <c r="AX59">
        <f>Product_CustomerSegment_Monthly_Actual_Fixed_Cost[[#This Row],[25-May]]*Product_Segment_Monthly_Quantity[[#This Row],[5/1/2025]]</f>
        <v>1176</v>
      </c>
      <c r="AY59">
        <f>Product_CustomerSegment_Monthly_Actual_Fixed_Cost[[#This Row],[25-Jun]]*Product_Segment_Monthly_Quantity[[#This Row],[6/1/2025]]</f>
        <v>126</v>
      </c>
      <c r="AZ59">
        <f>SUM(Product_CustomerSegment_Monthly_Fixed_Cost_Amount[[#This Row],[25-Jan]:[25-Jun]])</f>
        <v>3654</v>
      </c>
      <c r="BC59" t="s">
        <v>72</v>
      </c>
      <c r="BD59" t="s">
        <v>48</v>
      </c>
      <c r="BE59">
        <f>Product_CustomerSegment_Monthly_Fixed_Cost_Amount[[#This Row],[25-Jan]]+Product_CustomerSegment_Monthly_Variable_Cost_Amount[[#This Row],[25-Jan]]</f>
        <v>7064.5899999999992</v>
      </c>
      <c r="BF59">
        <f>Product_CustomerSegment_Monthly_Fixed_Cost_Amount[[#This Row],[25-Feb]]+Product_CustomerSegment_Monthly_Variable_Cost_Amount[[#This Row],[25-Feb]]</f>
        <v>2558.3249999999998</v>
      </c>
      <c r="BG59">
        <f>Product_CustomerSegment_Monthly_Fixed_Cost_Amount[[#This Row],[25-Mar]]+Product_CustomerSegment_Monthly_Variable_Cost_Amount[[#This Row],[25-Mar]]</f>
        <v>949.04</v>
      </c>
      <c r="BH59">
        <f>Product_CustomerSegment_Monthly_Fixed_Cost_Amount[[#This Row],[25-Apr]]+Product_CustomerSegment_Monthly_Variable_Cost_Amount[[#This Row],[25-Apr]]</f>
        <v>2275.1999999999998</v>
      </c>
      <c r="BI59">
        <f>Product_CustomerSegment_Monthly_Fixed_Cost_Amount[[#This Row],[25-May]]+Product_CustomerSegment_Monthly_Variable_Cost_Amount[[#This Row],[25-May]]</f>
        <v>6441.12</v>
      </c>
      <c r="BJ59">
        <f>Product_CustomerSegment_Monthly_Fixed_Cost_Amount[[#This Row],[25-Jun]]+Product_CustomerSegment_Monthly_Variable_Cost_Amount[[#This Row],[25-Jun]]</f>
        <v>671.34</v>
      </c>
      <c r="BK59">
        <f>SUM(Product_CustomerSegment_Monthly_COGS[[#This Row],[25-Jan]:[25-Jun]])</f>
        <v>19959.614999999998</v>
      </c>
    </row>
    <row r="60" spans="1:63">
      <c r="A60" t="s">
        <v>72</v>
      </c>
      <c r="B60" t="s">
        <v>59</v>
      </c>
      <c r="C6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20</v>
      </c>
      <c r="D6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26</v>
      </c>
      <c r="E6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15</v>
      </c>
      <c r="F6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32</v>
      </c>
      <c r="G6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6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16</v>
      </c>
      <c r="I60">
        <f>SUM(Product_Segment_Monthly_Quantity[[#This Row],[1/1/2025]:[6/1/2025]])</f>
        <v>109</v>
      </c>
      <c r="L60" t="s">
        <v>72</v>
      </c>
      <c r="M60" t="s">
        <v>59</v>
      </c>
      <c r="N60">
        <f>SUMIFS(Table21[1/1/2025],Table21[ProductID],Product_CustomerSegment_Monthly_Variable_Cost[[#This Row],[ProductID]])</f>
        <v>185.89</v>
      </c>
      <c r="O60">
        <f>SUMIFS(Table21[2/1/2025],Table21[ProductID],Product_CustomerSegment_Monthly_Variable_Cost[[#This Row],[ProductID]])</f>
        <v>190.57499999999999</v>
      </c>
      <c r="P60">
        <f>SUMIFS(Table21[3/1/2025],Table21[ProductID],Product_CustomerSegment_Monthly_Variable_Cost[[#This Row],[ProductID]])</f>
        <v>195.26</v>
      </c>
      <c r="Q60">
        <f>SUMIFS(Table21[4/1/2025],Table21[ProductID],Product_CustomerSegment_Monthly_Variable_Cost[[#This Row],[ProductID]])</f>
        <v>185.52</v>
      </c>
      <c r="R60">
        <f>SUMIFS(Table21[5/1/2025],Table21[ProductID],Product_CustomerSegment_Monthly_Variable_Cost[[#This Row],[ProductID]])</f>
        <v>188.04</v>
      </c>
      <c r="S60">
        <f>SUMIFS(Table21[6/1/2025],Table21[ProductID],Product_CustomerSegment_Monthly_Variable_Cost[[#This Row],[ProductID]])</f>
        <v>181.78</v>
      </c>
      <c r="V60" t="s">
        <v>72</v>
      </c>
      <c r="W60" t="s">
        <v>59</v>
      </c>
      <c r="X60">
        <f>Product_CustomerSegment_Monthly_Variable_Cost[[#This Row],[25-Jan]]*Product_Segment_Monthly_Quantity[[#This Row],[1/1/2025]]</f>
        <v>3717.7999999999997</v>
      </c>
      <c r="Y60">
        <f>Product_CustomerSegment_Monthly_Variable_Cost[[#This Row],[25-Feb]]*Product_Segment_Monthly_Quantity[[#This Row],[2/1/2025]]</f>
        <v>4954.95</v>
      </c>
      <c r="Z60">
        <f>Product_CustomerSegment_Monthly_Variable_Cost[[#This Row],[25-Mar]]*Product_Segment_Monthly_Quantity[[#This Row],[3/1/2025]]</f>
        <v>2928.8999999999996</v>
      </c>
      <c r="AA60">
        <f>Product_CustomerSegment_Monthly_Variable_Cost[[#This Row],[25-Apr]]*Product_Segment_Monthly_Quantity[[#This Row],[4/1/2025]]</f>
        <v>5936.64</v>
      </c>
      <c r="AB60">
        <f>Product_CustomerSegment_Monthly_Variable_Cost[[#This Row],[25-May]]*Product_Segment_Monthly_Quantity[[#This Row],[5/1/2025]]</f>
        <v>0</v>
      </c>
      <c r="AC60">
        <f>Product_CustomerSegment_Monthly_Variable_Cost[[#This Row],[25-Jun]]*Product_Segment_Monthly_Quantity[[#This Row],[6/1/2025]]</f>
        <v>2908.48</v>
      </c>
      <c r="AD60">
        <f>SUM(Product_CustomerSegment_Monthly_Variable_Cost_Amount[[#This Row],[25-Jan]:[25-Jun]])</f>
        <v>20446.77</v>
      </c>
      <c r="AG60" t="s">
        <v>72</v>
      </c>
      <c r="AH60" t="s">
        <v>59</v>
      </c>
      <c r="AI60">
        <f>SUMIFS(Product_Fixed_Allocation[1/1/2025],Product_Fixed_Allocation[ProductID],Product_CustomerSegment_Monthly_Actual_Fixed_Cost[[#This Row],[ProductID]])</f>
        <v>42</v>
      </c>
      <c r="AJ60">
        <f>SUMIFS(Product_Fixed_Allocation[2/1/2025],Product_Fixed_Allocation[ProductID],Product_CustomerSegment_Monthly_Actual_Fixed_Cost[[#This Row],[ProductID]])</f>
        <v>42</v>
      </c>
      <c r="AK60">
        <f>SUMIFS(Product_Fixed_Allocation[3/1/2025],Product_Fixed_Allocation[ProductID],Product_CustomerSegment_Monthly_Actual_Fixed_Cost[[#This Row],[ProductID]])</f>
        <v>42</v>
      </c>
      <c r="AL60">
        <f>SUMIFS(Product_Fixed_Allocation[4/1/2025],Product_Fixed_Allocation[ProductID],Product_CustomerSegment_Monthly_Actual_Fixed_Cost[[#This Row],[ProductID]])</f>
        <v>42</v>
      </c>
      <c r="AM60">
        <f>SUMIFS(Product_Fixed_Allocation[5/1/2025],Product_Fixed_Allocation[ProductID],Product_CustomerSegment_Monthly_Actual_Fixed_Cost[[#This Row],[ProductID]])</f>
        <v>42</v>
      </c>
      <c r="AN60">
        <f>SUMIFS(Product_Fixed_Allocation[6/1/2025],Product_Fixed_Allocation[ProductID],Product_CustomerSegment_Monthly_Actual_Fixed_Cost[[#This Row],[ProductID]])</f>
        <v>42</v>
      </c>
      <c r="AO60">
        <f>SUM(Product_CustomerSegment_Monthly_Actual_Fixed_Cost[[#This Row],[25-Jan]:[25-Jun]])</f>
        <v>252</v>
      </c>
      <c r="AR60" t="s">
        <v>72</v>
      </c>
      <c r="AS60" t="s">
        <v>59</v>
      </c>
      <c r="AT60">
        <f>Product_CustomerSegment_Monthly_Actual_Fixed_Cost[[#This Row],[25-Jan]]*Product_Segment_Monthly_Quantity[[#This Row],[1/1/2025]]</f>
        <v>840</v>
      </c>
      <c r="AU60">
        <f>Product_CustomerSegment_Monthly_Actual_Fixed_Cost[[#This Row],[25-Feb]]*Product_Segment_Monthly_Quantity[[#This Row],[2/1/2025]]</f>
        <v>1092</v>
      </c>
      <c r="AV60">
        <f>Product_CustomerSegment_Monthly_Actual_Fixed_Cost[[#This Row],[25-Mar]]*Product_Segment_Monthly_Quantity[[#This Row],[3/1/2025]]</f>
        <v>630</v>
      </c>
      <c r="AW60">
        <f>Product_CustomerSegment_Monthly_Actual_Fixed_Cost[[#This Row],[25-Apr]]*Product_Segment_Monthly_Quantity[[#This Row],[4/1/2025]]</f>
        <v>1344</v>
      </c>
      <c r="AX60">
        <f>Product_CustomerSegment_Monthly_Actual_Fixed_Cost[[#This Row],[25-May]]*Product_Segment_Monthly_Quantity[[#This Row],[5/1/2025]]</f>
        <v>0</v>
      </c>
      <c r="AY60">
        <f>Product_CustomerSegment_Monthly_Actual_Fixed_Cost[[#This Row],[25-Jun]]*Product_Segment_Monthly_Quantity[[#This Row],[6/1/2025]]</f>
        <v>672</v>
      </c>
      <c r="AZ60">
        <f>SUM(Product_CustomerSegment_Monthly_Fixed_Cost_Amount[[#This Row],[25-Jan]:[25-Jun]])</f>
        <v>4578</v>
      </c>
      <c r="BC60" t="s">
        <v>72</v>
      </c>
      <c r="BD60" t="s">
        <v>59</v>
      </c>
      <c r="BE60">
        <f>Product_CustomerSegment_Monthly_Fixed_Cost_Amount[[#This Row],[25-Jan]]+Product_CustomerSegment_Monthly_Variable_Cost_Amount[[#This Row],[25-Jan]]</f>
        <v>4557.7999999999993</v>
      </c>
      <c r="BF60">
        <f>Product_CustomerSegment_Monthly_Fixed_Cost_Amount[[#This Row],[25-Feb]]+Product_CustomerSegment_Monthly_Variable_Cost_Amount[[#This Row],[25-Feb]]</f>
        <v>6046.95</v>
      </c>
      <c r="BG60">
        <f>Product_CustomerSegment_Monthly_Fixed_Cost_Amount[[#This Row],[25-Mar]]+Product_CustomerSegment_Monthly_Variable_Cost_Amount[[#This Row],[25-Mar]]</f>
        <v>3558.8999999999996</v>
      </c>
      <c r="BH60">
        <f>Product_CustomerSegment_Monthly_Fixed_Cost_Amount[[#This Row],[25-Apr]]+Product_CustomerSegment_Monthly_Variable_Cost_Amount[[#This Row],[25-Apr]]</f>
        <v>7280.64</v>
      </c>
      <c r="BI60">
        <f>Product_CustomerSegment_Monthly_Fixed_Cost_Amount[[#This Row],[25-May]]+Product_CustomerSegment_Monthly_Variable_Cost_Amount[[#This Row],[25-May]]</f>
        <v>0</v>
      </c>
      <c r="BJ60">
        <f>Product_CustomerSegment_Monthly_Fixed_Cost_Amount[[#This Row],[25-Jun]]+Product_CustomerSegment_Monthly_Variable_Cost_Amount[[#This Row],[25-Jun]]</f>
        <v>3580.48</v>
      </c>
      <c r="BK60">
        <f>SUM(Product_CustomerSegment_Monthly_COGS[[#This Row],[25-Jan]:[25-Jun]])</f>
        <v>25024.77</v>
      </c>
    </row>
    <row r="61" spans="1:63">
      <c r="A61" t="s">
        <v>72</v>
      </c>
      <c r="B61" t="s">
        <v>44</v>
      </c>
      <c r="C6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6</v>
      </c>
      <c r="D6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28</v>
      </c>
      <c r="E6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8</v>
      </c>
      <c r="F6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31</v>
      </c>
      <c r="G6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26</v>
      </c>
      <c r="H6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21</v>
      </c>
      <c r="I61">
        <f>SUM(Product_Segment_Monthly_Quantity[[#This Row],[1/1/2025]:[6/1/2025]])</f>
        <v>120</v>
      </c>
      <c r="L61" t="s">
        <v>72</v>
      </c>
      <c r="M61" t="s">
        <v>44</v>
      </c>
      <c r="N61">
        <f>SUMIFS(Table21[1/1/2025],Table21[ProductID],Product_CustomerSegment_Monthly_Variable_Cost[[#This Row],[ProductID]])</f>
        <v>185.89</v>
      </c>
      <c r="O61">
        <f>SUMIFS(Table21[2/1/2025],Table21[ProductID],Product_CustomerSegment_Monthly_Variable_Cost[[#This Row],[ProductID]])</f>
        <v>190.57499999999999</v>
      </c>
      <c r="P61">
        <f>SUMIFS(Table21[3/1/2025],Table21[ProductID],Product_CustomerSegment_Monthly_Variable_Cost[[#This Row],[ProductID]])</f>
        <v>195.26</v>
      </c>
      <c r="Q61">
        <f>SUMIFS(Table21[4/1/2025],Table21[ProductID],Product_CustomerSegment_Monthly_Variable_Cost[[#This Row],[ProductID]])</f>
        <v>185.52</v>
      </c>
      <c r="R61">
        <f>SUMIFS(Table21[5/1/2025],Table21[ProductID],Product_CustomerSegment_Monthly_Variable_Cost[[#This Row],[ProductID]])</f>
        <v>188.04</v>
      </c>
      <c r="S61">
        <f>SUMIFS(Table21[6/1/2025],Table21[ProductID],Product_CustomerSegment_Monthly_Variable_Cost[[#This Row],[ProductID]])</f>
        <v>181.78</v>
      </c>
      <c r="V61" t="s">
        <v>72</v>
      </c>
      <c r="W61" t="s">
        <v>44</v>
      </c>
      <c r="X61">
        <f>Product_CustomerSegment_Monthly_Variable_Cost[[#This Row],[25-Jan]]*Product_Segment_Monthly_Quantity[[#This Row],[1/1/2025]]</f>
        <v>1115.3399999999999</v>
      </c>
      <c r="Y61">
        <f>Product_CustomerSegment_Monthly_Variable_Cost[[#This Row],[25-Feb]]*Product_Segment_Monthly_Quantity[[#This Row],[2/1/2025]]</f>
        <v>5336.0999999999995</v>
      </c>
      <c r="Z61">
        <f>Product_CustomerSegment_Monthly_Variable_Cost[[#This Row],[25-Mar]]*Product_Segment_Monthly_Quantity[[#This Row],[3/1/2025]]</f>
        <v>1562.08</v>
      </c>
      <c r="AA61">
        <f>Product_CustomerSegment_Monthly_Variable_Cost[[#This Row],[25-Apr]]*Product_Segment_Monthly_Quantity[[#This Row],[4/1/2025]]</f>
        <v>5751.12</v>
      </c>
      <c r="AB61">
        <f>Product_CustomerSegment_Monthly_Variable_Cost[[#This Row],[25-May]]*Product_Segment_Monthly_Quantity[[#This Row],[5/1/2025]]</f>
        <v>4889.04</v>
      </c>
      <c r="AC61">
        <f>Product_CustomerSegment_Monthly_Variable_Cost[[#This Row],[25-Jun]]*Product_Segment_Monthly_Quantity[[#This Row],[6/1/2025]]</f>
        <v>3817.38</v>
      </c>
      <c r="AD61">
        <f>SUM(Product_CustomerSegment_Monthly_Variable_Cost_Amount[[#This Row],[25-Jan]:[25-Jun]])</f>
        <v>22471.06</v>
      </c>
      <c r="AG61" t="s">
        <v>72</v>
      </c>
      <c r="AH61" t="s">
        <v>44</v>
      </c>
      <c r="AI61">
        <f>SUMIFS(Product_Fixed_Allocation[1/1/2025],Product_Fixed_Allocation[ProductID],Product_CustomerSegment_Monthly_Actual_Fixed_Cost[[#This Row],[ProductID]])</f>
        <v>42</v>
      </c>
      <c r="AJ61">
        <f>SUMIFS(Product_Fixed_Allocation[2/1/2025],Product_Fixed_Allocation[ProductID],Product_CustomerSegment_Monthly_Actual_Fixed_Cost[[#This Row],[ProductID]])</f>
        <v>42</v>
      </c>
      <c r="AK61">
        <f>SUMIFS(Product_Fixed_Allocation[3/1/2025],Product_Fixed_Allocation[ProductID],Product_CustomerSegment_Monthly_Actual_Fixed_Cost[[#This Row],[ProductID]])</f>
        <v>42</v>
      </c>
      <c r="AL61">
        <f>SUMIFS(Product_Fixed_Allocation[4/1/2025],Product_Fixed_Allocation[ProductID],Product_CustomerSegment_Monthly_Actual_Fixed_Cost[[#This Row],[ProductID]])</f>
        <v>42</v>
      </c>
      <c r="AM61">
        <f>SUMIFS(Product_Fixed_Allocation[5/1/2025],Product_Fixed_Allocation[ProductID],Product_CustomerSegment_Monthly_Actual_Fixed_Cost[[#This Row],[ProductID]])</f>
        <v>42</v>
      </c>
      <c r="AN61">
        <f>SUMIFS(Product_Fixed_Allocation[6/1/2025],Product_Fixed_Allocation[ProductID],Product_CustomerSegment_Monthly_Actual_Fixed_Cost[[#This Row],[ProductID]])</f>
        <v>42</v>
      </c>
      <c r="AO61">
        <f>SUM(Product_CustomerSegment_Monthly_Actual_Fixed_Cost[[#This Row],[25-Jan]:[25-Jun]])</f>
        <v>252</v>
      </c>
      <c r="AR61" t="s">
        <v>72</v>
      </c>
      <c r="AS61" t="s">
        <v>44</v>
      </c>
      <c r="AT61">
        <f>Product_CustomerSegment_Monthly_Actual_Fixed_Cost[[#This Row],[25-Jan]]*Product_Segment_Monthly_Quantity[[#This Row],[1/1/2025]]</f>
        <v>252</v>
      </c>
      <c r="AU61">
        <f>Product_CustomerSegment_Monthly_Actual_Fixed_Cost[[#This Row],[25-Feb]]*Product_Segment_Monthly_Quantity[[#This Row],[2/1/2025]]</f>
        <v>1176</v>
      </c>
      <c r="AV61">
        <f>Product_CustomerSegment_Monthly_Actual_Fixed_Cost[[#This Row],[25-Mar]]*Product_Segment_Monthly_Quantity[[#This Row],[3/1/2025]]</f>
        <v>336</v>
      </c>
      <c r="AW61">
        <f>Product_CustomerSegment_Monthly_Actual_Fixed_Cost[[#This Row],[25-Apr]]*Product_Segment_Monthly_Quantity[[#This Row],[4/1/2025]]</f>
        <v>1302</v>
      </c>
      <c r="AX61">
        <f>Product_CustomerSegment_Monthly_Actual_Fixed_Cost[[#This Row],[25-May]]*Product_Segment_Monthly_Quantity[[#This Row],[5/1/2025]]</f>
        <v>1092</v>
      </c>
      <c r="AY61">
        <f>Product_CustomerSegment_Monthly_Actual_Fixed_Cost[[#This Row],[25-Jun]]*Product_Segment_Monthly_Quantity[[#This Row],[6/1/2025]]</f>
        <v>882</v>
      </c>
      <c r="AZ61">
        <f>SUM(Product_CustomerSegment_Monthly_Fixed_Cost_Amount[[#This Row],[25-Jan]:[25-Jun]])</f>
        <v>5040</v>
      </c>
      <c r="BC61" t="s">
        <v>72</v>
      </c>
      <c r="BD61" t="s">
        <v>44</v>
      </c>
      <c r="BE61">
        <f>Product_CustomerSegment_Monthly_Fixed_Cost_Amount[[#This Row],[25-Jan]]+Product_CustomerSegment_Monthly_Variable_Cost_Amount[[#This Row],[25-Jan]]</f>
        <v>1367.34</v>
      </c>
      <c r="BF61">
        <f>Product_CustomerSegment_Monthly_Fixed_Cost_Amount[[#This Row],[25-Feb]]+Product_CustomerSegment_Monthly_Variable_Cost_Amount[[#This Row],[25-Feb]]</f>
        <v>6512.0999999999995</v>
      </c>
      <c r="BG61">
        <f>Product_CustomerSegment_Monthly_Fixed_Cost_Amount[[#This Row],[25-Mar]]+Product_CustomerSegment_Monthly_Variable_Cost_Amount[[#This Row],[25-Mar]]</f>
        <v>1898.08</v>
      </c>
      <c r="BH61">
        <f>Product_CustomerSegment_Monthly_Fixed_Cost_Amount[[#This Row],[25-Apr]]+Product_CustomerSegment_Monthly_Variable_Cost_Amount[[#This Row],[25-Apr]]</f>
        <v>7053.12</v>
      </c>
      <c r="BI61">
        <f>Product_CustomerSegment_Monthly_Fixed_Cost_Amount[[#This Row],[25-May]]+Product_CustomerSegment_Monthly_Variable_Cost_Amount[[#This Row],[25-May]]</f>
        <v>5981.04</v>
      </c>
      <c r="BJ61">
        <f>Product_CustomerSegment_Monthly_Fixed_Cost_Amount[[#This Row],[25-Jun]]+Product_CustomerSegment_Monthly_Variable_Cost_Amount[[#This Row],[25-Jun]]</f>
        <v>4699.38</v>
      </c>
      <c r="BK61">
        <f>SUM(Product_CustomerSegment_Monthly_COGS[[#This Row],[25-Jan]:[25-Jun]])</f>
        <v>27511.06</v>
      </c>
    </row>
    <row r="62" spans="1:63">
      <c r="A62" t="s">
        <v>31</v>
      </c>
      <c r="B62" t="s">
        <v>28</v>
      </c>
      <c r="C6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5</v>
      </c>
      <c r="D6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</v>
      </c>
      <c r="E6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14</v>
      </c>
      <c r="F6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30</v>
      </c>
      <c r="G6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10</v>
      </c>
      <c r="H6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35</v>
      </c>
      <c r="I62">
        <f>SUM(Product_Segment_Monthly_Quantity[[#This Row],[1/1/2025]:[6/1/2025]])</f>
        <v>96</v>
      </c>
      <c r="L62" t="s">
        <v>31</v>
      </c>
      <c r="M62" t="s">
        <v>28</v>
      </c>
      <c r="N62">
        <f>SUMIFS(Table21[1/1/2025],Table21[ProductID],Product_CustomerSegment_Monthly_Variable_Cost[[#This Row],[ProductID]])</f>
        <v>304.11</v>
      </c>
      <c r="O62">
        <f>SUMIFS(Table21[2/1/2025],Table21[ProductID],Product_CustomerSegment_Monthly_Variable_Cost[[#This Row],[ProductID]])</f>
        <v>285.66000000000003</v>
      </c>
      <c r="P62">
        <f>SUMIFS(Table21[3/1/2025],Table21[ProductID],Product_CustomerSegment_Monthly_Variable_Cost[[#This Row],[ProductID]])</f>
        <v>288.19</v>
      </c>
      <c r="Q62">
        <f>SUMIFS(Table21[4/1/2025],Table21[ProductID],Product_CustomerSegment_Monthly_Variable_Cost[[#This Row],[ProductID]])</f>
        <v>308.39</v>
      </c>
      <c r="R62">
        <f>SUMIFS(Table21[5/1/2025],Table21[ProductID],Product_CustomerSegment_Monthly_Variable_Cost[[#This Row],[ProductID]])</f>
        <v>312.18</v>
      </c>
      <c r="S62">
        <f>SUMIFS(Table21[6/1/2025],Table21[ProductID],Product_CustomerSegment_Monthly_Variable_Cost[[#This Row],[ProductID]])</f>
        <v>316.85000000000002</v>
      </c>
      <c r="V62" t="s">
        <v>31</v>
      </c>
      <c r="W62" t="s">
        <v>28</v>
      </c>
      <c r="X62">
        <f>Product_CustomerSegment_Monthly_Variable_Cost[[#This Row],[25-Jan]]*Product_Segment_Monthly_Quantity[[#This Row],[1/1/2025]]</f>
        <v>1520.5500000000002</v>
      </c>
      <c r="Y62">
        <f>Product_CustomerSegment_Monthly_Variable_Cost[[#This Row],[25-Feb]]*Product_Segment_Monthly_Quantity[[#This Row],[2/1/2025]]</f>
        <v>571.32000000000005</v>
      </c>
      <c r="Z62">
        <f>Product_CustomerSegment_Monthly_Variable_Cost[[#This Row],[25-Mar]]*Product_Segment_Monthly_Quantity[[#This Row],[3/1/2025]]</f>
        <v>4034.66</v>
      </c>
      <c r="AA62">
        <f>Product_CustomerSegment_Monthly_Variable_Cost[[#This Row],[25-Apr]]*Product_Segment_Monthly_Quantity[[#This Row],[4/1/2025]]</f>
        <v>9251.6999999999989</v>
      </c>
      <c r="AB62">
        <f>Product_CustomerSegment_Monthly_Variable_Cost[[#This Row],[25-May]]*Product_Segment_Monthly_Quantity[[#This Row],[5/1/2025]]</f>
        <v>3121.8</v>
      </c>
      <c r="AC62">
        <f>Product_CustomerSegment_Monthly_Variable_Cost[[#This Row],[25-Jun]]*Product_Segment_Monthly_Quantity[[#This Row],[6/1/2025]]</f>
        <v>11089.75</v>
      </c>
      <c r="AD62">
        <f>SUM(Product_CustomerSegment_Monthly_Variable_Cost_Amount[[#This Row],[25-Jan]:[25-Jun]])</f>
        <v>29589.78</v>
      </c>
      <c r="AG62" t="s">
        <v>31</v>
      </c>
      <c r="AH62" t="s">
        <v>28</v>
      </c>
      <c r="AI62">
        <f>SUMIFS(Product_Fixed_Allocation[1/1/2025],Product_Fixed_Allocation[ProductID],Product_CustomerSegment_Monthly_Actual_Fixed_Cost[[#This Row],[ProductID]])</f>
        <v>55</v>
      </c>
      <c r="AJ62">
        <f>SUMIFS(Product_Fixed_Allocation[2/1/2025],Product_Fixed_Allocation[ProductID],Product_CustomerSegment_Monthly_Actual_Fixed_Cost[[#This Row],[ProductID]])</f>
        <v>55</v>
      </c>
      <c r="AK62">
        <f>SUMIFS(Product_Fixed_Allocation[3/1/2025],Product_Fixed_Allocation[ProductID],Product_CustomerSegment_Monthly_Actual_Fixed_Cost[[#This Row],[ProductID]])</f>
        <v>55</v>
      </c>
      <c r="AL62">
        <f>SUMIFS(Product_Fixed_Allocation[4/1/2025],Product_Fixed_Allocation[ProductID],Product_CustomerSegment_Monthly_Actual_Fixed_Cost[[#This Row],[ProductID]])</f>
        <v>55</v>
      </c>
      <c r="AM62">
        <f>SUMIFS(Product_Fixed_Allocation[5/1/2025],Product_Fixed_Allocation[ProductID],Product_CustomerSegment_Monthly_Actual_Fixed_Cost[[#This Row],[ProductID]])</f>
        <v>55</v>
      </c>
      <c r="AN62">
        <f>SUMIFS(Product_Fixed_Allocation[6/1/2025],Product_Fixed_Allocation[ProductID],Product_CustomerSegment_Monthly_Actual_Fixed_Cost[[#This Row],[ProductID]])</f>
        <v>55</v>
      </c>
      <c r="AO62">
        <f>SUM(Product_CustomerSegment_Monthly_Actual_Fixed_Cost[[#This Row],[25-Jan]:[25-Jun]])</f>
        <v>330</v>
      </c>
      <c r="AR62" t="s">
        <v>31</v>
      </c>
      <c r="AS62" t="s">
        <v>28</v>
      </c>
      <c r="AT62">
        <f>Product_CustomerSegment_Monthly_Actual_Fixed_Cost[[#This Row],[25-Jan]]*Product_Segment_Monthly_Quantity[[#This Row],[1/1/2025]]</f>
        <v>275</v>
      </c>
      <c r="AU62">
        <f>Product_CustomerSegment_Monthly_Actual_Fixed_Cost[[#This Row],[25-Feb]]*Product_Segment_Monthly_Quantity[[#This Row],[2/1/2025]]</f>
        <v>110</v>
      </c>
      <c r="AV62">
        <f>Product_CustomerSegment_Monthly_Actual_Fixed_Cost[[#This Row],[25-Mar]]*Product_Segment_Monthly_Quantity[[#This Row],[3/1/2025]]</f>
        <v>770</v>
      </c>
      <c r="AW62">
        <f>Product_CustomerSegment_Monthly_Actual_Fixed_Cost[[#This Row],[25-Apr]]*Product_Segment_Monthly_Quantity[[#This Row],[4/1/2025]]</f>
        <v>1650</v>
      </c>
      <c r="AX62">
        <f>Product_CustomerSegment_Monthly_Actual_Fixed_Cost[[#This Row],[25-May]]*Product_Segment_Monthly_Quantity[[#This Row],[5/1/2025]]</f>
        <v>550</v>
      </c>
      <c r="AY62">
        <f>Product_CustomerSegment_Monthly_Actual_Fixed_Cost[[#This Row],[25-Jun]]*Product_Segment_Monthly_Quantity[[#This Row],[6/1/2025]]</f>
        <v>1925</v>
      </c>
      <c r="AZ62">
        <f>SUM(Product_CustomerSegment_Monthly_Fixed_Cost_Amount[[#This Row],[25-Jan]:[25-Jun]])</f>
        <v>5280</v>
      </c>
      <c r="BC62" t="s">
        <v>31</v>
      </c>
      <c r="BD62" t="s">
        <v>28</v>
      </c>
      <c r="BE62">
        <f>Product_CustomerSegment_Monthly_Fixed_Cost_Amount[[#This Row],[25-Jan]]+Product_CustomerSegment_Monthly_Variable_Cost_Amount[[#This Row],[25-Jan]]</f>
        <v>1795.5500000000002</v>
      </c>
      <c r="BF62">
        <f>Product_CustomerSegment_Monthly_Fixed_Cost_Amount[[#This Row],[25-Feb]]+Product_CustomerSegment_Monthly_Variable_Cost_Amount[[#This Row],[25-Feb]]</f>
        <v>681.32</v>
      </c>
      <c r="BG62">
        <f>Product_CustomerSegment_Monthly_Fixed_Cost_Amount[[#This Row],[25-Mar]]+Product_CustomerSegment_Monthly_Variable_Cost_Amount[[#This Row],[25-Mar]]</f>
        <v>4804.66</v>
      </c>
      <c r="BH62">
        <f>Product_CustomerSegment_Monthly_Fixed_Cost_Amount[[#This Row],[25-Apr]]+Product_CustomerSegment_Monthly_Variable_Cost_Amount[[#This Row],[25-Apr]]</f>
        <v>10901.699999999999</v>
      </c>
      <c r="BI62">
        <f>Product_CustomerSegment_Monthly_Fixed_Cost_Amount[[#This Row],[25-May]]+Product_CustomerSegment_Monthly_Variable_Cost_Amount[[#This Row],[25-May]]</f>
        <v>3671.8</v>
      </c>
      <c r="BJ62">
        <f>Product_CustomerSegment_Monthly_Fixed_Cost_Amount[[#This Row],[25-Jun]]+Product_CustomerSegment_Monthly_Variable_Cost_Amount[[#This Row],[25-Jun]]</f>
        <v>13014.75</v>
      </c>
      <c r="BK62">
        <f>SUM(Product_CustomerSegment_Monthly_COGS[[#This Row],[25-Jan]:[25-Jun]])</f>
        <v>34869.78</v>
      </c>
    </row>
    <row r="63" spans="1:63">
      <c r="A63" t="s">
        <v>31</v>
      </c>
      <c r="B63" t="s">
        <v>36</v>
      </c>
      <c r="C6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42</v>
      </c>
      <c r="D6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6</v>
      </c>
      <c r="E6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16</v>
      </c>
      <c r="F6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16</v>
      </c>
      <c r="G6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19</v>
      </c>
      <c r="H6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19</v>
      </c>
      <c r="I63">
        <f>SUM(Product_Segment_Monthly_Quantity[[#This Row],[1/1/2025]:[6/1/2025]])</f>
        <v>118</v>
      </c>
      <c r="L63" t="s">
        <v>31</v>
      </c>
      <c r="M63" t="s">
        <v>36</v>
      </c>
      <c r="N63">
        <f>SUMIFS(Table21[1/1/2025],Table21[ProductID],Product_CustomerSegment_Monthly_Variable_Cost[[#This Row],[ProductID]])</f>
        <v>304.11</v>
      </c>
      <c r="O63">
        <f>SUMIFS(Table21[2/1/2025],Table21[ProductID],Product_CustomerSegment_Monthly_Variable_Cost[[#This Row],[ProductID]])</f>
        <v>285.66000000000003</v>
      </c>
      <c r="P63">
        <f>SUMIFS(Table21[3/1/2025],Table21[ProductID],Product_CustomerSegment_Monthly_Variable_Cost[[#This Row],[ProductID]])</f>
        <v>288.19</v>
      </c>
      <c r="Q63">
        <f>SUMIFS(Table21[4/1/2025],Table21[ProductID],Product_CustomerSegment_Monthly_Variable_Cost[[#This Row],[ProductID]])</f>
        <v>308.39</v>
      </c>
      <c r="R63">
        <f>SUMIFS(Table21[5/1/2025],Table21[ProductID],Product_CustomerSegment_Monthly_Variable_Cost[[#This Row],[ProductID]])</f>
        <v>312.18</v>
      </c>
      <c r="S63">
        <f>SUMIFS(Table21[6/1/2025],Table21[ProductID],Product_CustomerSegment_Monthly_Variable_Cost[[#This Row],[ProductID]])</f>
        <v>316.85000000000002</v>
      </c>
      <c r="V63" t="s">
        <v>31</v>
      </c>
      <c r="W63" t="s">
        <v>36</v>
      </c>
      <c r="X63">
        <f>Product_CustomerSegment_Monthly_Variable_Cost[[#This Row],[25-Jan]]*Product_Segment_Monthly_Quantity[[#This Row],[1/1/2025]]</f>
        <v>12772.62</v>
      </c>
      <c r="Y63">
        <f>Product_CustomerSegment_Monthly_Variable_Cost[[#This Row],[25-Feb]]*Product_Segment_Monthly_Quantity[[#This Row],[2/1/2025]]</f>
        <v>1713.96</v>
      </c>
      <c r="Z63">
        <f>Product_CustomerSegment_Monthly_Variable_Cost[[#This Row],[25-Mar]]*Product_Segment_Monthly_Quantity[[#This Row],[3/1/2025]]</f>
        <v>4611.04</v>
      </c>
      <c r="AA63">
        <f>Product_CustomerSegment_Monthly_Variable_Cost[[#This Row],[25-Apr]]*Product_Segment_Monthly_Quantity[[#This Row],[4/1/2025]]</f>
        <v>4934.24</v>
      </c>
      <c r="AB63">
        <f>Product_CustomerSegment_Monthly_Variable_Cost[[#This Row],[25-May]]*Product_Segment_Monthly_Quantity[[#This Row],[5/1/2025]]</f>
        <v>5931.42</v>
      </c>
      <c r="AC63">
        <f>Product_CustomerSegment_Monthly_Variable_Cost[[#This Row],[25-Jun]]*Product_Segment_Monthly_Quantity[[#This Row],[6/1/2025]]</f>
        <v>6020.1500000000005</v>
      </c>
      <c r="AD63">
        <f>SUM(Product_CustomerSegment_Monthly_Variable_Cost_Amount[[#This Row],[25-Jan]:[25-Jun]])</f>
        <v>35983.43</v>
      </c>
      <c r="AG63" t="s">
        <v>31</v>
      </c>
      <c r="AH63" t="s">
        <v>36</v>
      </c>
      <c r="AI63">
        <f>SUMIFS(Product_Fixed_Allocation[1/1/2025],Product_Fixed_Allocation[ProductID],Product_CustomerSegment_Monthly_Actual_Fixed_Cost[[#This Row],[ProductID]])</f>
        <v>55</v>
      </c>
      <c r="AJ63">
        <f>SUMIFS(Product_Fixed_Allocation[2/1/2025],Product_Fixed_Allocation[ProductID],Product_CustomerSegment_Monthly_Actual_Fixed_Cost[[#This Row],[ProductID]])</f>
        <v>55</v>
      </c>
      <c r="AK63">
        <f>SUMIFS(Product_Fixed_Allocation[3/1/2025],Product_Fixed_Allocation[ProductID],Product_CustomerSegment_Monthly_Actual_Fixed_Cost[[#This Row],[ProductID]])</f>
        <v>55</v>
      </c>
      <c r="AL63">
        <f>SUMIFS(Product_Fixed_Allocation[4/1/2025],Product_Fixed_Allocation[ProductID],Product_CustomerSegment_Monthly_Actual_Fixed_Cost[[#This Row],[ProductID]])</f>
        <v>55</v>
      </c>
      <c r="AM63">
        <f>SUMIFS(Product_Fixed_Allocation[5/1/2025],Product_Fixed_Allocation[ProductID],Product_CustomerSegment_Monthly_Actual_Fixed_Cost[[#This Row],[ProductID]])</f>
        <v>55</v>
      </c>
      <c r="AN63">
        <f>SUMIFS(Product_Fixed_Allocation[6/1/2025],Product_Fixed_Allocation[ProductID],Product_CustomerSegment_Monthly_Actual_Fixed_Cost[[#This Row],[ProductID]])</f>
        <v>55</v>
      </c>
      <c r="AO63">
        <f>SUM(Product_CustomerSegment_Monthly_Actual_Fixed_Cost[[#This Row],[25-Jan]:[25-Jun]])</f>
        <v>330</v>
      </c>
      <c r="AR63" t="s">
        <v>31</v>
      </c>
      <c r="AS63" t="s">
        <v>36</v>
      </c>
      <c r="AT63">
        <f>Product_CustomerSegment_Monthly_Actual_Fixed_Cost[[#This Row],[25-Jan]]*Product_Segment_Monthly_Quantity[[#This Row],[1/1/2025]]</f>
        <v>2310</v>
      </c>
      <c r="AU63">
        <f>Product_CustomerSegment_Monthly_Actual_Fixed_Cost[[#This Row],[25-Feb]]*Product_Segment_Monthly_Quantity[[#This Row],[2/1/2025]]</f>
        <v>330</v>
      </c>
      <c r="AV63">
        <f>Product_CustomerSegment_Monthly_Actual_Fixed_Cost[[#This Row],[25-Mar]]*Product_Segment_Monthly_Quantity[[#This Row],[3/1/2025]]</f>
        <v>880</v>
      </c>
      <c r="AW63">
        <f>Product_CustomerSegment_Monthly_Actual_Fixed_Cost[[#This Row],[25-Apr]]*Product_Segment_Monthly_Quantity[[#This Row],[4/1/2025]]</f>
        <v>880</v>
      </c>
      <c r="AX63">
        <f>Product_CustomerSegment_Monthly_Actual_Fixed_Cost[[#This Row],[25-May]]*Product_Segment_Monthly_Quantity[[#This Row],[5/1/2025]]</f>
        <v>1045</v>
      </c>
      <c r="AY63">
        <f>Product_CustomerSegment_Monthly_Actual_Fixed_Cost[[#This Row],[25-Jun]]*Product_Segment_Monthly_Quantity[[#This Row],[6/1/2025]]</f>
        <v>1045</v>
      </c>
      <c r="AZ63">
        <f>SUM(Product_CustomerSegment_Monthly_Fixed_Cost_Amount[[#This Row],[25-Jan]:[25-Jun]])</f>
        <v>6490</v>
      </c>
      <c r="BC63" t="s">
        <v>31</v>
      </c>
      <c r="BD63" t="s">
        <v>36</v>
      </c>
      <c r="BE63">
        <f>Product_CustomerSegment_Monthly_Fixed_Cost_Amount[[#This Row],[25-Jan]]+Product_CustomerSegment_Monthly_Variable_Cost_Amount[[#This Row],[25-Jan]]</f>
        <v>15082.62</v>
      </c>
      <c r="BF63">
        <f>Product_CustomerSegment_Monthly_Fixed_Cost_Amount[[#This Row],[25-Feb]]+Product_CustomerSegment_Monthly_Variable_Cost_Amount[[#This Row],[25-Feb]]</f>
        <v>2043.96</v>
      </c>
      <c r="BG63">
        <f>Product_CustomerSegment_Monthly_Fixed_Cost_Amount[[#This Row],[25-Mar]]+Product_CustomerSegment_Monthly_Variable_Cost_Amount[[#This Row],[25-Mar]]</f>
        <v>5491.04</v>
      </c>
      <c r="BH63">
        <f>Product_CustomerSegment_Monthly_Fixed_Cost_Amount[[#This Row],[25-Apr]]+Product_CustomerSegment_Monthly_Variable_Cost_Amount[[#This Row],[25-Apr]]</f>
        <v>5814.24</v>
      </c>
      <c r="BI63">
        <f>Product_CustomerSegment_Monthly_Fixed_Cost_Amount[[#This Row],[25-May]]+Product_CustomerSegment_Monthly_Variable_Cost_Amount[[#This Row],[25-May]]</f>
        <v>6976.42</v>
      </c>
      <c r="BJ63">
        <f>Product_CustomerSegment_Monthly_Fixed_Cost_Amount[[#This Row],[25-Jun]]+Product_CustomerSegment_Monthly_Variable_Cost_Amount[[#This Row],[25-Jun]]</f>
        <v>7065.1500000000005</v>
      </c>
      <c r="BK63">
        <f>SUM(Product_CustomerSegment_Monthly_COGS[[#This Row],[25-Jan]:[25-Jun]])</f>
        <v>42473.43</v>
      </c>
    </row>
    <row r="64" spans="1:63">
      <c r="A64" t="s">
        <v>31</v>
      </c>
      <c r="B64" t="s">
        <v>48</v>
      </c>
      <c r="C6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15</v>
      </c>
      <c r="D6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8</v>
      </c>
      <c r="E6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9</v>
      </c>
      <c r="F6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21</v>
      </c>
      <c r="G6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6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19</v>
      </c>
      <c r="I64">
        <f>SUM(Product_Segment_Monthly_Quantity[[#This Row],[1/1/2025]:[6/1/2025]])</f>
        <v>73</v>
      </c>
      <c r="L64" t="s">
        <v>31</v>
      </c>
      <c r="M64" t="s">
        <v>48</v>
      </c>
      <c r="N64">
        <f>SUMIFS(Table21[1/1/2025],Table21[ProductID],Product_CustomerSegment_Monthly_Variable_Cost[[#This Row],[ProductID]])</f>
        <v>304.11</v>
      </c>
      <c r="O64">
        <f>SUMIFS(Table21[2/1/2025],Table21[ProductID],Product_CustomerSegment_Monthly_Variable_Cost[[#This Row],[ProductID]])</f>
        <v>285.66000000000003</v>
      </c>
      <c r="P64">
        <f>SUMIFS(Table21[3/1/2025],Table21[ProductID],Product_CustomerSegment_Monthly_Variable_Cost[[#This Row],[ProductID]])</f>
        <v>288.19</v>
      </c>
      <c r="Q64">
        <f>SUMIFS(Table21[4/1/2025],Table21[ProductID],Product_CustomerSegment_Monthly_Variable_Cost[[#This Row],[ProductID]])</f>
        <v>308.39</v>
      </c>
      <c r="R64">
        <f>SUMIFS(Table21[5/1/2025],Table21[ProductID],Product_CustomerSegment_Monthly_Variable_Cost[[#This Row],[ProductID]])</f>
        <v>312.18</v>
      </c>
      <c r="S64">
        <f>SUMIFS(Table21[6/1/2025],Table21[ProductID],Product_CustomerSegment_Monthly_Variable_Cost[[#This Row],[ProductID]])</f>
        <v>316.85000000000002</v>
      </c>
      <c r="V64" t="s">
        <v>31</v>
      </c>
      <c r="W64" t="s">
        <v>48</v>
      </c>
      <c r="X64">
        <f>Product_CustomerSegment_Monthly_Variable_Cost[[#This Row],[25-Jan]]*Product_Segment_Monthly_Quantity[[#This Row],[1/1/2025]]</f>
        <v>4561.6500000000005</v>
      </c>
      <c r="Y64">
        <f>Product_CustomerSegment_Monthly_Variable_Cost[[#This Row],[25-Feb]]*Product_Segment_Monthly_Quantity[[#This Row],[2/1/2025]]</f>
        <v>2285.2800000000002</v>
      </c>
      <c r="Z64">
        <f>Product_CustomerSegment_Monthly_Variable_Cost[[#This Row],[25-Mar]]*Product_Segment_Monthly_Quantity[[#This Row],[3/1/2025]]</f>
        <v>2593.71</v>
      </c>
      <c r="AA64">
        <f>Product_CustomerSegment_Monthly_Variable_Cost[[#This Row],[25-Apr]]*Product_Segment_Monthly_Quantity[[#This Row],[4/1/2025]]</f>
        <v>6476.19</v>
      </c>
      <c r="AB64">
        <f>Product_CustomerSegment_Monthly_Variable_Cost[[#This Row],[25-May]]*Product_Segment_Monthly_Quantity[[#This Row],[5/1/2025]]</f>
        <v>312.18</v>
      </c>
      <c r="AC64">
        <f>Product_CustomerSegment_Monthly_Variable_Cost[[#This Row],[25-Jun]]*Product_Segment_Monthly_Quantity[[#This Row],[6/1/2025]]</f>
        <v>6020.1500000000005</v>
      </c>
      <c r="AD64">
        <f>SUM(Product_CustomerSegment_Monthly_Variable_Cost_Amount[[#This Row],[25-Jan]:[25-Jun]])</f>
        <v>22249.16</v>
      </c>
      <c r="AG64" t="s">
        <v>31</v>
      </c>
      <c r="AH64" t="s">
        <v>48</v>
      </c>
      <c r="AI64">
        <f>SUMIFS(Product_Fixed_Allocation[1/1/2025],Product_Fixed_Allocation[ProductID],Product_CustomerSegment_Monthly_Actual_Fixed_Cost[[#This Row],[ProductID]])</f>
        <v>55</v>
      </c>
      <c r="AJ64">
        <f>SUMIFS(Product_Fixed_Allocation[2/1/2025],Product_Fixed_Allocation[ProductID],Product_CustomerSegment_Monthly_Actual_Fixed_Cost[[#This Row],[ProductID]])</f>
        <v>55</v>
      </c>
      <c r="AK64">
        <f>SUMIFS(Product_Fixed_Allocation[3/1/2025],Product_Fixed_Allocation[ProductID],Product_CustomerSegment_Monthly_Actual_Fixed_Cost[[#This Row],[ProductID]])</f>
        <v>55</v>
      </c>
      <c r="AL64">
        <f>SUMIFS(Product_Fixed_Allocation[4/1/2025],Product_Fixed_Allocation[ProductID],Product_CustomerSegment_Monthly_Actual_Fixed_Cost[[#This Row],[ProductID]])</f>
        <v>55</v>
      </c>
      <c r="AM64">
        <f>SUMIFS(Product_Fixed_Allocation[5/1/2025],Product_Fixed_Allocation[ProductID],Product_CustomerSegment_Monthly_Actual_Fixed_Cost[[#This Row],[ProductID]])</f>
        <v>55</v>
      </c>
      <c r="AN64">
        <f>SUMIFS(Product_Fixed_Allocation[6/1/2025],Product_Fixed_Allocation[ProductID],Product_CustomerSegment_Monthly_Actual_Fixed_Cost[[#This Row],[ProductID]])</f>
        <v>55</v>
      </c>
      <c r="AO64">
        <f>SUM(Product_CustomerSegment_Monthly_Actual_Fixed_Cost[[#This Row],[25-Jan]:[25-Jun]])</f>
        <v>330</v>
      </c>
      <c r="AR64" t="s">
        <v>31</v>
      </c>
      <c r="AS64" t="s">
        <v>48</v>
      </c>
      <c r="AT64">
        <f>Product_CustomerSegment_Monthly_Actual_Fixed_Cost[[#This Row],[25-Jan]]*Product_Segment_Monthly_Quantity[[#This Row],[1/1/2025]]</f>
        <v>825</v>
      </c>
      <c r="AU64">
        <f>Product_CustomerSegment_Monthly_Actual_Fixed_Cost[[#This Row],[25-Feb]]*Product_Segment_Monthly_Quantity[[#This Row],[2/1/2025]]</f>
        <v>440</v>
      </c>
      <c r="AV64">
        <f>Product_CustomerSegment_Monthly_Actual_Fixed_Cost[[#This Row],[25-Mar]]*Product_Segment_Monthly_Quantity[[#This Row],[3/1/2025]]</f>
        <v>495</v>
      </c>
      <c r="AW64">
        <f>Product_CustomerSegment_Monthly_Actual_Fixed_Cost[[#This Row],[25-Apr]]*Product_Segment_Monthly_Quantity[[#This Row],[4/1/2025]]</f>
        <v>1155</v>
      </c>
      <c r="AX64">
        <f>Product_CustomerSegment_Monthly_Actual_Fixed_Cost[[#This Row],[25-May]]*Product_Segment_Monthly_Quantity[[#This Row],[5/1/2025]]</f>
        <v>55</v>
      </c>
      <c r="AY64">
        <f>Product_CustomerSegment_Monthly_Actual_Fixed_Cost[[#This Row],[25-Jun]]*Product_Segment_Monthly_Quantity[[#This Row],[6/1/2025]]</f>
        <v>1045</v>
      </c>
      <c r="AZ64">
        <f>SUM(Product_CustomerSegment_Monthly_Fixed_Cost_Amount[[#This Row],[25-Jan]:[25-Jun]])</f>
        <v>4015</v>
      </c>
      <c r="BC64" t="s">
        <v>31</v>
      </c>
      <c r="BD64" t="s">
        <v>48</v>
      </c>
      <c r="BE64">
        <f>Product_CustomerSegment_Monthly_Fixed_Cost_Amount[[#This Row],[25-Jan]]+Product_CustomerSegment_Monthly_Variable_Cost_Amount[[#This Row],[25-Jan]]</f>
        <v>5386.6500000000005</v>
      </c>
      <c r="BF64">
        <f>Product_CustomerSegment_Monthly_Fixed_Cost_Amount[[#This Row],[25-Feb]]+Product_CustomerSegment_Monthly_Variable_Cost_Amount[[#This Row],[25-Feb]]</f>
        <v>2725.28</v>
      </c>
      <c r="BG64">
        <f>Product_CustomerSegment_Monthly_Fixed_Cost_Amount[[#This Row],[25-Mar]]+Product_CustomerSegment_Monthly_Variable_Cost_Amount[[#This Row],[25-Mar]]</f>
        <v>3088.71</v>
      </c>
      <c r="BH64">
        <f>Product_CustomerSegment_Monthly_Fixed_Cost_Amount[[#This Row],[25-Apr]]+Product_CustomerSegment_Monthly_Variable_Cost_Amount[[#This Row],[25-Apr]]</f>
        <v>7631.19</v>
      </c>
      <c r="BI64">
        <f>Product_CustomerSegment_Monthly_Fixed_Cost_Amount[[#This Row],[25-May]]+Product_CustomerSegment_Monthly_Variable_Cost_Amount[[#This Row],[25-May]]</f>
        <v>367.18</v>
      </c>
      <c r="BJ64">
        <f>Product_CustomerSegment_Monthly_Fixed_Cost_Amount[[#This Row],[25-Jun]]+Product_CustomerSegment_Monthly_Variable_Cost_Amount[[#This Row],[25-Jun]]</f>
        <v>7065.1500000000005</v>
      </c>
      <c r="BK64">
        <f>SUM(Product_CustomerSegment_Monthly_COGS[[#This Row],[25-Jan]:[25-Jun]])</f>
        <v>26264.16</v>
      </c>
    </row>
    <row r="65" spans="1:63">
      <c r="A65" t="s">
        <v>31</v>
      </c>
      <c r="B65" t="s">
        <v>59</v>
      </c>
      <c r="C6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6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6</v>
      </c>
      <c r="E6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4</v>
      </c>
      <c r="F6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7</v>
      </c>
      <c r="G6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8</v>
      </c>
      <c r="H6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5</v>
      </c>
      <c r="I65">
        <f>SUM(Product_Segment_Monthly_Quantity[[#This Row],[1/1/2025]:[6/1/2025]])</f>
        <v>31</v>
      </c>
      <c r="L65" t="s">
        <v>31</v>
      </c>
      <c r="M65" t="s">
        <v>59</v>
      </c>
      <c r="N65">
        <f>SUMIFS(Table21[1/1/2025],Table21[ProductID],Product_CustomerSegment_Monthly_Variable_Cost[[#This Row],[ProductID]])</f>
        <v>304.11</v>
      </c>
      <c r="O65">
        <f>SUMIFS(Table21[2/1/2025],Table21[ProductID],Product_CustomerSegment_Monthly_Variable_Cost[[#This Row],[ProductID]])</f>
        <v>285.66000000000003</v>
      </c>
      <c r="P65">
        <f>SUMIFS(Table21[3/1/2025],Table21[ProductID],Product_CustomerSegment_Monthly_Variable_Cost[[#This Row],[ProductID]])</f>
        <v>288.19</v>
      </c>
      <c r="Q65">
        <f>SUMIFS(Table21[4/1/2025],Table21[ProductID],Product_CustomerSegment_Monthly_Variable_Cost[[#This Row],[ProductID]])</f>
        <v>308.39</v>
      </c>
      <c r="R65">
        <f>SUMIFS(Table21[5/1/2025],Table21[ProductID],Product_CustomerSegment_Monthly_Variable_Cost[[#This Row],[ProductID]])</f>
        <v>312.18</v>
      </c>
      <c r="S65">
        <f>SUMIFS(Table21[6/1/2025],Table21[ProductID],Product_CustomerSegment_Monthly_Variable_Cost[[#This Row],[ProductID]])</f>
        <v>316.85000000000002</v>
      </c>
      <c r="V65" t="s">
        <v>31</v>
      </c>
      <c r="W65" t="s">
        <v>59</v>
      </c>
      <c r="X65">
        <f>Product_CustomerSegment_Monthly_Variable_Cost[[#This Row],[25-Jan]]*Product_Segment_Monthly_Quantity[[#This Row],[1/1/2025]]</f>
        <v>304.11</v>
      </c>
      <c r="Y65">
        <f>Product_CustomerSegment_Monthly_Variable_Cost[[#This Row],[25-Feb]]*Product_Segment_Monthly_Quantity[[#This Row],[2/1/2025]]</f>
        <v>1713.96</v>
      </c>
      <c r="Z65">
        <f>Product_CustomerSegment_Monthly_Variable_Cost[[#This Row],[25-Mar]]*Product_Segment_Monthly_Quantity[[#This Row],[3/1/2025]]</f>
        <v>1152.76</v>
      </c>
      <c r="AA65">
        <f>Product_CustomerSegment_Monthly_Variable_Cost[[#This Row],[25-Apr]]*Product_Segment_Monthly_Quantity[[#This Row],[4/1/2025]]</f>
        <v>2158.73</v>
      </c>
      <c r="AB65">
        <f>Product_CustomerSegment_Monthly_Variable_Cost[[#This Row],[25-May]]*Product_Segment_Monthly_Quantity[[#This Row],[5/1/2025]]</f>
        <v>2497.44</v>
      </c>
      <c r="AC65">
        <f>Product_CustomerSegment_Monthly_Variable_Cost[[#This Row],[25-Jun]]*Product_Segment_Monthly_Quantity[[#This Row],[6/1/2025]]</f>
        <v>1584.25</v>
      </c>
      <c r="AD65">
        <f>SUM(Product_CustomerSegment_Monthly_Variable_Cost_Amount[[#This Row],[25-Jan]:[25-Jun]])</f>
        <v>9411.25</v>
      </c>
      <c r="AG65" t="s">
        <v>31</v>
      </c>
      <c r="AH65" t="s">
        <v>59</v>
      </c>
      <c r="AI65">
        <f>SUMIFS(Product_Fixed_Allocation[1/1/2025],Product_Fixed_Allocation[ProductID],Product_CustomerSegment_Monthly_Actual_Fixed_Cost[[#This Row],[ProductID]])</f>
        <v>55</v>
      </c>
      <c r="AJ65">
        <f>SUMIFS(Product_Fixed_Allocation[2/1/2025],Product_Fixed_Allocation[ProductID],Product_CustomerSegment_Monthly_Actual_Fixed_Cost[[#This Row],[ProductID]])</f>
        <v>55</v>
      </c>
      <c r="AK65">
        <f>SUMIFS(Product_Fixed_Allocation[3/1/2025],Product_Fixed_Allocation[ProductID],Product_CustomerSegment_Monthly_Actual_Fixed_Cost[[#This Row],[ProductID]])</f>
        <v>55</v>
      </c>
      <c r="AL65">
        <f>SUMIFS(Product_Fixed_Allocation[4/1/2025],Product_Fixed_Allocation[ProductID],Product_CustomerSegment_Monthly_Actual_Fixed_Cost[[#This Row],[ProductID]])</f>
        <v>55</v>
      </c>
      <c r="AM65">
        <f>SUMIFS(Product_Fixed_Allocation[5/1/2025],Product_Fixed_Allocation[ProductID],Product_CustomerSegment_Monthly_Actual_Fixed_Cost[[#This Row],[ProductID]])</f>
        <v>55</v>
      </c>
      <c r="AN65">
        <f>SUMIFS(Product_Fixed_Allocation[6/1/2025],Product_Fixed_Allocation[ProductID],Product_CustomerSegment_Monthly_Actual_Fixed_Cost[[#This Row],[ProductID]])</f>
        <v>55</v>
      </c>
      <c r="AO65">
        <f>SUM(Product_CustomerSegment_Monthly_Actual_Fixed_Cost[[#This Row],[25-Jan]:[25-Jun]])</f>
        <v>330</v>
      </c>
      <c r="AR65" t="s">
        <v>31</v>
      </c>
      <c r="AS65" t="s">
        <v>59</v>
      </c>
      <c r="AT65">
        <f>Product_CustomerSegment_Monthly_Actual_Fixed_Cost[[#This Row],[25-Jan]]*Product_Segment_Monthly_Quantity[[#This Row],[1/1/2025]]</f>
        <v>55</v>
      </c>
      <c r="AU65">
        <f>Product_CustomerSegment_Monthly_Actual_Fixed_Cost[[#This Row],[25-Feb]]*Product_Segment_Monthly_Quantity[[#This Row],[2/1/2025]]</f>
        <v>330</v>
      </c>
      <c r="AV65">
        <f>Product_CustomerSegment_Monthly_Actual_Fixed_Cost[[#This Row],[25-Mar]]*Product_Segment_Monthly_Quantity[[#This Row],[3/1/2025]]</f>
        <v>220</v>
      </c>
      <c r="AW65">
        <f>Product_CustomerSegment_Monthly_Actual_Fixed_Cost[[#This Row],[25-Apr]]*Product_Segment_Monthly_Quantity[[#This Row],[4/1/2025]]</f>
        <v>385</v>
      </c>
      <c r="AX65">
        <f>Product_CustomerSegment_Monthly_Actual_Fixed_Cost[[#This Row],[25-May]]*Product_Segment_Monthly_Quantity[[#This Row],[5/1/2025]]</f>
        <v>440</v>
      </c>
      <c r="AY65">
        <f>Product_CustomerSegment_Monthly_Actual_Fixed_Cost[[#This Row],[25-Jun]]*Product_Segment_Monthly_Quantity[[#This Row],[6/1/2025]]</f>
        <v>275</v>
      </c>
      <c r="AZ65">
        <f>SUM(Product_CustomerSegment_Monthly_Fixed_Cost_Amount[[#This Row],[25-Jan]:[25-Jun]])</f>
        <v>1705</v>
      </c>
      <c r="BC65" t="s">
        <v>31</v>
      </c>
      <c r="BD65" t="s">
        <v>59</v>
      </c>
      <c r="BE65">
        <f>Product_CustomerSegment_Monthly_Fixed_Cost_Amount[[#This Row],[25-Jan]]+Product_CustomerSegment_Monthly_Variable_Cost_Amount[[#This Row],[25-Jan]]</f>
        <v>359.11</v>
      </c>
      <c r="BF65">
        <f>Product_CustomerSegment_Monthly_Fixed_Cost_Amount[[#This Row],[25-Feb]]+Product_CustomerSegment_Monthly_Variable_Cost_Amount[[#This Row],[25-Feb]]</f>
        <v>2043.96</v>
      </c>
      <c r="BG65">
        <f>Product_CustomerSegment_Monthly_Fixed_Cost_Amount[[#This Row],[25-Mar]]+Product_CustomerSegment_Monthly_Variable_Cost_Amount[[#This Row],[25-Mar]]</f>
        <v>1372.76</v>
      </c>
      <c r="BH65">
        <f>Product_CustomerSegment_Monthly_Fixed_Cost_Amount[[#This Row],[25-Apr]]+Product_CustomerSegment_Monthly_Variable_Cost_Amount[[#This Row],[25-Apr]]</f>
        <v>2543.73</v>
      </c>
      <c r="BI65">
        <f>Product_CustomerSegment_Monthly_Fixed_Cost_Amount[[#This Row],[25-May]]+Product_CustomerSegment_Monthly_Variable_Cost_Amount[[#This Row],[25-May]]</f>
        <v>2937.44</v>
      </c>
      <c r="BJ65">
        <f>Product_CustomerSegment_Monthly_Fixed_Cost_Amount[[#This Row],[25-Jun]]+Product_CustomerSegment_Monthly_Variable_Cost_Amount[[#This Row],[25-Jun]]</f>
        <v>1859.25</v>
      </c>
      <c r="BK65">
        <f>SUM(Product_CustomerSegment_Monthly_COGS[[#This Row],[25-Jan]:[25-Jun]])</f>
        <v>11116.25</v>
      </c>
    </row>
    <row r="66" spans="1:63">
      <c r="A66" t="s">
        <v>31</v>
      </c>
      <c r="B66" t="s">
        <v>44</v>
      </c>
      <c r="C6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11</v>
      </c>
      <c r="D6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8</v>
      </c>
      <c r="E6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11</v>
      </c>
      <c r="F6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15</v>
      </c>
      <c r="G6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11</v>
      </c>
      <c r="H6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22</v>
      </c>
      <c r="I66">
        <f>SUM(Product_Segment_Monthly_Quantity[[#This Row],[1/1/2025]:[6/1/2025]])</f>
        <v>78</v>
      </c>
      <c r="L66" t="s">
        <v>31</v>
      </c>
      <c r="M66" t="s">
        <v>44</v>
      </c>
      <c r="N66">
        <f>SUMIFS(Table21[1/1/2025],Table21[ProductID],Product_CustomerSegment_Monthly_Variable_Cost[[#This Row],[ProductID]])</f>
        <v>304.11</v>
      </c>
      <c r="O66">
        <f>SUMIFS(Table21[2/1/2025],Table21[ProductID],Product_CustomerSegment_Monthly_Variable_Cost[[#This Row],[ProductID]])</f>
        <v>285.66000000000003</v>
      </c>
      <c r="P66">
        <f>SUMIFS(Table21[3/1/2025],Table21[ProductID],Product_CustomerSegment_Monthly_Variable_Cost[[#This Row],[ProductID]])</f>
        <v>288.19</v>
      </c>
      <c r="Q66">
        <f>SUMIFS(Table21[4/1/2025],Table21[ProductID],Product_CustomerSegment_Monthly_Variable_Cost[[#This Row],[ProductID]])</f>
        <v>308.39</v>
      </c>
      <c r="R66">
        <f>SUMIFS(Table21[5/1/2025],Table21[ProductID],Product_CustomerSegment_Monthly_Variable_Cost[[#This Row],[ProductID]])</f>
        <v>312.18</v>
      </c>
      <c r="S66">
        <f>SUMIFS(Table21[6/1/2025],Table21[ProductID],Product_CustomerSegment_Monthly_Variable_Cost[[#This Row],[ProductID]])</f>
        <v>316.85000000000002</v>
      </c>
      <c r="V66" t="s">
        <v>31</v>
      </c>
      <c r="W66" t="s">
        <v>44</v>
      </c>
      <c r="X66">
        <f>Product_CustomerSegment_Monthly_Variable_Cost[[#This Row],[25-Jan]]*Product_Segment_Monthly_Quantity[[#This Row],[1/1/2025]]</f>
        <v>3345.21</v>
      </c>
      <c r="Y66">
        <f>Product_CustomerSegment_Monthly_Variable_Cost[[#This Row],[25-Feb]]*Product_Segment_Monthly_Quantity[[#This Row],[2/1/2025]]</f>
        <v>2285.2800000000002</v>
      </c>
      <c r="Z66">
        <f>Product_CustomerSegment_Monthly_Variable_Cost[[#This Row],[25-Mar]]*Product_Segment_Monthly_Quantity[[#This Row],[3/1/2025]]</f>
        <v>3170.09</v>
      </c>
      <c r="AA66">
        <f>Product_CustomerSegment_Monthly_Variable_Cost[[#This Row],[25-Apr]]*Product_Segment_Monthly_Quantity[[#This Row],[4/1/2025]]</f>
        <v>4625.8499999999995</v>
      </c>
      <c r="AB66">
        <f>Product_CustomerSegment_Monthly_Variable_Cost[[#This Row],[25-May]]*Product_Segment_Monthly_Quantity[[#This Row],[5/1/2025]]</f>
        <v>3433.98</v>
      </c>
      <c r="AC66">
        <f>Product_CustomerSegment_Monthly_Variable_Cost[[#This Row],[25-Jun]]*Product_Segment_Monthly_Quantity[[#This Row],[6/1/2025]]</f>
        <v>6970.7000000000007</v>
      </c>
      <c r="AD66">
        <f>SUM(Product_CustomerSegment_Monthly_Variable_Cost_Amount[[#This Row],[25-Jan]:[25-Jun]])</f>
        <v>23831.11</v>
      </c>
      <c r="AG66" t="s">
        <v>31</v>
      </c>
      <c r="AH66" t="s">
        <v>44</v>
      </c>
      <c r="AI66">
        <f>SUMIFS(Product_Fixed_Allocation[1/1/2025],Product_Fixed_Allocation[ProductID],Product_CustomerSegment_Monthly_Actual_Fixed_Cost[[#This Row],[ProductID]])</f>
        <v>55</v>
      </c>
      <c r="AJ66">
        <f>SUMIFS(Product_Fixed_Allocation[2/1/2025],Product_Fixed_Allocation[ProductID],Product_CustomerSegment_Monthly_Actual_Fixed_Cost[[#This Row],[ProductID]])</f>
        <v>55</v>
      </c>
      <c r="AK66">
        <f>SUMIFS(Product_Fixed_Allocation[3/1/2025],Product_Fixed_Allocation[ProductID],Product_CustomerSegment_Monthly_Actual_Fixed_Cost[[#This Row],[ProductID]])</f>
        <v>55</v>
      </c>
      <c r="AL66">
        <f>SUMIFS(Product_Fixed_Allocation[4/1/2025],Product_Fixed_Allocation[ProductID],Product_CustomerSegment_Monthly_Actual_Fixed_Cost[[#This Row],[ProductID]])</f>
        <v>55</v>
      </c>
      <c r="AM66">
        <f>SUMIFS(Product_Fixed_Allocation[5/1/2025],Product_Fixed_Allocation[ProductID],Product_CustomerSegment_Monthly_Actual_Fixed_Cost[[#This Row],[ProductID]])</f>
        <v>55</v>
      </c>
      <c r="AN66">
        <f>SUMIFS(Product_Fixed_Allocation[6/1/2025],Product_Fixed_Allocation[ProductID],Product_CustomerSegment_Monthly_Actual_Fixed_Cost[[#This Row],[ProductID]])</f>
        <v>55</v>
      </c>
      <c r="AO66">
        <f>SUM(Product_CustomerSegment_Monthly_Actual_Fixed_Cost[[#This Row],[25-Jan]:[25-Jun]])</f>
        <v>330</v>
      </c>
      <c r="AR66" t="s">
        <v>31</v>
      </c>
      <c r="AS66" t="s">
        <v>44</v>
      </c>
      <c r="AT66">
        <f>Product_CustomerSegment_Monthly_Actual_Fixed_Cost[[#This Row],[25-Jan]]*Product_Segment_Monthly_Quantity[[#This Row],[1/1/2025]]</f>
        <v>605</v>
      </c>
      <c r="AU66">
        <f>Product_CustomerSegment_Monthly_Actual_Fixed_Cost[[#This Row],[25-Feb]]*Product_Segment_Monthly_Quantity[[#This Row],[2/1/2025]]</f>
        <v>440</v>
      </c>
      <c r="AV66">
        <f>Product_CustomerSegment_Monthly_Actual_Fixed_Cost[[#This Row],[25-Mar]]*Product_Segment_Monthly_Quantity[[#This Row],[3/1/2025]]</f>
        <v>605</v>
      </c>
      <c r="AW66">
        <f>Product_CustomerSegment_Monthly_Actual_Fixed_Cost[[#This Row],[25-Apr]]*Product_Segment_Monthly_Quantity[[#This Row],[4/1/2025]]</f>
        <v>825</v>
      </c>
      <c r="AX66">
        <f>Product_CustomerSegment_Monthly_Actual_Fixed_Cost[[#This Row],[25-May]]*Product_Segment_Monthly_Quantity[[#This Row],[5/1/2025]]</f>
        <v>605</v>
      </c>
      <c r="AY66">
        <f>Product_CustomerSegment_Monthly_Actual_Fixed_Cost[[#This Row],[25-Jun]]*Product_Segment_Monthly_Quantity[[#This Row],[6/1/2025]]</f>
        <v>1210</v>
      </c>
      <c r="AZ66">
        <f>SUM(Product_CustomerSegment_Monthly_Fixed_Cost_Amount[[#This Row],[25-Jan]:[25-Jun]])</f>
        <v>4290</v>
      </c>
      <c r="BC66" t="s">
        <v>31</v>
      </c>
      <c r="BD66" t="s">
        <v>44</v>
      </c>
      <c r="BE66">
        <f>Product_CustomerSegment_Monthly_Fixed_Cost_Amount[[#This Row],[25-Jan]]+Product_CustomerSegment_Monthly_Variable_Cost_Amount[[#This Row],[25-Jan]]</f>
        <v>3950.21</v>
      </c>
      <c r="BF66">
        <f>Product_CustomerSegment_Monthly_Fixed_Cost_Amount[[#This Row],[25-Feb]]+Product_CustomerSegment_Monthly_Variable_Cost_Amount[[#This Row],[25-Feb]]</f>
        <v>2725.28</v>
      </c>
      <c r="BG66">
        <f>Product_CustomerSegment_Monthly_Fixed_Cost_Amount[[#This Row],[25-Mar]]+Product_CustomerSegment_Monthly_Variable_Cost_Amount[[#This Row],[25-Mar]]</f>
        <v>3775.09</v>
      </c>
      <c r="BH66">
        <f>Product_CustomerSegment_Monthly_Fixed_Cost_Amount[[#This Row],[25-Apr]]+Product_CustomerSegment_Monthly_Variable_Cost_Amount[[#This Row],[25-Apr]]</f>
        <v>5450.8499999999995</v>
      </c>
      <c r="BI66">
        <f>Product_CustomerSegment_Monthly_Fixed_Cost_Amount[[#This Row],[25-May]]+Product_CustomerSegment_Monthly_Variable_Cost_Amount[[#This Row],[25-May]]</f>
        <v>4038.98</v>
      </c>
      <c r="BJ66">
        <f>Product_CustomerSegment_Monthly_Fixed_Cost_Amount[[#This Row],[25-Jun]]+Product_CustomerSegment_Monthly_Variable_Cost_Amount[[#This Row],[25-Jun]]</f>
        <v>8180.7000000000007</v>
      </c>
      <c r="BK66">
        <f>SUM(Product_CustomerSegment_Monthly_COGS[[#This Row],[25-Jan]:[25-Jun]])</f>
        <v>28121.11</v>
      </c>
    </row>
    <row r="67" spans="1:63">
      <c r="A67" t="s">
        <v>39</v>
      </c>
      <c r="B67" t="s">
        <v>28</v>
      </c>
      <c r="C6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17</v>
      </c>
      <c r="D6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8</v>
      </c>
      <c r="E6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7</v>
      </c>
      <c r="F6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5</v>
      </c>
      <c r="G6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6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67">
        <f>SUM(Product_Segment_Monthly_Quantity[[#This Row],[1/1/2025]:[6/1/2025]])</f>
        <v>37</v>
      </c>
      <c r="L67" t="s">
        <v>39</v>
      </c>
      <c r="M67" t="s">
        <v>28</v>
      </c>
      <c r="N67">
        <f>SUMIFS(Table21[1/1/2025],Table21[ProductID],Product_CustomerSegment_Monthly_Variable_Cost[[#This Row],[ProductID]])</f>
        <v>794.9</v>
      </c>
      <c r="O67">
        <f>SUMIFS(Table21[2/1/2025],Table21[ProductID],Product_CustomerSegment_Monthly_Variable_Cost[[#This Row],[ProductID]])</f>
        <v>811.01</v>
      </c>
      <c r="P67">
        <f>SUMIFS(Table21[3/1/2025],Table21[ProductID],Product_CustomerSegment_Monthly_Variable_Cost[[#This Row],[ProductID]])</f>
        <v>782.95</v>
      </c>
      <c r="Q67">
        <f>SUMIFS(Table21[4/1/2025],Table21[ProductID],Product_CustomerSegment_Monthly_Variable_Cost[[#This Row],[ProductID]])</f>
        <v>784.39</v>
      </c>
      <c r="R67">
        <f>SUMIFS(Table21[5/1/2025],Table21[ProductID],Product_CustomerSegment_Monthly_Variable_Cost[[#This Row],[ProductID]])</f>
        <v>799.24</v>
      </c>
      <c r="S67">
        <f>SUMIFS(Table21[6/1/2025],Table21[ProductID],Product_CustomerSegment_Monthly_Variable_Cost[[#This Row],[ProductID]])</f>
        <v>820.79</v>
      </c>
      <c r="V67" t="s">
        <v>39</v>
      </c>
      <c r="W67" t="s">
        <v>28</v>
      </c>
      <c r="X67">
        <f>Product_CustomerSegment_Monthly_Variable_Cost[[#This Row],[25-Jan]]*Product_Segment_Monthly_Quantity[[#This Row],[1/1/2025]]</f>
        <v>13513.3</v>
      </c>
      <c r="Y67">
        <f>Product_CustomerSegment_Monthly_Variable_Cost[[#This Row],[25-Feb]]*Product_Segment_Monthly_Quantity[[#This Row],[2/1/2025]]</f>
        <v>6488.08</v>
      </c>
      <c r="Z67">
        <f>Product_CustomerSegment_Monthly_Variable_Cost[[#This Row],[25-Mar]]*Product_Segment_Monthly_Quantity[[#This Row],[3/1/2025]]</f>
        <v>5480.6500000000005</v>
      </c>
      <c r="AA67">
        <f>Product_CustomerSegment_Monthly_Variable_Cost[[#This Row],[25-Apr]]*Product_Segment_Monthly_Quantity[[#This Row],[4/1/2025]]</f>
        <v>3921.95</v>
      </c>
      <c r="AB67">
        <f>Product_CustomerSegment_Monthly_Variable_Cost[[#This Row],[25-May]]*Product_Segment_Monthly_Quantity[[#This Row],[5/1/2025]]</f>
        <v>0</v>
      </c>
      <c r="AC67">
        <f>Product_CustomerSegment_Monthly_Variable_Cost[[#This Row],[25-Jun]]*Product_Segment_Monthly_Quantity[[#This Row],[6/1/2025]]</f>
        <v>0</v>
      </c>
      <c r="AD67">
        <f>SUM(Product_CustomerSegment_Monthly_Variable_Cost_Amount[[#This Row],[25-Jan]:[25-Jun]])</f>
        <v>29403.98</v>
      </c>
      <c r="AG67" t="s">
        <v>39</v>
      </c>
      <c r="AH67" t="s">
        <v>28</v>
      </c>
      <c r="AI67">
        <f>SUMIFS(Product_Fixed_Allocation[1/1/2025],Product_Fixed_Allocation[ProductID],Product_CustomerSegment_Monthly_Actual_Fixed_Cost[[#This Row],[ProductID]])</f>
        <v>125</v>
      </c>
      <c r="AJ67">
        <f>SUMIFS(Product_Fixed_Allocation[2/1/2025],Product_Fixed_Allocation[ProductID],Product_CustomerSegment_Monthly_Actual_Fixed_Cost[[#This Row],[ProductID]])</f>
        <v>125</v>
      </c>
      <c r="AK67">
        <f>SUMIFS(Product_Fixed_Allocation[3/1/2025],Product_Fixed_Allocation[ProductID],Product_CustomerSegment_Monthly_Actual_Fixed_Cost[[#This Row],[ProductID]])</f>
        <v>125</v>
      </c>
      <c r="AL67">
        <f>SUMIFS(Product_Fixed_Allocation[4/1/2025],Product_Fixed_Allocation[ProductID],Product_CustomerSegment_Monthly_Actual_Fixed_Cost[[#This Row],[ProductID]])</f>
        <v>125</v>
      </c>
      <c r="AM67">
        <f>SUMIFS(Product_Fixed_Allocation[5/1/2025],Product_Fixed_Allocation[ProductID],Product_CustomerSegment_Monthly_Actual_Fixed_Cost[[#This Row],[ProductID]])</f>
        <v>125</v>
      </c>
      <c r="AN67">
        <f>SUMIFS(Product_Fixed_Allocation[6/1/2025],Product_Fixed_Allocation[ProductID],Product_CustomerSegment_Monthly_Actual_Fixed_Cost[[#This Row],[ProductID]])</f>
        <v>125</v>
      </c>
      <c r="AO67">
        <f>SUM(Product_CustomerSegment_Monthly_Actual_Fixed_Cost[[#This Row],[25-Jan]:[25-Jun]])</f>
        <v>750</v>
      </c>
      <c r="AR67" t="s">
        <v>39</v>
      </c>
      <c r="AS67" t="s">
        <v>28</v>
      </c>
      <c r="AT67">
        <f>Product_CustomerSegment_Monthly_Actual_Fixed_Cost[[#This Row],[25-Jan]]*Product_Segment_Monthly_Quantity[[#This Row],[1/1/2025]]</f>
        <v>2125</v>
      </c>
      <c r="AU67">
        <f>Product_CustomerSegment_Monthly_Actual_Fixed_Cost[[#This Row],[25-Feb]]*Product_Segment_Monthly_Quantity[[#This Row],[2/1/2025]]</f>
        <v>1000</v>
      </c>
      <c r="AV67">
        <f>Product_CustomerSegment_Monthly_Actual_Fixed_Cost[[#This Row],[25-Mar]]*Product_Segment_Monthly_Quantity[[#This Row],[3/1/2025]]</f>
        <v>875</v>
      </c>
      <c r="AW67">
        <f>Product_CustomerSegment_Monthly_Actual_Fixed_Cost[[#This Row],[25-Apr]]*Product_Segment_Monthly_Quantity[[#This Row],[4/1/2025]]</f>
        <v>625</v>
      </c>
      <c r="AX67">
        <f>Product_CustomerSegment_Monthly_Actual_Fixed_Cost[[#This Row],[25-May]]*Product_Segment_Monthly_Quantity[[#This Row],[5/1/2025]]</f>
        <v>0</v>
      </c>
      <c r="AY67">
        <f>Product_CustomerSegment_Monthly_Actual_Fixed_Cost[[#This Row],[25-Jun]]*Product_Segment_Monthly_Quantity[[#This Row],[6/1/2025]]</f>
        <v>0</v>
      </c>
      <c r="AZ67">
        <f>SUM(Product_CustomerSegment_Monthly_Fixed_Cost_Amount[[#This Row],[25-Jan]:[25-Jun]])</f>
        <v>4625</v>
      </c>
      <c r="BC67" t="s">
        <v>39</v>
      </c>
      <c r="BD67" t="s">
        <v>28</v>
      </c>
      <c r="BE67">
        <f>Product_CustomerSegment_Monthly_Fixed_Cost_Amount[[#This Row],[25-Jan]]+Product_CustomerSegment_Monthly_Variable_Cost_Amount[[#This Row],[25-Jan]]</f>
        <v>15638.3</v>
      </c>
      <c r="BF67">
        <f>Product_CustomerSegment_Monthly_Fixed_Cost_Amount[[#This Row],[25-Feb]]+Product_CustomerSegment_Monthly_Variable_Cost_Amount[[#This Row],[25-Feb]]</f>
        <v>7488.08</v>
      </c>
      <c r="BG67">
        <f>Product_CustomerSegment_Monthly_Fixed_Cost_Amount[[#This Row],[25-Mar]]+Product_CustomerSegment_Monthly_Variable_Cost_Amount[[#This Row],[25-Mar]]</f>
        <v>6355.6500000000005</v>
      </c>
      <c r="BH67">
        <f>Product_CustomerSegment_Monthly_Fixed_Cost_Amount[[#This Row],[25-Apr]]+Product_CustomerSegment_Monthly_Variable_Cost_Amount[[#This Row],[25-Apr]]</f>
        <v>4546.95</v>
      </c>
      <c r="BI67">
        <f>Product_CustomerSegment_Monthly_Fixed_Cost_Amount[[#This Row],[25-May]]+Product_CustomerSegment_Monthly_Variable_Cost_Amount[[#This Row],[25-May]]</f>
        <v>0</v>
      </c>
      <c r="BJ67">
        <f>Product_CustomerSegment_Monthly_Fixed_Cost_Amount[[#This Row],[25-Jun]]+Product_CustomerSegment_Monthly_Variable_Cost_Amount[[#This Row],[25-Jun]]</f>
        <v>0</v>
      </c>
      <c r="BK67">
        <f>SUM(Product_CustomerSegment_Monthly_COGS[[#This Row],[25-Jan]:[25-Jun]])</f>
        <v>34028.979999999996</v>
      </c>
    </row>
    <row r="68" spans="1:63">
      <c r="A68" t="s">
        <v>39</v>
      </c>
      <c r="B68" t="s">
        <v>36</v>
      </c>
      <c r="C6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13</v>
      </c>
      <c r="D6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21</v>
      </c>
      <c r="E6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14</v>
      </c>
      <c r="F6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18</v>
      </c>
      <c r="G6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19</v>
      </c>
      <c r="H6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13</v>
      </c>
      <c r="I68">
        <f>SUM(Product_Segment_Monthly_Quantity[[#This Row],[1/1/2025]:[6/1/2025]])</f>
        <v>98</v>
      </c>
      <c r="L68" t="s">
        <v>39</v>
      </c>
      <c r="M68" t="s">
        <v>36</v>
      </c>
      <c r="N68">
        <f>SUMIFS(Table21[1/1/2025],Table21[ProductID],Product_CustomerSegment_Monthly_Variable_Cost[[#This Row],[ProductID]])</f>
        <v>794.9</v>
      </c>
      <c r="O68">
        <f>SUMIFS(Table21[2/1/2025],Table21[ProductID],Product_CustomerSegment_Monthly_Variable_Cost[[#This Row],[ProductID]])</f>
        <v>811.01</v>
      </c>
      <c r="P68">
        <f>SUMIFS(Table21[3/1/2025],Table21[ProductID],Product_CustomerSegment_Monthly_Variable_Cost[[#This Row],[ProductID]])</f>
        <v>782.95</v>
      </c>
      <c r="Q68">
        <f>SUMIFS(Table21[4/1/2025],Table21[ProductID],Product_CustomerSegment_Monthly_Variable_Cost[[#This Row],[ProductID]])</f>
        <v>784.39</v>
      </c>
      <c r="R68">
        <f>SUMIFS(Table21[5/1/2025],Table21[ProductID],Product_CustomerSegment_Monthly_Variable_Cost[[#This Row],[ProductID]])</f>
        <v>799.24</v>
      </c>
      <c r="S68">
        <f>SUMIFS(Table21[6/1/2025],Table21[ProductID],Product_CustomerSegment_Monthly_Variable_Cost[[#This Row],[ProductID]])</f>
        <v>820.79</v>
      </c>
      <c r="V68" t="s">
        <v>39</v>
      </c>
      <c r="W68" t="s">
        <v>36</v>
      </c>
      <c r="X68">
        <f>Product_CustomerSegment_Monthly_Variable_Cost[[#This Row],[25-Jan]]*Product_Segment_Monthly_Quantity[[#This Row],[1/1/2025]]</f>
        <v>10333.699999999999</v>
      </c>
      <c r="Y68">
        <f>Product_CustomerSegment_Monthly_Variable_Cost[[#This Row],[25-Feb]]*Product_Segment_Monthly_Quantity[[#This Row],[2/1/2025]]</f>
        <v>17031.21</v>
      </c>
      <c r="Z68">
        <f>Product_CustomerSegment_Monthly_Variable_Cost[[#This Row],[25-Mar]]*Product_Segment_Monthly_Quantity[[#This Row],[3/1/2025]]</f>
        <v>10961.300000000001</v>
      </c>
      <c r="AA68">
        <f>Product_CustomerSegment_Monthly_Variable_Cost[[#This Row],[25-Apr]]*Product_Segment_Monthly_Quantity[[#This Row],[4/1/2025]]</f>
        <v>14119.02</v>
      </c>
      <c r="AB68">
        <f>Product_CustomerSegment_Monthly_Variable_Cost[[#This Row],[25-May]]*Product_Segment_Monthly_Quantity[[#This Row],[5/1/2025]]</f>
        <v>15185.56</v>
      </c>
      <c r="AC68">
        <f>Product_CustomerSegment_Monthly_Variable_Cost[[#This Row],[25-Jun]]*Product_Segment_Monthly_Quantity[[#This Row],[6/1/2025]]</f>
        <v>10670.27</v>
      </c>
      <c r="AD68">
        <f>SUM(Product_CustomerSegment_Monthly_Variable_Cost_Amount[[#This Row],[25-Jan]:[25-Jun]])</f>
        <v>78301.06</v>
      </c>
      <c r="AG68" t="s">
        <v>39</v>
      </c>
      <c r="AH68" t="s">
        <v>36</v>
      </c>
      <c r="AI68">
        <f>SUMIFS(Product_Fixed_Allocation[1/1/2025],Product_Fixed_Allocation[ProductID],Product_CustomerSegment_Monthly_Actual_Fixed_Cost[[#This Row],[ProductID]])</f>
        <v>125</v>
      </c>
      <c r="AJ68">
        <f>SUMIFS(Product_Fixed_Allocation[2/1/2025],Product_Fixed_Allocation[ProductID],Product_CustomerSegment_Monthly_Actual_Fixed_Cost[[#This Row],[ProductID]])</f>
        <v>125</v>
      </c>
      <c r="AK68">
        <f>SUMIFS(Product_Fixed_Allocation[3/1/2025],Product_Fixed_Allocation[ProductID],Product_CustomerSegment_Monthly_Actual_Fixed_Cost[[#This Row],[ProductID]])</f>
        <v>125</v>
      </c>
      <c r="AL68">
        <f>SUMIFS(Product_Fixed_Allocation[4/1/2025],Product_Fixed_Allocation[ProductID],Product_CustomerSegment_Monthly_Actual_Fixed_Cost[[#This Row],[ProductID]])</f>
        <v>125</v>
      </c>
      <c r="AM68">
        <f>SUMIFS(Product_Fixed_Allocation[5/1/2025],Product_Fixed_Allocation[ProductID],Product_CustomerSegment_Monthly_Actual_Fixed_Cost[[#This Row],[ProductID]])</f>
        <v>125</v>
      </c>
      <c r="AN68">
        <f>SUMIFS(Product_Fixed_Allocation[6/1/2025],Product_Fixed_Allocation[ProductID],Product_CustomerSegment_Monthly_Actual_Fixed_Cost[[#This Row],[ProductID]])</f>
        <v>125</v>
      </c>
      <c r="AO68">
        <f>SUM(Product_CustomerSegment_Monthly_Actual_Fixed_Cost[[#This Row],[25-Jan]:[25-Jun]])</f>
        <v>750</v>
      </c>
      <c r="AR68" t="s">
        <v>39</v>
      </c>
      <c r="AS68" t="s">
        <v>36</v>
      </c>
      <c r="AT68">
        <f>Product_CustomerSegment_Monthly_Actual_Fixed_Cost[[#This Row],[25-Jan]]*Product_Segment_Monthly_Quantity[[#This Row],[1/1/2025]]</f>
        <v>1625</v>
      </c>
      <c r="AU68">
        <f>Product_CustomerSegment_Monthly_Actual_Fixed_Cost[[#This Row],[25-Feb]]*Product_Segment_Monthly_Quantity[[#This Row],[2/1/2025]]</f>
        <v>2625</v>
      </c>
      <c r="AV68">
        <f>Product_CustomerSegment_Monthly_Actual_Fixed_Cost[[#This Row],[25-Mar]]*Product_Segment_Monthly_Quantity[[#This Row],[3/1/2025]]</f>
        <v>1750</v>
      </c>
      <c r="AW68">
        <f>Product_CustomerSegment_Monthly_Actual_Fixed_Cost[[#This Row],[25-Apr]]*Product_Segment_Monthly_Quantity[[#This Row],[4/1/2025]]</f>
        <v>2250</v>
      </c>
      <c r="AX68">
        <f>Product_CustomerSegment_Monthly_Actual_Fixed_Cost[[#This Row],[25-May]]*Product_Segment_Monthly_Quantity[[#This Row],[5/1/2025]]</f>
        <v>2375</v>
      </c>
      <c r="AY68">
        <f>Product_CustomerSegment_Monthly_Actual_Fixed_Cost[[#This Row],[25-Jun]]*Product_Segment_Monthly_Quantity[[#This Row],[6/1/2025]]</f>
        <v>1625</v>
      </c>
      <c r="AZ68">
        <f>SUM(Product_CustomerSegment_Monthly_Fixed_Cost_Amount[[#This Row],[25-Jan]:[25-Jun]])</f>
        <v>12250</v>
      </c>
      <c r="BC68" t="s">
        <v>39</v>
      </c>
      <c r="BD68" t="s">
        <v>36</v>
      </c>
      <c r="BE68">
        <f>Product_CustomerSegment_Monthly_Fixed_Cost_Amount[[#This Row],[25-Jan]]+Product_CustomerSegment_Monthly_Variable_Cost_Amount[[#This Row],[25-Jan]]</f>
        <v>11958.699999999999</v>
      </c>
      <c r="BF68">
        <f>Product_CustomerSegment_Monthly_Fixed_Cost_Amount[[#This Row],[25-Feb]]+Product_CustomerSegment_Monthly_Variable_Cost_Amount[[#This Row],[25-Feb]]</f>
        <v>19656.21</v>
      </c>
      <c r="BG68">
        <f>Product_CustomerSegment_Monthly_Fixed_Cost_Amount[[#This Row],[25-Mar]]+Product_CustomerSegment_Monthly_Variable_Cost_Amount[[#This Row],[25-Mar]]</f>
        <v>12711.300000000001</v>
      </c>
      <c r="BH68">
        <f>Product_CustomerSegment_Monthly_Fixed_Cost_Amount[[#This Row],[25-Apr]]+Product_CustomerSegment_Monthly_Variable_Cost_Amount[[#This Row],[25-Apr]]</f>
        <v>16369.02</v>
      </c>
      <c r="BI68">
        <f>Product_CustomerSegment_Monthly_Fixed_Cost_Amount[[#This Row],[25-May]]+Product_CustomerSegment_Monthly_Variable_Cost_Amount[[#This Row],[25-May]]</f>
        <v>17560.559999999998</v>
      </c>
      <c r="BJ68">
        <f>Product_CustomerSegment_Monthly_Fixed_Cost_Amount[[#This Row],[25-Jun]]+Product_CustomerSegment_Monthly_Variable_Cost_Amount[[#This Row],[25-Jun]]</f>
        <v>12295.27</v>
      </c>
      <c r="BK68">
        <f>SUM(Product_CustomerSegment_Monthly_COGS[[#This Row],[25-Jan]:[25-Jun]])</f>
        <v>90551.06</v>
      </c>
    </row>
    <row r="69" spans="1:63">
      <c r="A69" t="s">
        <v>39</v>
      </c>
      <c r="B69" t="s">
        <v>48</v>
      </c>
      <c r="C6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6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18</v>
      </c>
      <c r="E6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6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9</v>
      </c>
      <c r="G6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0</v>
      </c>
      <c r="H6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9</v>
      </c>
      <c r="I69">
        <f>SUM(Product_Segment_Monthly_Quantity[[#This Row],[1/1/2025]:[6/1/2025]])</f>
        <v>38</v>
      </c>
      <c r="L69" t="s">
        <v>39</v>
      </c>
      <c r="M69" t="s">
        <v>48</v>
      </c>
      <c r="N69">
        <f>SUMIFS(Table21[1/1/2025],Table21[ProductID],Product_CustomerSegment_Monthly_Variable_Cost[[#This Row],[ProductID]])</f>
        <v>794.9</v>
      </c>
      <c r="O69">
        <f>SUMIFS(Table21[2/1/2025],Table21[ProductID],Product_CustomerSegment_Monthly_Variable_Cost[[#This Row],[ProductID]])</f>
        <v>811.01</v>
      </c>
      <c r="P69">
        <f>SUMIFS(Table21[3/1/2025],Table21[ProductID],Product_CustomerSegment_Monthly_Variable_Cost[[#This Row],[ProductID]])</f>
        <v>782.95</v>
      </c>
      <c r="Q69">
        <f>SUMIFS(Table21[4/1/2025],Table21[ProductID],Product_CustomerSegment_Monthly_Variable_Cost[[#This Row],[ProductID]])</f>
        <v>784.39</v>
      </c>
      <c r="R69">
        <f>SUMIFS(Table21[5/1/2025],Table21[ProductID],Product_CustomerSegment_Monthly_Variable_Cost[[#This Row],[ProductID]])</f>
        <v>799.24</v>
      </c>
      <c r="S69">
        <f>SUMIFS(Table21[6/1/2025],Table21[ProductID],Product_CustomerSegment_Monthly_Variable_Cost[[#This Row],[ProductID]])</f>
        <v>820.79</v>
      </c>
      <c r="V69" t="s">
        <v>39</v>
      </c>
      <c r="W69" t="s">
        <v>48</v>
      </c>
      <c r="X69">
        <f>Product_CustomerSegment_Monthly_Variable_Cost[[#This Row],[25-Jan]]*Product_Segment_Monthly_Quantity[[#This Row],[1/1/2025]]</f>
        <v>1589.8</v>
      </c>
      <c r="Y69">
        <f>Product_CustomerSegment_Monthly_Variable_Cost[[#This Row],[25-Feb]]*Product_Segment_Monthly_Quantity[[#This Row],[2/1/2025]]</f>
        <v>14598.18</v>
      </c>
      <c r="Z69">
        <f>Product_CustomerSegment_Monthly_Variable_Cost[[#This Row],[25-Mar]]*Product_Segment_Monthly_Quantity[[#This Row],[3/1/2025]]</f>
        <v>0</v>
      </c>
      <c r="AA69">
        <f>Product_CustomerSegment_Monthly_Variable_Cost[[#This Row],[25-Apr]]*Product_Segment_Monthly_Quantity[[#This Row],[4/1/2025]]</f>
        <v>7059.51</v>
      </c>
      <c r="AB69">
        <f>Product_CustomerSegment_Monthly_Variable_Cost[[#This Row],[25-May]]*Product_Segment_Monthly_Quantity[[#This Row],[5/1/2025]]</f>
        <v>0</v>
      </c>
      <c r="AC69">
        <f>Product_CustomerSegment_Monthly_Variable_Cost[[#This Row],[25-Jun]]*Product_Segment_Monthly_Quantity[[#This Row],[6/1/2025]]</f>
        <v>7387.11</v>
      </c>
      <c r="AD69">
        <f>SUM(Product_CustomerSegment_Monthly_Variable_Cost_Amount[[#This Row],[25-Jan]:[25-Jun]])</f>
        <v>30634.6</v>
      </c>
      <c r="AG69" t="s">
        <v>39</v>
      </c>
      <c r="AH69" t="s">
        <v>48</v>
      </c>
      <c r="AI69">
        <f>SUMIFS(Product_Fixed_Allocation[1/1/2025],Product_Fixed_Allocation[ProductID],Product_CustomerSegment_Monthly_Actual_Fixed_Cost[[#This Row],[ProductID]])</f>
        <v>125</v>
      </c>
      <c r="AJ69">
        <f>SUMIFS(Product_Fixed_Allocation[2/1/2025],Product_Fixed_Allocation[ProductID],Product_CustomerSegment_Monthly_Actual_Fixed_Cost[[#This Row],[ProductID]])</f>
        <v>125</v>
      </c>
      <c r="AK69">
        <f>SUMIFS(Product_Fixed_Allocation[3/1/2025],Product_Fixed_Allocation[ProductID],Product_CustomerSegment_Monthly_Actual_Fixed_Cost[[#This Row],[ProductID]])</f>
        <v>125</v>
      </c>
      <c r="AL69">
        <f>SUMIFS(Product_Fixed_Allocation[4/1/2025],Product_Fixed_Allocation[ProductID],Product_CustomerSegment_Monthly_Actual_Fixed_Cost[[#This Row],[ProductID]])</f>
        <v>125</v>
      </c>
      <c r="AM69">
        <f>SUMIFS(Product_Fixed_Allocation[5/1/2025],Product_Fixed_Allocation[ProductID],Product_CustomerSegment_Monthly_Actual_Fixed_Cost[[#This Row],[ProductID]])</f>
        <v>125</v>
      </c>
      <c r="AN69">
        <f>SUMIFS(Product_Fixed_Allocation[6/1/2025],Product_Fixed_Allocation[ProductID],Product_CustomerSegment_Monthly_Actual_Fixed_Cost[[#This Row],[ProductID]])</f>
        <v>125</v>
      </c>
      <c r="AO69">
        <f>SUM(Product_CustomerSegment_Monthly_Actual_Fixed_Cost[[#This Row],[25-Jan]:[25-Jun]])</f>
        <v>750</v>
      </c>
      <c r="AR69" t="s">
        <v>39</v>
      </c>
      <c r="AS69" t="s">
        <v>48</v>
      </c>
      <c r="AT69">
        <f>Product_CustomerSegment_Monthly_Actual_Fixed_Cost[[#This Row],[25-Jan]]*Product_Segment_Monthly_Quantity[[#This Row],[1/1/2025]]</f>
        <v>250</v>
      </c>
      <c r="AU69">
        <f>Product_CustomerSegment_Monthly_Actual_Fixed_Cost[[#This Row],[25-Feb]]*Product_Segment_Monthly_Quantity[[#This Row],[2/1/2025]]</f>
        <v>2250</v>
      </c>
      <c r="AV69">
        <f>Product_CustomerSegment_Monthly_Actual_Fixed_Cost[[#This Row],[25-Mar]]*Product_Segment_Monthly_Quantity[[#This Row],[3/1/2025]]</f>
        <v>0</v>
      </c>
      <c r="AW69">
        <f>Product_CustomerSegment_Monthly_Actual_Fixed_Cost[[#This Row],[25-Apr]]*Product_Segment_Monthly_Quantity[[#This Row],[4/1/2025]]</f>
        <v>1125</v>
      </c>
      <c r="AX69">
        <f>Product_CustomerSegment_Monthly_Actual_Fixed_Cost[[#This Row],[25-May]]*Product_Segment_Monthly_Quantity[[#This Row],[5/1/2025]]</f>
        <v>0</v>
      </c>
      <c r="AY69">
        <f>Product_CustomerSegment_Monthly_Actual_Fixed_Cost[[#This Row],[25-Jun]]*Product_Segment_Monthly_Quantity[[#This Row],[6/1/2025]]</f>
        <v>1125</v>
      </c>
      <c r="AZ69">
        <f>SUM(Product_CustomerSegment_Monthly_Fixed_Cost_Amount[[#This Row],[25-Jan]:[25-Jun]])</f>
        <v>4750</v>
      </c>
      <c r="BC69" t="s">
        <v>39</v>
      </c>
      <c r="BD69" t="s">
        <v>48</v>
      </c>
      <c r="BE69">
        <f>Product_CustomerSegment_Monthly_Fixed_Cost_Amount[[#This Row],[25-Jan]]+Product_CustomerSegment_Monthly_Variable_Cost_Amount[[#This Row],[25-Jan]]</f>
        <v>1839.8</v>
      </c>
      <c r="BF69">
        <f>Product_CustomerSegment_Monthly_Fixed_Cost_Amount[[#This Row],[25-Feb]]+Product_CustomerSegment_Monthly_Variable_Cost_Amount[[#This Row],[25-Feb]]</f>
        <v>16848.18</v>
      </c>
      <c r="BG69">
        <f>Product_CustomerSegment_Monthly_Fixed_Cost_Amount[[#This Row],[25-Mar]]+Product_CustomerSegment_Monthly_Variable_Cost_Amount[[#This Row],[25-Mar]]</f>
        <v>0</v>
      </c>
      <c r="BH69">
        <f>Product_CustomerSegment_Monthly_Fixed_Cost_Amount[[#This Row],[25-Apr]]+Product_CustomerSegment_Monthly_Variable_Cost_Amount[[#This Row],[25-Apr]]</f>
        <v>8184.51</v>
      </c>
      <c r="BI69">
        <f>Product_CustomerSegment_Monthly_Fixed_Cost_Amount[[#This Row],[25-May]]+Product_CustomerSegment_Monthly_Variable_Cost_Amount[[#This Row],[25-May]]</f>
        <v>0</v>
      </c>
      <c r="BJ69">
        <f>Product_CustomerSegment_Monthly_Fixed_Cost_Amount[[#This Row],[25-Jun]]+Product_CustomerSegment_Monthly_Variable_Cost_Amount[[#This Row],[25-Jun]]</f>
        <v>8512.11</v>
      </c>
      <c r="BK69">
        <f>SUM(Product_CustomerSegment_Monthly_COGS[[#This Row],[25-Jan]:[25-Jun]])</f>
        <v>35384.6</v>
      </c>
    </row>
    <row r="70" spans="1:63">
      <c r="A70" t="s">
        <v>39</v>
      </c>
      <c r="B70" t="s">
        <v>59</v>
      </c>
      <c r="C7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7</v>
      </c>
      <c r="D7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</v>
      </c>
      <c r="E7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7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4</v>
      </c>
      <c r="G7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6</v>
      </c>
      <c r="H7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70">
        <f>SUM(Product_Segment_Monthly_Quantity[[#This Row],[1/1/2025]:[6/1/2025]])</f>
        <v>22</v>
      </c>
      <c r="L70" t="s">
        <v>39</v>
      </c>
      <c r="M70" t="s">
        <v>59</v>
      </c>
      <c r="N70">
        <f>SUMIFS(Table21[1/1/2025],Table21[ProductID],Product_CustomerSegment_Monthly_Variable_Cost[[#This Row],[ProductID]])</f>
        <v>794.9</v>
      </c>
      <c r="O70">
        <f>SUMIFS(Table21[2/1/2025],Table21[ProductID],Product_CustomerSegment_Monthly_Variable_Cost[[#This Row],[ProductID]])</f>
        <v>811.01</v>
      </c>
      <c r="P70">
        <f>SUMIFS(Table21[3/1/2025],Table21[ProductID],Product_CustomerSegment_Monthly_Variable_Cost[[#This Row],[ProductID]])</f>
        <v>782.95</v>
      </c>
      <c r="Q70">
        <f>SUMIFS(Table21[4/1/2025],Table21[ProductID],Product_CustomerSegment_Monthly_Variable_Cost[[#This Row],[ProductID]])</f>
        <v>784.39</v>
      </c>
      <c r="R70">
        <f>SUMIFS(Table21[5/1/2025],Table21[ProductID],Product_CustomerSegment_Monthly_Variable_Cost[[#This Row],[ProductID]])</f>
        <v>799.24</v>
      </c>
      <c r="S70">
        <f>SUMIFS(Table21[6/1/2025],Table21[ProductID],Product_CustomerSegment_Monthly_Variable_Cost[[#This Row],[ProductID]])</f>
        <v>820.79</v>
      </c>
      <c r="V70" t="s">
        <v>39</v>
      </c>
      <c r="W70" t="s">
        <v>59</v>
      </c>
      <c r="X70">
        <f>Product_CustomerSegment_Monthly_Variable_Cost[[#This Row],[25-Jan]]*Product_Segment_Monthly_Quantity[[#This Row],[1/1/2025]]</f>
        <v>5564.3</v>
      </c>
      <c r="Y70">
        <f>Product_CustomerSegment_Monthly_Variable_Cost[[#This Row],[25-Feb]]*Product_Segment_Monthly_Quantity[[#This Row],[2/1/2025]]</f>
        <v>1622.02</v>
      </c>
      <c r="Z70">
        <f>Product_CustomerSegment_Monthly_Variable_Cost[[#This Row],[25-Mar]]*Product_Segment_Monthly_Quantity[[#This Row],[3/1/2025]]</f>
        <v>2348.8500000000004</v>
      </c>
      <c r="AA70">
        <f>Product_CustomerSegment_Monthly_Variable_Cost[[#This Row],[25-Apr]]*Product_Segment_Monthly_Quantity[[#This Row],[4/1/2025]]</f>
        <v>3137.56</v>
      </c>
      <c r="AB70">
        <f>Product_CustomerSegment_Monthly_Variable_Cost[[#This Row],[25-May]]*Product_Segment_Monthly_Quantity[[#This Row],[5/1/2025]]</f>
        <v>4795.4400000000005</v>
      </c>
      <c r="AC70">
        <f>Product_CustomerSegment_Monthly_Variable_Cost[[#This Row],[25-Jun]]*Product_Segment_Monthly_Quantity[[#This Row],[6/1/2025]]</f>
        <v>0</v>
      </c>
      <c r="AD70">
        <f>SUM(Product_CustomerSegment_Monthly_Variable_Cost_Amount[[#This Row],[25-Jan]:[25-Jun]])</f>
        <v>17468.169999999998</v>
      </c>
      <c r="AG70" t="s">
        <v>39</v>
      </c>
      <c r="AH70" t="s">
        <v>59</v>
      </c>
      <c r="AI70">
        <f>SUMIFS(Product_Fixed_Allocation[1/1/2025],Product_Fixed_Allocation[ProductID],Product_CustomerSegment_Monthly_Actual_Fixed_Cost[[#This Row],[ProductID]])</f>
        <v>125</v>
      </c>
      <c r="AJ70">
        <f>SUMIFS(Product_Fixed_Allocation[2/1/2025],Product_Fixed_Allocation[ProductID],Product_CustomerSegment_Monthly_Actual_Fixed_Cost[[#This Row],[ProductID]])</f>
        <v>125</v>
      </c>
      <c r="AK70">
        <f>SUMIFS(Product_Fixed_Allocation[3/1/2025],Product_Fixed_Allocation[ProductID],Product_CustomerSegment_Monthly_Actual_Fixed_Cost[[#This Row],[ProductID]])</f>
        <v>125</v>
      </c>
      <c r="AL70">
        <f>SUMIFS(Product_Fixed_Allocation[4/1/2025],Product_Fixed_Allocation[ProductID],Product_CustomerSegment_Monthly_Actual_Fixed_Cost[[#This Row],[ProductID]])</f>
        <v>125</v>
      </c>
      <c r="AM70">
        <f>SUMIFS(Product_Fixed_Allocation[5/1/2025],Product_Fixed_Allocation[ProductID],Product_CustomerSegment_Monthly_Actual_Fixed_Cost[[#This Row],[ProductID]])</f>
        <v>125</v>
      </c>
      <c r="AN70">
        <f>SUMIFS(Product_Fixed_Allocation[6/1/2025],Product_Fixed_Allocation[ProductID],Product_CustomerSegment_Monthly_Actual_Fixed_Cost[[#This Row],[ProductID]])</f>
        <v>125</v>
      </c>
      <c r="AO70">
        <f>SUM(Product_CustomerSegment_Monthly_Actual_Fixed_Cost[[#This Row],[25-Jan]:[25-Jun]])</f>
        <v>750</v>
      </c>
      <c r="AR70" t="s">
        <v>39</v>
      </c>
      <c r="AS70" t="s">
        <v>59</v>
      </c>
      <c r="AT70">
        <f>Product_CustomerSegment_Monthly_Actual_Fixed_Cost[[#This Row],[25-Jan]]*Product_Segment_Monthly_Quantity[[#This Row],[1/1/2025]]</f>
        <v>875</v>
      </c>
      <c r="AU70">
        <f>Product_CustomerSegment_Monthly_Actual_Fixed_Cost[[#This Row],[25-Feb]]*Product_Segment_Monthly_Quantity[[#This Row],[2/1/2025]]</f>
        <v>250</v>
      </c>
      <c r="AV70">
        <f>Product_CustomerSegment_Monthly_Actual_Fixed_Cost[[#This Row],[25-Mar]]*Product_Segment_Monthly_Quantity[[#This Row],[3/1/2025]]</f>
        <v>375</v>
      </c>
      <c r="AW70">
        <f>Product_CustomerSegment_Monthly_Actual_Fixed_Cost[[#This Row],[25-Apr]]*Product_Segment_Monthly_Quantity[[#This Row],[4/1/2025]]</f>
        <v>500</v>
      </c>
      <c r="AX70">
        <f>Product_CustomerSegment_Monthly_Actual_Fixed_Cost[[#This Row],[25-May]]*Product_Segment_Monthly_Quantity[[#This Row],[5/1/2025]]</f>
        <v>750</v>
      </c>
      <c r="AY70">
        <f>Product_CustomerSegment_Monthly_Actual_Fixed_Cost[[#This Row],[25-Jun]]*Product_Segment_Monthly_Quantity[[#This Row],[6/1/2025]]</f>
        <v>0</v>
      </c>
      <c r="AZ70">
        <f>SUM(Product_CustomerSegment_Monthly_Fixed_Cost_Amount[[#This Row],[25-Jan]:[25-Jun]])</f>
        <v>2750</v>
      </c>
      <c r="BC70" t="s">
        <v>39</v>
      </c>
      <c r="BD70" t="s">
        <v>59</v>
      </c>
      <c r="BE70">
        <f>Product_CustomerSegment_Monthly_Fixed_Cost_Amount[[#This Row],[25-Jan]]+Product_CustomerSegment_Monthly_Variable_Cost_Amount[[#This Row],[25-Jan]]</f>
        <v>6439.3</v>
      </c>
      <c r="BF70">
        <f>Product_CustomerSegment_Monthly_Fixed_Cost_Amount[[#This Row],[25-Feb]]+Product_CustomerSegment_Monthly_Variable_Cost_Amount[[#This Row],[25-Feb]]</f>
        <v>1872.02</v>
      </c>
      <c r="BG70">
        <f>Product_CustomerSegment_Monthly_Fixed_Cost_Amount[[#This Row],[25-Mar]]+Product_CustomerSegment_Monthly_Variable_Cost_Amount[[#This Row],[25-Mar]]</f>
        <v>2723.8500000000004</v>
      </c>
      <c r="BH70">
        <f>Product_CustomerSegment_Monthly_Fixed_Cost_Amount[[#This Row],[25-Apr]]+Product_CustomerSegment_Monthly_Variable_Cost_Amount[[#This Row],[25-Apr]]</f>
        <v>3637.56</v>
      </c>
      <c r="BI70">
        <f>Product_CustomerSegment_Monthly_Fixed_Cost_Amount[[#This Row],[25-May]]+Product_CustomerSegment_Monthly_Variable_Cost_Amount[[#This Row],[25-May]]</f>
        <v>5545.4400000000005</v>
      </c>
      <c r="BJ70">
        <f>Product_CustomerSegment_Monthly_Fixed_Cost_Amount[[#This Row],[25-Jun]]+Product_CustomerSegment_Monthly_Variable_Cost_Amount[[#This Row],[25-Jun]]</f>
        <v>0</v>
      </c>
      <c r="BK70">
        <f>SUM(Product_CustomerSegment_Monthly_COGS[[#This Row],[25-Jan]:[25-Jun]])</f>
        <v>20218.169999999998</v>
      </c>
    </row>
    <row r="71" spans="1:63">
      <c r="A71" t="s">
        <v>39</v>
      </c>
      <c r="B71" t="s">
        <v>44</v>
      </c>
      <c r="C7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4</v>
      </c>
      <c r="D7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5</v>
      </c>
      <c r="E7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12</v>
      </c>
      <c r="F7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11</v>
      </c>
      <c r="G7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35</v>
      </c>
      <c r="H7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</v>
      </c>
      <c r="I71">
        <f>SUM(Product_Segment_Monthly_Quantity[[#This Row],[1/1/2025]:[6/1/2025]])</f>
        <v>68</v>
      </c>
      <c r="L71" t="s">
        <v>39</v>
      </c>
      <c r="M71" t="s">
        <v>44</v>
      </c>
      <c r="N71">
        <f>SUMIFS(Table21[1/1/2025],Table21[ProductID],Product_CustomerSegment_Monthly_Variable_Cost[[#This Row],[ProductID]])</f>
        <v>794.9</v>
      </c>
      <c r="O71">
        <f>SUMIFS(Table21[2/1/2025],Table21[ProductID],Product_CustomerSegment_Monthly_Variable_Cost[[#This Row],[ProductID]])</f>
        <v>811.01</v>
      </c>
      <c r="P71">
        <f>SUMIFS(Table21[3/1/2025],Table21[ProductID],Product_CustomerSegment_Monthly_Variable_Cost[[#This Row],[ProductID]])</f>
        <v>782.95</v>
      </c>
      <c r="Q71">
        <f>SUMIFS(Table21[4/1/2025],Table21[ProductID],Product_CustomerSegment_Monthly_Variable_Cost[[#This Row],[ProductID]])</f>
        <v>784.39</v>
      </c>
      <c r="R71">
        <f>SUMIFS(Table21[5/1/2025],Table21[ProductID],Product_CustomerSegment_Monthly_Variable_Cost[[#This Row],[ProductID]])</f>
        <v>799.24</v>
      </c>
      <c r="S71">
        <f>SUMIFS(Table21[6/1/2025],Table21[ProductID],Product_CustomerSegment_Monthly_Variable_Cost[[#This Row],[ProductID]])</f>
        <v>820.79</v>
      </c>
      <c r="V71" t="s">
        <v>39</v>
      </c>
      <c r="W71" t="s">
        <v>44</v>
      </c>
      <c r="X71">
        <f>Product_CustomerSegment_Monthly_Variable_Cost[[#This Row],[25-Jan]]*Product_Segment_Monthly_Quantity[[#This Row],[1/1/2025]]</f>
        <v>3179.6</v>
      </c>
      <c r="Y71">
        <f>Product_CustomerSegment_Monthly_Variable_Cost[[#This Row],[25-Feb]]*Product_Segment_Monthly_Quantity[[#This Row],[2/1/2025]]</f>
        <v>4055.05</v>
      </c>
      <c r="Z71">
        <f>Product_CustomerSegment_Monthly_Variable_Cost[[#This Row],[25-Mar]]*Product_Segment_Monthly_Quantity[[#This Row],[3/1/2025]]</f>
        <v>9395.4000000000015</v>
      </c>
      <c r="AA71">
        <f>Product_CustomerSegment_Monthly_Variable_Cost[[#This Row],[25-Apr]]*Product_Segment_Monthly_Quantity[[#This Row],[4/1/2025]]</f>
        <v>8628.2899999999991</v>
      </c>
      <c r="AB71">
        <f>Product_CustomerSegment_Monthly_Variable_Cost[[#This Row],[25-May]]*Product_Segment_Monthly_Quantity[[#This Row],[5/1/2025]]</f>
        <v>27973.4</v>
      </c>
      <c r="AC71">
        <f>Product_CustomerSegment_Monthly_Variable_Cost[[#This Row],[25-Jun]]*Product_Segment_Monthly_Quantity[[#This Row],[6/1/2025]]</f>
        <v>820.79</v>
      </c>
      <c r="AD71">
        <f>SUM(Product_CustomerSegment_Monthly_Variable_Cost_Amount[[#This Row],[25-Jan]:[25-Jun]])</f>
        <v>54052.530000000006</v>
      </c>
      <c r="AG71" t="s">
        <v>39</v>
      </c>
      <c r="AH71" t="s">
        <v>44</v>
      </c>
      <c r="AI71">
        <f>SUMIFS(Product_Fixed_Allocation[1/1/2025],Product_Fixed_Allocation[ProductID],Product_CustomerSegment_Monthly_Actual_Fixed_Cost[[#This Row],[ProductID]])</f>
        <v>125</v>
      </c>
      <c r="AJ71">
        <f>SUMIFS(Product_Fixed_Allocation[2/1/2025],Product_Fixed_Allocation[ProductID],Product_CustomerSegment_Monthly_Actual_Fixed_Cost[[#This Row],[ProductID]])</f>
        <v>125</v>
      </c>
      <c r="AK71">
        <f>SUMIFS(Product_Fixed_Allocation[3/1/2025],Product_Fixed_Allocation[ProductID],Product_CustomerSegment_Monthly_Actual_Fixed_Cost[[#This Row],[ProductID]])</f>
        <v>125</v>
      </c>
      <c r="AL71">
        <f>SUMIFS(Product_Fixed_Allocation[4/1/2025],Product_Fixed_Allocation[ProductID],Product_CustomerSegment_Monthly_Actual_Fixed_Cost[[#This Row],[ProductID]])</f>
        <v>125</v>
      </c>
      <c r="AM71">
        <f>SUMIFS(Product_Fixed_Allocation[5/1/2025],Product_Fixed_Allocation[ProductID],Product_CustomerSegment_Monthly_Actual_Fixed_Cost[[#This Row],[ProductID]])</f>
        <v>125</v>
      </c>
      <c r="AN71">
        <f>SUMIFS(Product_Fixed_Allocation[6/1/2025],Product_Fixed_Allocation[ProductID],Product_CustomerSegment_Monthly_Actual_Fixed_Cost[[#This Row],[ProductID]])</f>
        <v>125</v>
      </c>
      <c r="AO71">
        <f>SUM(Product_CustomerSegment_Monthly_Actual_Fixed_Cost[[#This Row],[25-Jan]:[25-Jun]])</f>
        <v>750</v>
      </c>
      <c r="AR71" t="s">
        <v>39</v>
      </c>
      <c r="AS71" t="s">
        <v>44</v>
      </c>
      <c r="AT71">
        <f>Product_CustomerSegment_Monthly_Actual_Fixed_Cost[[#This Row],[25-Jan]]*Product_Segment_Monthly_Quantity[[#This Row],[1/1/2025]]</f>
        <v>500</v>
      </c>
      <c r="AU71">
        <f>Product_CustomerSegment_Monthly_Actual_Fixed_Cost[[#This Row],[25-Feb]]*Product_Segment_Monthly_Quantity[[#This Row],[2/1/2025]]</f>
        <v>625</v>
      </c>
      <c r="AV71">
        <f>Product_CustomerSegment_Monthly_Actual_Fixed_Cost[[#This Row],[25-Mar]]*Product_Segment_Monthly_Quantity[[#This Row],[3/1/2025]]</f>
        <v>1500</v>
      </c>
      <c r="AW71">
        <f>Product_CustomerSegment_Monthly_Actual_Fixed_Cost[[#This Row],[25-Apr]]*Product_Segment_Monthly_Quantity[[#This Row],[4/1/2025]]</f>
        <v>1375</v>
      </c>
      <c r="AX71">
        <f>Product_CustomerSegment_Monthly_Actual_Fixed_Cost[[#This Row],[25-May]]*Product_Segment_Monthly_Quantity[[#This Row],[5/1/2025]]</f>
        <v>4375</v>
      </c>
      <c r="AY71">
        <f>Product_CustomerSegment_Monthly_Actual_Fixed_Cost[[#This Row],[25-Jun]]*Product_Segment_Monthly_Quantity[[#This Row],[6/1/2025]]</f>
        <v>125</v>
      </c>
      <c r="AZ71">
        <f>SUM(Product_CustomerSegment_Monthly_Fixed_Cost_Amount[[#This Row],[25-Jan]:[25-Jun]])</f>
        <v>8500</v>
      </c>
      <c r="BC71" t="s">
        <v>39</v>
      </c>
      <c r="BD71" t="s">
        <v>44</v>
      </c>
      <c r="BE71">
        <f>Product_CustomerSegment_Monthly_Fixed_Cost_Amount[[#This Row],[25-Jan]]+Product_CustomerSegment_Monthly_Variable_Cost_Amount[[#This Row],[25-Jan]]</f>
        <v>3679.6</v>
      </c>
      <c r="BF71">
        <f>Product_CustomerSegment_Monthly_Fixed_Cost_Amount[[#This Row],[25-Feb]]+Product_CustomerSegment_Monthly_Variable_Cost_Amount[[#This Row],[25-Feb]]</f>
        <v>4680.05</v>
      </c>
      <c r="BG71">
        <f>Product_CustomerSegment_Monthly_Fixed_Cost_Amount[[#This Row],[25-Mar]]+Product_CustomerSegment_Monthly_Variable_Cost_Amount[[#This Row],[25-Mar]]</f>
        <v>10895.400000000001</v>
      </c>
      <c r="BH71">
        <f>Product_CustomerSegment_Monthly_Fixed_Cost_Amount[[#This Row],[25-Apr]]+Product_CustomerSegment_Monthly_Variable_Cost_Amount[[#This Row],[25-Apr]]</f>
        <v>10003.289999999999</v>
      </c>
      <c r="BI71">
        <f>Product_CustomerSegment_Monthly_Fixed_Cost_Amount[[#This Row],[25-May]]+Product_CustomerSegment_Monthly_Variable_Cost_Amount[[#This Row],[25-May]]</f>
        <v>32348.400000000001</v>
      </c>
      <c r="BJ71">
        <f>Product_CustomerSegment_Monthly_Fixed_Cost_Amount[[#This Row],[25-Jun]]+Product_CustomerSegment_Monthly_Variable_Cost_Amount[[#This Row],[25-Jun]]</f>
        <v>945.79</v>
      </c>
      <c r="BK71">
        <f>SUM(Product_CustomerSegment_Monthly_COGS[[#This Row],[25-Jan]:[25-Jun]])</f>
        <v>62552.530000000006</v>
      </c>
    </row>
    <row r="72" spans="1:63">
      <c r="A72" t="s">
        <v>22</v>
      </c>
      <c r="B72" t="s">
        <v>28</v>
      </c>
      <c r="C7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4</v>
      </c>
      <c r="D7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7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7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7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23</v>
      </c>
      <c r="H7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7</v>
      </c>
      <c r="I72">
        <f>SUM(Product_Segment_Monthly_Quantity[[#This Row],[1/1/2025]:[6/1/2025]])</f>
        <v>37</v>
      </c>
      <c r="L72" t="s">
        <v>22</v>
      </c>
      <c r="M72" t="s">
        <v>28</v>
      </c>
      <c r="N72">
        <f>SUMIFS(Table21[1/1/2025],Table21[ProductID],Product_CustomerSegment_Monthly_Variable_Cost[[#This Row],[ProductID]])</f>
        <v>1136.02</v>
      </c>
      <c r="O72">
        <f>SUMIFS(Table21[2/1/2025],Table21[ProductID],Product_CustomerSegment_Monthly_Variable_Cost[[#This Row],[ProductID]])</f>
        <v>1134.42</v>
      </c>
      <c r="P72">
        <f>SUMIFS(Table21[3/1/2025],Table21[ProductID],Product_CustomerSegment_Monthly_Variable_Cost[[#This Row],[ProductID]])</f>
        <v>1148.77</v>
      </c>
      <c r="Q72">
        <f>SUMIFS(Table21[4/1/2025],Table21[ProductID],Product_CustomerSegment_Monthly_Variable_Cost[[#This Row],[ProductID]])</f>
        <v>1146.53</v>
      </c>
      <c r="R72">
        <f>SUMIFS(Table21[5/1/2025],Table21[ProductID],Product_CustomerSegment_Monthly_Variable_Cost[[#This Row],[ProductID]])</f>
        <v>1144.29</v>
      </c>
      <c r="S72">
        <f>SUMIFS(Table21[6/1/2025],Table21[ProductID],Product_CustomerSegment_Monthly_Variable_Cost[[#This Row],[ProductID]])</f>
        <v>1179.68</v>
      </c>
      <c r="V72" t="s">
        <v>22</v>
      </c>
      <c r="W72" t="s">
        <v>28</v>
      </c>
      <c r="X72">
        <f>Product_CustomerSegment_Monthly_Variable_Cost[[#This Row],[25-Jan]]*Product_Segment_Monthly_Quantity[[#This Row],[1/1/2025]]</f>
        <v>4544.08</v>
      </c>
      <c r="Y72">
        <f>Product_CustomerSegment_Monthly_Variable_Cost[[#This Row],[25-Feb]]*Product_Segment_Monthly_Quantity[[#This Row],[2/1/2025]]</f>
        <v>3403.26</v>
      </c>
      <c r="Z72">
        <f>Product_CustomerSegment_Monthly_Variable_Cost[[#This Row],[25-Mar]]*Product_Segment_Monthly_Quantity[[#This Row],[3/1/2025]]</f>
        <v>0</v>
      </c>
      <c r="AA72">
        <f>Product_CustomerSegment_Monthly_Variable_Cost[[#This Row],[25-Apr]]*Product_Segment_Monthly_Quantity[[#This Row],[4/1/2025]]</f>
        <v>0</v>
      </c>
      <c r="AB72">
        <f>Product_CustomerSegment_Monthly_Variable_Cost[[#This Row],[25-May]]*Product_Segment_Monthly_Quantity[[#This Row],[5/1/2025]]</f>
        <v>26318.67</v>
      </c>
      <c r="AC72">
        <f>Product_CustomerSegment_Monthly_Variable_Cost[[#This Row],[25-Jun]]*Product_Segment_Monthly_Quantity[[#This Row],[6/1/2025]]</f>
        <v>8257.76</v>
      </c>
      <c r="AD72">
        <f>SUM(Product_CustomerSegment_Monthly_Variable_Cost_Amount[[#This Row],[25-Jan]:[25-Jun]])</f>
        <v>42523.77</v>
      </c>
      <c r="AG72" t="s">
        <v>22</v>
      </c>
      <c r="AH72" t="s">
        <v>28</v>
      </c>
      <c r="AI72">
        <f>SUMIFS(Product_Fixed_Allocation[1/1/2025],Product_Fixed_Allocation[ProductID],Product_CustomerSegment_Monthly_Actual_Fixed_Cost[[#This Row],[ProductID]])</f>
        <v>145</v>
      </c>
      <c r="AJ72">
        <f>SUMIFS(Product_Fixed_Allocation[2/1/2025],Product_Fixed_Allocation[ProductID],Product_CustomerSegment_Monthly_Actual_Fixed_Cost[[#This Row],[ProductID]])</f>
        <v>145</v>
      </c>
      <c r="AK72">
        <f>SUMIFS(Product_Fixed_Allocation[3/1/2025],Product_Fixed_Allocation[ProductID],Product_CustomerSegment_Monthly_Actual_Fixed_Cost[[#This Row],[ProductID]])</f>
        <v>145</v>
      </c>
      <c r="AL72">
        <f>SUMIFS(Product_Fixed_Allocation[4/1/2025],Product_Fixed_Allocation[ProductID],Product_CustomerSegment_Monthly_Actual_Fixed_Cost[[#This Row],[ProductID]])</f>
        <v>145</v>
      </c>
      <c r="AM72">
        <f>SUMIFS(Product_Fixed_Allocation[5/1/2025],Product_Fixed_Allocation[ProductID],Product_CustomerSegment_Monthly_Actual_Fixed_Cost[[#This Row],[ProductID]])</f>
        <v>145</v>
      </c>
      <c r="AN72">
        <f>SUMIFS(Product_Fixed_Allocation[6/1/2025],Product_Fixed_Allocation[ProductID],Product_CustomerSegment_Monthly_Actual_Fixed_Cost[[#This Row],[ProductID]])</f>
        <v>145</v>
      </c>
      <c r="AO72">
        <f>SUM(Product_CustomerSegment_Monthly_Actual_Fixed_Cost[[#This Row],[25-Jan]:[25-Jun]])</f>
        <v>870</v>
      </c>
      <c r="AR72" t="s">
        <v>22</v>
      </c>
      <c r="AS72" t="s">
        <v>28</v>
      </c>
      <c r="AT72">
        <f>Product_CustomerSegment_Monthly_Actual_Fixed_Cost[[#This Row],[25-Jan]]*Product_Segment_Monthly_Quantity[[#This Row],[1/1/2025]]</f>
        <v>580</v>
      </c>
      <c r="AU72">
        <f>Product_CustomerSegment_Monthly_Actual_Fixed_Cost[[#This Row],[25-Feb]]*Product_Segment_Monthly_Quantity[[#This Row],[2/1/2025]]</f>
        <v>435</v>
      </c>
      <c r="AV72">
        <f>Product_CustomerSegment_Monthly_Actual_Fixed_Cost[[#This Row],[25-Mar]]*Product_Segment_Monthly_Quantity[[#This Row],[3/1/2025]]</f>
        <v>0</v>
      </c>
      <c r="AW72">
        <f>Product_CustomerSegment_Monthly_Actual_Fixed_Cost[[#This Row],[25-Apr]]*Product_Segment_Monthly_Quantity[[#This Row],[4/1/2025]]</f>
        <v>0</v>
      </c>
      <c r="AX72">
        <f>Product_CustomerSegment_Monthly_Actual_Fixed_Cost[[#This Row],[25-May]]*Product_Segment_Monthly_Quantity[[#This Row],[5/1/2025]]</f>
        <v>3335</v>
      </c>
      <c r="AY72">
        <f>Product_CustomerSegment_Monthly_Actual_Fixed_Cost[[#This Row],[25-Jun]]*Product_Segment_Monthly_Quantity[[#This Row],[6/1/2025]]</f>
        <v>1015</v>
      </c>
      <c r="AZ72">
        <f>SUM(Product_CustomerSegment_Monthly_Fixed_Cost_Amount[[#This Row],[25-Jan]:[25-Jun]])</f>
        <v>5365</v>
      </c>
      <c r="BC72" t="s">
        <v>22</v>
      </c>
      <c r="BD72" t="s">
        <v>28</v>
      </c>
      <c r="BE72">
        <f>Product_CustomerSegment_Monthly_Fixed_Cost_Amount[[#This Row],[25-Jan]]+Product_CustomerSegment_Monthly_Variable_Cost_Amount[[#This Row],[25-Jan]]</f>
        <v>5124.08</v>
      </c>
      <c r="BF72">
        <f>Product_CustomerSegment_Monthly_Fixed_Cost_Amount[[#This Row],[25-Feb]]+Product_CustomerSegment_Monthly_Variable_Cost_Amount[[#This Row],[25-Feb]]</f>
        <v>3838.26</v>
      </c>
      <c r="BG72">
        <f>Product_CustomerSegment_Monthly_Fixed_Cost_Amount[[#This Row],[25-Mar]]+Product_CustomerSegment_Monthly_Variable_Cost_Amount[[#This Row],[25-Mar]]</f>
        <v>0</v>
      </c>
      <c r="BH72">
        <f>Product_CustomerSegment_Monthly_Fixed_Cost_Amount[[#This Row],[25-Apr]]+Product_CustomerSegment_Monthly_Variable_Cost_Amount[[#This Row],[25-Apr]]</f>
        <v>0</v>
      </c>
      <c r="BI72">
        <f>Product_CustomerSegment_Monthly_Fixed_Cost_Amount[[#This Row],[25-May]]+Product_CustomerSegment_Monthly_Variable_Cost_Amount[[#This Row],[25-May]]</f>
        <v>29653.67</v>
      </c>
      <c r="BJ72">
        <f>Product_CustomerSegment_Monthly_Fixed_Cost_Amount[[#This Row],[25-Jun]]+Product_CustomerSegment_Monthly_Variable_Cost_Amount[[#This Row],[25-Jun]]</f>
        <v>9272.76</v>
      </c>
      <c r="BK72">
        <f>SUM(Product_CustomerSegment_Monthly_COGS[[#This Row],[25-Jan]:[25-Jun]])</f>
        <v>47888.77</v>
      </c>
    </row>
    <row r="73" spans="1:63">
      <c r="A73" t="s">
        <v>22</v>
      </c>
      <c r="B73" t="s">
        <v>36</v>
      </c>
      <c r="C7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7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7</v>
      </c>
      <c r="E7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9</v>
      </c>
      <c r="F7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12</v>
      </c>
      <c r="G7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9</v>
      </c>
      <c r="H7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4</v>
      </c>
      <c r="I73">
        <f>SUM(Product_Segment_Monthly_Quantity[[#This Row],[1/1/2025]:[6/1/2025]])</f>
        <v>43</v>
      </c>
      <c r="L73" t="s">
        <v>22</v>
      </c>
      <c r="M73" t="s">
        <v>36</v>
      </c>
      <c r="N73">
        <f>SUMIFS(Table21[1/1/2025],Table21[ProductID],Product_CustomerSegment_Monthly_Variable_Cost[[#This Row],[ProductID]])</f>
        <v>1136.02</v>
      </c>
      <c r="O73">
        <f>SUMIFS(Table21[2/1/2025],Table21[ProductID],Product_CustomerSegment_Monthly_Variable_Cost[[#This Row],[ProductID]])</f>
        <v>1134.42</v>
      </c>
      <c r="P73">
        <f>SUMIFS(Table21[3/1/2025],Table21[ProductID],Product_CustomerSegment_Monthly_Variable_Cost[[#This Row],[ProductID]])</f>
        <v>1148.77</v>
      </c>
      <c r="Q73">
        <f>SUMIFS(Table21[4/1/2025],Table21[ProductID],Product_CustomerSegment_Monthly_Variable_Cost[[#This Row],[ProductID]])</f>
        <v>1146.53</v>
      </c>
      <c r="R73">
        <f>SUMIFS(Table21[5/1/2025],Table21[ProductID],Product_CustomerSegment_Monthly_Variable_Cost[[#This Row],[ProductID]])</f>
        <v>1144.29</v>
      </c>
      <c r="S73">
        <f>SUMIFS(Table21[6/1/2025],Table21[ProductID],Product_CustomerSegment_Monthly_Variable_Cost[[#This Row],[ProductID]])</f>
        <v>1179.68</v>
      </c>
      <c r="V73" t="s">
        <v>22</v>
      </c>
      <c r="W73" t="s">
        <v>36</v>
      </c>
      <c r="X73">
        <f>Product_CustomerSegment_Monthly_Variable_Cost[[#This Row],[25-Jan]]*Product_Segment_Monthly_Quantity[[#This Row],[1/1/2025]]</f>
        <v>2272.04</v>
      </c>
      <c r="Y73">
        <f>Product_CustomerSegment_Monthly_Variable_Cost[[#This Row],[25-Feb]]*Product_Segment_Monthly_Quantity[[#This Row],[2/1/2025]]</f>
        <v>7940.9400000000005</v>
      </c>
      <c r="Z73">
        <f>Product_CustomerSegment_Monthly_Variable_Cost[[#This Row],[25-Mar]]*Product_Segment_Monthly_Quantity[[#This Row],[3/1/2025]]</f>
        <v>10338.93</v>
      </c>
      <c r="AA73">
        <f>Product_CustomerSegment_Monthly_Variable_Cost[[#This Row],[25-Apr]]*Product_Segment_Monthly_Quantity[[#This Row],[4/1/2025]]</f>
        <v>13758.36</v>
      </c>
      <c r="AB73">
        <f>Product_CustomerSegment_Monthly_Variable_Cost[[#This Row],[25-May]]*Product_Segment_Monthly_Quantity[[#This Row],[5/1/2025]]</f>
        <v>10298.61</v>
      </c>
      <c r="AC73">
        <f>Product_CustomerSegment_Monthly_Variable_Cost[[#This Row],[25-Jun]]*Product_Segment_Monthly_Quantity[[#This Row],[6/1/2025]]</f>
        <v>4718.72</v>
      </c>
      <c r="AD73">
        <f>SUM(Product_CustomerSegment_Monthly_Variable_Cost_Amount[[#This Row],[25-Jan]:[25-Jun]])</f>
        <v>49327.600000000006</v>
      </c>
      <c r="AG73" t="s">
        <v>22</v>
      </c>
      <c r="AH73" t="s">
        <v>36</v>
      </c>
      <c r="AI73">
        <f>SUMIFS(Product_Fixed_Allocation[1/1/2025],Product_Fixed_Allocation[ProductID],Product_CustomerSegment_Monthly_Actual_Fixed_Cost[[#This Row],[ProductID]])</f>
        <v>145</v>
      </c>
      <c r="AJ73">
        <f>SUMIFS(Product_Fixed_Allocation[2/1/2025],Product_Fixed_Allocation[ProductID],Product_CustomerSegment_Monthly_Actual_Fixed_Cost[[#This Row],[ProductID]])</f>
        <v>145</v>
      </c>
      <c r="AK73">
        <f>SUMIFS(Product_Fixed_Allocation[3/1/2025],Product_Fixed_Allocation[ProductID],Product_CustomerSegment_Monthly_Actual_Fixed_Cost[[#This Row],[ProductID]])</f>
        <v>145</v>
      </c>
      <c r="AL73">
        <f>SUMIFS(Product_Fixed_Allocation[4/1/2025],Product_Fixed_Allocation[ProductID],Product_CustomerSegment_Monthly_Actual_Fixed_Cost[[#This Row],[ProductID]])</f>
        <v>145</v>
      </c>
      <c r="AM73">
        <f>SUMIFS(Product_Fixed_Allocation[5/1/2025],Product_Fixed_Allocation[ProductID],Product_CustomerSegment_Monthly_Actual_Fixed_Cost[[#This Row],[ProductID]])</f>
        <v>145</v>
      </c>
      <c r="AN73">
        <f>SUMIFS(Product_Fixed_Allocation[6/1/2025],Product_Fixed_Allocation[ProductID],Product_CustomerSegment_Monthly_Actual_Fixed_Cost[[#This Row],[ProductID]])</f>
        <v>145</v>
      </c>
      <c r="AO73">
        <f>SUM(Product_CustomerSegment_Monthly_Actual_Fixed_Cost[[#This Row],[25-Jan]:[25-Jun]])</f>
        <v>870</v>
      </c>
      <c r="AR73" t="s">
        <v>22</v>
      </c>
      <c r="AS73" t="s">
        <v>36</v>
      </c>
      <c r="AT73">
        <f>Product_CustomerSegment_Monthly_Actual_Fixed_Cost[[#This Row],[25-Jan]]*Product_Segment_Monthly_Quantity[[#This Row],[1/1/2025]]</f>
        <v>290</v>
      </c>
      <c r="AU73">
        <f>Product_CustomerSegment_Monthly_Actual_Fixed_Cost[[#This Row],[25-Feb]]*Product_Segment_Monthly_Quantity[[#This Row],[2/1/2025]]</f>
        <v>1015</v>
      </c>
      <c r="AV73">
        <f>Product_CustomerSegment_Monthly_Actual_Fixed_Cost[[#This Row],[25-Mar]]*Product_Segment_Monthly_Quantity[[#This Row],[3/1/2025]]</f>
        <v>1305</v>
      </c>
      <c r="AW73">
        <f>Product_CustomerSegment_Monthly_Actual_Fixed_Cost[[#This Row],[25-Apr]]*Product_Segment_Monthly_Quantity[[#This Row],[4/1/2025]]</f>
        <v>1740</v>
      </c>
      <c r="AX73">
        <f>Product_CustomerSegment_Monthly_Actual_Fixed_Cost[[#This Row],[25-May]]*Product_Segment_Monthly_Quantity[[#This Row],[5/1/2025]]</f>
        <v>1305</v>
      </c>
      <c r="AY73">
        <f>Product_CustomerSegment_Monthly_Actual_Fixed_Cost[[#This Row],[25-Jun]]*Product_Segment_Monthly_Quantity[[#This Row],[6/1/2025]]</f>
        <v>580</v>
      </c>
      <c r="AZ73">
        <f>SUM(Product_CustomerSegment_Monthly_Fixed_Cost_Amount[[#This Row],[25-Jan]:[25-Jun]])</f>
        <v>6235</v>
      </c>
      <c r="BC73" t="s">
        <v>22</v>
      </c>
      <c r="BD73" t="s">
        <v>36</v>
      </c>
      <c r="BE73">
        <f>Product_CustomerSegment_Monthly_Fixed_Cost_Amount[[#This Row],[25-Jan]]+Product_CustomerSegment_Monthly_Variable_Cost_Amount[[#This Row],[25-Jan]]</f>
        <v>2562.04</v>
      </c>
      <c r="BF73">
        <f>Product_CustomerSegment_Monthly_Fixed_Cost_Amount[[#This Row],[25-Feb]]+Product_CustomerSegment_Monthly_Variable_Cost_Amount[[#This Row],[25-Feb]]</f>
        <v>8955.94</v>
      </c>
      <c r="BG73">
        <f>Product_CustomerSegment_Monthly_Fixed_Cost_Amount[[#This Row],[25-Mar]]+Product_CustomerSegment_Monthly_Variable_Cost_Amount[[#This Row],[25-Mar]]</f>
        <v>11643.93</v>
      </c>
      <c r="BH73">
        <f>Product_CustomerSegment_Monthly_Fixed_Cost_Amount[[#This Row],[25-Apr]]+Product_CustomerSegment_Monthly_Variable_Cost_Amount[[#This Row],[25-Apr]]</f>
        <v>15498.36</v>
      </c>
      <c r="BI73">
        <f>Product_CustomerSegment_Monthly_Fixed_Cost_Amount[[#This Row],[25-May]]+Product_CustomerSegment_Monthly_Variable_Cost_Amount[[#This Row],[25-May]]</f>
        <v>11603.61</v>
      </c>
      <c r="BJ73">
        <f>Product_CustomerSegment_Monthly_Fixed_Cost_Amount[[#This Row],[25-Jun]]+Product_CustomerSegment_Monthly_Variable_Cost_Amount[[#This Row],[25-Jun]]</f>
        <v>5298.72</v>
      </c>
      <c r="BK73">
        <f>SUM(Product_CustomerSegment_Monthly_COGS[[#This Row],[25-Jan]:[25-Jun]])</f>
        <v>55562.600000000006</v>
      </c>
    </row>
    <row r="74" spans="1:63">
      <c r="A74" t="s">
        <v>22</v>
      </c>
      <c r="B74" t="s">
        <v>48</v>
      </c>
      <c r="C7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7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</v>
      </c>
      <c r="E7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6</v>
      </c>
      <c r="F7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5</v>
      </c>
      <c r="G7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7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74">
        <f>SUM(Product_Segment_Monthly_Quantity[[#This Row],[1/1/2025]:[6/1/2025]])</f>
        <v>18</v>
      </c>
      <c r="L74" t="s">
        <v>22</v>
      </c>
      <c r="M74" t="s">
        <v>48</v>
      </c>
      <c r="N74">
        <f>SUMIFS(Table21[1/1/2025],Table21[ProductID],Product_CustomerSegment_Monthly_Variable_Cost[[#This Row],[ProductID]])</f>
        <v>1136.02</v>
      </c>
      <c r="O74">
        <f>SUMIFS(Table21[2/1/2025],Table21[ProductID],Product_CustomerSegment_Monthly_Variable_Cost[[#This Row],[ProductID]])</f>
        <v>1134.42</v>
      </c>
      <c r="P74">
        <f>SUMIFS(Table21[3/1/2025],Table21[ProductID],Product_CustomerSegment_Monthly_Variable_Cost[[#This Row],[ProductID]])</f>
        <v>1148.77</v>
      </c>
      <c r="Q74">
        <f>SUMIFS(Table21[4/1/2025],Table21[ProductID],Product_CustomerSegment_Monthly_Variable_Cost[[#This Row],[ProductID]])</f>
        <v>1146.53</v>
      </c>
      <c r="R74">
        <f>SUMIFS(Table21[5/1/2025],Table21[ProductID],Product_CustomerSegment_Monthly_Variable_Cost[[#This Row],[ProductID]])</f>
        <v>1144.29</v>
      </c>
      <c r="S74">
        <f>SUMIFS(Table21[6/1/2025],Table21[ProductID],Product_CustomerSegment_Monthly_Variable_Cost[[#This Row],[ProductID]])</f>
        <v>1179.68</v>
      </c>
      <c r="V74" t="s">
        <v>22</v>
      </c>
      <c r="W74" t="s">
        <v>48</v>
      </c>
      <c r="X74">
        <f>Product_CustomerSegment_Monthly_Variable_Cost[[#This Row],[25-Jan]]*Product_Segment_Monthly_Quantity[[#This Row],[1/1/2025]]</f>
        <v>2272.04</v>
      </c>
      <c r="Y74">
        <f>Product_CustomerSegment_Monthly_Variable_Cost[[#This Row],[25-Feb]]*Product_Segment_Monthly_Quantity[[#This Row],[2/1/2025]]</f>
        <v>2268.84</v>
      </c>
      <c r="Z74">
        <f>Product_CustomerSegment_Monthly_Variable_Cost[[#This Row],[25-Mar]]*Product_Segment_Monthly_Quantity[[#This Row],[3/1/2025]]</f>
        <v>6892.62</v>
      </c>
      <c r="AA74">
        <f>Product_CustomerSegment_Monthly_Variable_Cost[[#This Row],[25-Apr]]*Product_Segment_Monthly_Quantity[[#This Row],[4/1/2025]]</f>
        <v>5732.65</v>
      </c>
      <c r="AB74">
        <f>Product_CustomerSegment_Monthly_Variable_Cost[[#This Row],[25-May]]*Product_Segment_Monthly_Quantity[[#This Row],[5/1/2025]]</f>
        <v>1144.29</v>
      </c>
      <c r="AC74">
        <f>Product_CustomerSegment_Monthly_Variable_Cost[[#This Row],[25-Jun]]*Product_Segment_Monthly_Quantity[[#This Row],[6/1/2025]]</f>
        <v>2359.36</v>
      </c>
      <c r="AD74">
        <f>SUM(Product_CustomerSegment_Monthly_Variable_Cost_Amount[[#This Row],[25-Jan]:[25-Jun]])</f>
        <v>20669.800000000003</v>
      </c>
      <c r="AG74" t="s">
        <v>22</v>
      </c>
      <c r="AH74" t="s">
        <v>48</v>
      </c>
      <c r="AI74">
        <f>SUMIFS(Product_Fixed_Allocation[1/1/2025],Product_Fixed_Allocation[ProductID],Product_CustomerSegment_Monthly_Actual_Fixed_Cost[[#This Row],[ProductID]])</f>
        <v>145</v>
      </c>
      <c r="AJ74">
        <f>SUMIFS(Product_Fixed_Allocation[2/1/2025],Product_Fixed_Allocation[ProductID],Product_CustomerSegment_Monthly_Actual_Fixed_Cost[[#This Row],[ProductID]])</f>
        <v>145</v>
      </c>
      <c r="AK74">
        <f>SUMIFS(Product_Fixed_Allocation[3/1/2025],Product_Fixed_Allocation[ProductID],Product_CustomerSegment_Monthly_Actual_Fixed_Cost[[#This Row],[ProductID]])</f>
        <v>145</v>
      </c>
      <c r="AL74">
        <f>SUMIFS(Product_Fixed_Allocation[4/1/2025],Product_Fixed_Allocation[ProductID],Product_CustomerSegment_Monthly_Actual_Fixed_Cost[[#This Row],[ProductID]])</f>
        <v>145</v>
      </c>
      <c r="AM74">
        <f>SUMIFS(Product_Fixed_Allocation[5/1/2025],Product_Fixed_Allocation[ProductID],Product_CustomerSegment_Monthly_Actual_Fixed_Cost[[#This Row],[ProductID]])</f>
        <v>145</v>
      </c>
      <c r="AN74">
        <f>SUMIFS(Product_Fixed_Allocation[6/1/2025],Product_Fixed_Allocation[ProductID],Product_CustomerSegment_Monthly_Actual_Fixed_Cost[[#This Row],[ProductID]])</f>
        <v>145</v>
      </c>
      <c r="AO74">
        <f>SUM(Product_CustomerSegment_Monthly_Actual_Fixed_Cost[[#This Row],[25-Jan]:[25-Jun]])</f>
        <v>870</v>
      </c>
      <c r="AR74" t="s">
        <v>22</v>
      </c>
      <c r="AS74" t="s">
        <v>48</v>
      </c>
      <c r="AT74">
        <f>Product_CustomerSegment_Monthly_Actual_Fixed_Cost[[#This Row],[25-Jan]]*Product_Segment_Monthly_Quantity[[#This Row],[1/1/2025]]</f>
        <v>290</v>
      </c>
      <c r="AU74">
        <f>Product_CustomerSegment_Monthly_Actual_Fixed_Cost[[#This Row],[25-Feb]]*Product_Segment_Monthly_Quantity[[#This Row],[2/1/2025]]</f>
        <v>290</v>
      </c>
      <c r="AV74">
        <f>Product_CustomerSegment_Monthly_Actual_Fixed_Cost[[#This Row],[25-Mar]]*Product_Segment_Monthly_Quantity[[#This Row],[3/1/2025]]</f>
        <v>870</v>
      </c>
      <c r="AW74">
        <f>Product_CustomerSegment_Monthly_Actual_Fixed_Cost[[#This Row],[25-Apr]]*Product_Segment_Monthly_Quantity[[#This Row],[4/1/2025]]</f>
        <v>725</v>
      </c>
      <c r="AX74">
        <f>Product_CustomerSegment_Monthly_Actual_Fixed_Cost[[#This Row],[25-May]]*Product_Segment_Monthly_Quantity[[#This Row],[5/1/2025]]</f>
        <v>145</v>
      </c>
      <c r="AY74">
        <f>Product_CustomerSegment_Monthly_Actual_Fixed_Cost[[#This Row],[25-Jun]]*Product_Segment_Monthly_Quantity[[#This Row],[6/1/2025]]</f>
        <v>290</v>
      </c>
      <c r="AZ74">
        <f>SUM(Product_CustomerSegment_Monthly_Fixed_Cost_Amount[[#This Row],[25-Jan]:[25-Jun]])</f>
        <v>2610</v>
      </c>
      <c r="BC74" t="s">
        <v>22</v>
      </c>
      <c r="BD74" t="s">
        <v>48</v>
      </c>
      <c r="BE74">
        <f>Product_CustomerSegment_Monthly_Fixed_Cost_Amount[[#This Row],[25-Jan]]+Product_CustomerSegment_Monthly_Variable_Cost_Amount[[#This Row],[25-Jan]]</f>
        <v>2562.04</v>
      </c>
      <c r="BF74">
        <f>Product_CustomerSegment_Monthly_Fixed_Cost_Amount[[#This Row],[25-Feb]]+Product_CustomerSegment_Monthly_Variable_Cost_Amount[[#This Row],[25-Feb]]</f>
        <v>2558.84</v>
      </c>
      <c r="BG74">
        <f>Product_CustomerSegment_Monthly_Fixed_Cost_Amount[[#This Row],[25-Mar]]+Product_CustomerSegment_Monthly_Variable_Cost_Amount[[#This Row],[25-Mar]]</f>
        <v>7762.62</v>
      </c>
      <c r="BH74">
        <f>Product_CustomerSegment_Monthly_Fixed_Cost_Amount[[#This Row],[25-Apr]]+Product_CustomerSegment_Monthly_Variable_Cost_Amount[[#This Row],[25-Apr]]</f>
        <v>6457.65</v>
      </c>
      <c r="BI74">
        <f>Product_CustomerSegment_Monthly_Fixed_Cost_Amount[[#This Row],[25-May]]+Product_CustomerSegment_Monthly_Variable_Cost_Amount[[#This Row],[25-May]]</f>
        <v>1289.29</v>
      </c>
      <c r="BJ74">
        <f>Product_CustomerSegment_Monthly_Fixed_Cost_Amount[[#This Row],[25-Jun]]+Product_CustomerSegment_Monthly_Variable_Cost_Amount[[#This Row],[25-Jun]]</f>
        <v>2649.36</v>
      </c>
      <c r="BK74">
        <f>SUM(Product_CustomerSegment_Monthly_COGS[[#This Row],[25-Jan]:[25-Jun]])</f>
        <v>23279.800000000003</v>
      </c>
    </row>
    <row r="75" spans="1:63">
      <c r="A75" t="s">
        <v>22</v>
      </c>
      <c r="B75" t="s">
        <v>59</v>
      </c>
      <c r="C7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7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5</v>
      </c>
      <c r="E7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7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25</v>
      </c>
      <c r="G7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9</v>
      </c>
      <c r="H7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</v>
      </c>
      <c r="I75">
        <f>SUM(Product_Segment_Monthly_Quantity[[#This Row],[1/1/2025]:[6/1/2025]])</f>
        <v>47</v>
      </c>
      <c r="L75" t="s">
        <v>22</v>
      </c>
      <c r="M75" t="s">
        <v>59</v>
      </c>
      <c r="N75">
        <f>SUMIFS(Table21[1/1/2025],Table21[ProductID],Product_CustomerSegment_Monthly_Variable_Cost[[#This Row],[ProductID]])</f>
        <v>1136.02</v>
      </c>
      <c r="O75">
        <f>SUMIFS(Table21[2/1/2025],Table21[ProductID],Product_CustomerSegment_Monthly_Variable_Cost[[#This Row],[ProductID]])</f>
        <v>1134.42</v>
      </c>
      <c r="P75">
        <f>SUMIFS(Table21[3/1/2025],Table21[ProductID],Product_CustomerSegment_Monthly_Variable_Cost[[#This Row],[ProductID]])</f>
        <v>1148.77</v>
      </c>
      <c r="Q75">
        <f>SUMIFS(Table21[4/1/2025],Table21[ProductID],Product_CustomerSegment_Monthly_Variable_Cost[[#This Row],[ProductID]])</f>
        <v>1146.53</v>
      </c>
      <c r="R75">
        <f>SUMIFS(Table21[5/1/2025],Table21[ProductID],Product_CustomerSegment_Monthly_Variable_Cost[[#This Row],[ProductID]])</f>
        <v>1144.29</v>
      </c>
      <c r="S75">
        <f>SUMIFS(Table21[6/1/2025],Table21[ProductID],Product_CustomerSegment_Monthly_Variable_Cost[[#This Row],[ProductID]])</f>
        <v>1179.68</v>
      </c>
      <c r="V75" t="s">
        <v>22</v>
      </c>
      <c r="W75" t="s">
        <v>59</v>
      </c>
      <c r="X75">
        <f>Product_CustomerSegment_Monthly_Variable_Cost[[#This Row],[25-Jan]]*Product_Segment_Monthly_Quantity[[#This Row],[1/1/2025]]</f>
        <v>3408.06</v>
      </c>
      <c r="Y75">
        <f>Product_CustomerSegment_Monthly_Variable_Cost[[#This Row],[25-Feb]]*Product_Segment_Monthly_Quantity[[#This Row],[2/1/2025]]</f>
        <v>5672.1</v>
      </c>
      <c r="Z75">
        <f>Product_CustomerSegment_Monthly_Variable_Cost[[#This Row],[25-Mar]]*Product_Segment_Monthly_Quantity[[#This Row],[3/1/2025]]</f>
        <v>3446.31</v>
      </c>
      <c r="AA75">
        <f>Product_CustomerSegment_Monthly_Variable_Cost[[#This Row],[25-Apr]]*Product_Segment_Monthly_Quantity[[#This Row],[4/1/2025]]</f>
        <v>28663.25</v>
      </c>
      <c r="AB75">
        <f>Product_CustomerSegment_Monthly_Variable_Cost[[#This Row],[25-May]]*Product_Segment_Monthly_Quantity[[#This Row],[5/1/2025]]</f>
        <v>10298.61</v>
      </c>
      <c r="AC75">
        <f>Product_CustomerSegment_Monthly_Variable_Cost[[#This Row],[25-Jun]]*Product_Segment_Monthly_Quantity[[#This Row],[6/1/2025]]</f>
        <v>2359.36</v>
      </c>
      <c r="AD75">
        <f>SUM(Product_CustomerSegment_Monthly_Variable_Cost_Amount[[#This Row],[25-Jan]:[25-Jun]])</f>
        <v>53847.69</v>
      </c>
      <c r="AG75" t="s">
        <v>22</v>
      </c>
      <c r="AH75" t="s">
        <v>59</v>
      </c>
      <c r="AI75">
        <f>SUMIFS(Product_Fixed_Allocation[1/1/2025],Product_Fixed_Allocation[ProductID],Product_CustomerSegment_Monthly_Actual_Fixed_Cost[[#This Row],[ProductID]])</f>
        <v>145</v>
      </c>
      <c r="AJ75">
        <f>SUMIFS(Product_Fixed_Allocation[2/1/2025],Product_Fixed_Allocation[ProductID],Product_CustomerSegment_Monthly_Actual_Fixed_Cost[[#This Row],[ProductID]])</f>
        <v>145</v>
      </c>
      <c r="AK75">
        <f>SUMIFS(Product_Fixed_Allocation[3/1/2025],Product_Fixed_Allocation[ProductID],Product_CustomerSegment_Monthly_Actual_Fixed_Cost[[#This Row],[ProductID]])</f>
        <v>145</v>
      </c>
      <c r="AL75">
        <f>SUMIFS(Product_Fixed_Allocation[4/1/2025],Product_Fixed_Allocation[ProductID],Product_CustomerSegment_Monthly_Actual_Fixed_Cost[[#This Row],[ProductID]])</f>
        <v>145</v>
      </c>
      <c r="AM75">
        <f>SUMIFS(Product_Fixed_Allocation[5/1/2025],Product_Fixed_Allocation[ProductID],Product_CustomerSegment_Monthly_Actual_Fixed_Cost[[#This Row],[ProductID]])</f>
        <v>145</v>
      </c>
      <c r="AN75">
        <f>SUMIFS(Product_Fixed_Allocation[6/1/2025],Product_Fixed_Allocation[ProductID],Product_CustomerSegment_Monthly_Actual_Fixed_Cost[[#This Row],[ProductID]])</f>
        <v>145</v>
      </c>
      <c r="AO75">
        <f>SUM(Product_CustomerSegment_Monthly_Actual_Fixed_Cost[[#This Row],[25-Jan]:[25-Jun]])</f>
        <v>870</v>
      </c>
      <c r="AR75" t="s">
        <v>22</v>
      </c>
      <c r="AS75" t="s">
        <v>59</v>
      </c>
      <c r="AT75">
        <f>Product_CustomerSegment_Monthly_Actual_Fixed_Cost[[#This Row],[25-Jan]]*Product_Segment_Monthly_Quantity[[#This Row],[1/1/2025]]</f>
        <v>435</v>
      </c>
      <c r="AU75">
        <f>Product_CustomerSegment_Monthly_Actual_Fixed_Cost[[#This Row],[25-Feb]]*Product_Segment_Monthly_Quantity[[#This Row],[2/1/2025]]</f>
        <v>725</v>
      </c>
      <c r="AV75">
        <f>Product_CustomerSegment_Monthly_Actual_Fixed_Cost[[#This Row],[25-Mar]]*Product_Segment_Monthly_Quantity[[#This Row],[3/1/2025]]</f>
        <v>435</v>
      </c>
      <c r="AW75">
        <f>Product_CustomerSegment_Monthly_Actual_Fixed_Cost[[#This Row],[25-Apr]]*Product_Segment_Monthly_Quantity[[#This Row],[4/1/2025]]</f>
        <v>3625</v>
      </c>
      <c r="AX75">
        <f>Product_CustomerSegment_Monthly_Actual_Fixed_Cost[[#This Row],[25-May]]*Product_Segment_Monthly_Quantity[[#This Row],[5/1/2025]]</f>
        <v>1305</v>
      </c>
      <c r="AY75">
        <f>Product_CustomerSegment_Monthly_Actual_Fixed_Cost[[#This Row],[25-Jun]]*Product_Segment_Monthly_Quantity[[#This Row],[6/1/2025]]</f>
        <v>290</v>
      </c>
      <c r="AZ75">
        <f>SUM(Product_CustomerSegment_Monthly_Fixed_Cost_Amount[[#This Row],[25-Jan]:[25-Jun]])</f>
        <v>6815</v>
      </c>
      <c r="BC75" t="s">
        <v>22</v>
      </c>
      <c r="BD75" t="s">
        <v>59</v>
      </c>
      <c r="BE75">
        <f>Product_CustomerSegment_Monthly_Fixed_Cost_Amount[[#This Row],[25-Jan]]+Product_CustomerSegment_Monthly_Variable_Cost_Amount[[#This Row],[25-Jan]]</f>
        <v>3843.06</v>
      </c>
      <c r="BF75">
        <f>Product_CustomerSegment_Monthly_Fixed_Cost_Amount[[#This Row],[25-Feb]]+Product_CustomerSegment_Monthly_Variable_Cost_Amount[[#This Row],[25-Feb]]</f>
        <v>6397.1</v>
      </c>
      <c r="BG75">
        <f>Product_CustomerSegment_Monthly_Fixed_Cost_Amount[[#This Row],[25-Mar]]+Product_CustomerSegment_Monthly_Variable_Cost_Amount[[#This Row],[25-Mar]]</f>
        <v>3881.31</v>
      </c>
      <c r="BH75">
        <f>Product_CustomerSegment_Monthly_Fixed_Cost_Amount[[#This Row],[25-Apr]]+Product_CustomerSegment_Monthly_Variable_Cost_Amount[[#This Row],[25-Apr]]</f>
        <v>32288.25</v>
      </c>
      <c r="BI75">
        <f>Product_CustomerSegment_Monthly_Fixed_Cost_Amount[[#This Row],[25-May]]+Product_CustomerSegment_Monthly_Variable_Cost_Amount[[#This Row],[25-May]]</f>
        <v>11603.61</v>
      </c>
      <c r="BJ75">
        <f>Product_CustomerSegment_Monthly_Fixed_Cost_Amount[[#This Row],[25-Jun]]+Product_CustomerSegment_Monthly_Variable_Cost_Amount[[#This Row],[25-Jun]]</f>
        <v>2649.36</v>
      </c>
      <c r="BK75">
        <f>SUM(Product_CustomerSegment_Monthly_COGS[[#This Row],[25-Jan]:[25-Jun]])</f>
        <v>60662.69</v>
      </c>
    </row>
    <row r="76" spans="1:63">
      <c r="A76" t="s">
        <v>22</v>
      </c>
      <c r="B76" t="s">
        <v>44</v>
      </c>
      <c r="C7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</v>
      </c>
      <c r="D7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5</v>
      </c>
      <c r="E7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</v>
      </c>
      <c r="F7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4</v>
      </c>
      <c r="G7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43</v>
      </c>
      <c r="H7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15</v>
      </c>
      <c r="I76">
        <f>SUM(Product_Segment_Monthly_Quantity[[#This Row],[1/1/2025]:[6/1/2025]])</f>
        <v>71</v>
      </c>
      <c r="L76" t="s">
        <v>22</v>
      </c>
      <c r="M76" t="s">
        <v>44</v>
      </c>
      <c r="N76">
        <f>SUMIFS(Table21[1/1/2025],Table21[ProductID],Product_CustomerSegment_Monthly_Variable_Cost[[#This Row],[ProductID]])</f>
        <v>1136.02</v>
      </c>
      <c r="O76">
        <f>SUMIFS(Table21[2/1/2025],Table21[ProductID],Product_CustomerSegment_Monthly_Variable_Cost[[#This Row],[ProductID]])</f>
        <v>1134.42</v>
      </c>
      <c r="P76">
        <f>SUMIFS(Table21[3/1/2025],Table21[ProductID],Product_CustomerSegment_Monthly_Variable_Cost[[#This Row],[ProductID]])</f>
        <v>1148.77</v>
      </c>
      <c r="Q76">
        <f>SUMIFS(Table21[4/1/2025],Table21[ProductID],Product_CustomerSegment_Monthly_Variable_Cost[[#This Row],[ProductID]])</f>
        <v>1146.53</v>
      </c>
      <c r="R76">
        <f>SUMIFS(Table21[5/1/2025],Table21[ProductID],Product_CustomerSegment_Monthly_Variable_Cost[[#This Row],[ProductID]])</f>
        <v>1144.29</v>
      </c>
      <c r="S76">
        <f>SUMIFS(Table21[6/1/2025],Table21[ProductID],Product_CustomerSegment_Monthly_Variable_Cost[[#This Row],[ProductID]])</f>
        <v>1179.68</v>
      </c>
      <c r="V76" t="s">
        <v>22</v>
      </c>
      <c r="W76" t="s">
        <v>44</v>
      </c>
      <c r="X76">
        <f>Product_CustomerSegment_Monthly_Variable_Cost[[#This Row],[25-Jan]]*Product_Segment_Monthly_Quantity[[#This Row],[1/1/2025]]</f>
        <v>3408.06</v>
      </c>
      <c r="Y76">
        <f>Product_CustomerSegment_Monthly_Variable_Cost[[#This Row],[25-Feb]]*Product_Segment_Monthly_Quantity[[#This Row],[2/1/2025]]</f>
        <v>5672.1</v>
      </c>
      <c r="Z76">
        <f>Product_CustomerSegment_Monthly_Variable_Cost[[#This Row],[25-Mar]]*Product_Segment_Monthly_Quantity[[#This Row],[3/1/2025]]</f>
        <v>1148.77</v>
      </c>
      <c r="AA76">
        <f>Product_CustomerSegment_Monthly_Variable_Cost[[#This Row],[25-Apr]]*Product_Segment_Monthly_Quantity[[#This Row],[4/1/2025]]</f>
        <v>4586.12</v>
      </c>
      <c r="AB76">
        <f>Product_CustomerSegment_Monthly_Variable_Cost[[#This Row],[25-May]]*Product_Segment_Monthly_Quantity[[#This Row],[5/1/2025]]</f>
        <v>49204.47</v>
      </c>
      <c r="AC76">
        <f>Product_CustomerSegment_Monthly_Variable_Cost[[#This Row],[25-Jun]]*Product_Segment_Monthly_Quantity[[#This Row],[6/1/2025]]</f>
        <v>17695.2</v>
      </c>
      <c r="AD76">
        <f>SUM(Product_CustomerSegment_Monthly_Variable_Cost_Amount[[#This Row],[25-Jan]:[25-Jun]])</f>
        <v>81714.720000000001</v>
      </c>
      <c r="AG76" t="s">
        <v>22</v>
      </c>
      <c r="AH76" t="s">
        <v>44</v>
      </c>
      <c r="AI76">
        <f>SUMIFS(Product_Fixed_Allocation[1/1/2025],Product_Fixed_Allocation[ProductID],Product_CustomerSegment_Monthly_Actual_Fixed_Cost[[#This Row],[ProductID]])</f>
        <v>145</v>
      </c>
      <c r="AJ76">
        <f>SUMIFS(Product_Fixed_Allocation[2/1/2025],Product_Fixed_Allocation[ProductID],Product_CustomerSegment_Monthly_Actual_Fixed_Cost[[#This Row],[ProductID]])</f>
        <v>145</v>
      </c>
      <c r="AK76">
        <f>SUMIFS(Product_Fixed_Allocation[3/1/2025],Product_Fixed_Allocation[ProductID],Product_CustomerSegment_Monthly_Actual_Fixed_Cost[[#This Row],[ProductID]])</f>
        <v>145</v>
      </c>
      <c r="AL76">
        <f>SUMIFS(Product_Fixed_Allocation[4/1/2025],Product_Fixed_Allocation[ProductID],Product_CustomerSegment_Monthly_Actual_Fixed_Cost[[#This Row],[ProductID]])</f>
        <v>145</v>
      </c>
      <c r="AM76">
        <f>SUMIFS(Product_Fixed_Allocation[5/1/2025],Product_Fixed_Allocation[ProductID],Product_CustomerSegment_Monthly_Actual_Fixed_Cost[[#This Row],[ProductID]])</f>
        <v>145</v>
      </c>
      <c r="AN76">
        <f>SUMIFS(Product_Fixed_Allocation[6/1/2025],Product_Fixed_Allocation[ProductID],Product_CustomerSegment_Monthly_Actual_Fixed_Cost[[#This Row],[ProductID]])</f>
        <v>145</v>
      </c>
      <c r="AO76">
        <f>SUM(Product_CustomerSegment_Monthly_Actual_Fixed_Cost[[#This Row],[25-Jan]:[25-Jun]])</f>
        <v>870</v>
      </c>
      <c r="AR76" t="s">
        <v>22</v>
      </c>
      <c r="AS76" t="s">
        <v>44</v>
      </c>
      <c r="AT76">
        <f>Product_CustomerSegment_Monthly_Actual_Fixed_Cost[[#This Row],[25-Jan]]*Product_Segment_Monthly_Quantity[[#This Row],[1/1/2025]]</f>
        <v>435</v>
      </c>
      <c r="AU76">
        <f>Product_CustomerSegment_Monthly_Actual_Fixed_Cost[[#This Row],[25-Feb]]*Product_Segment_Monthly_Quantity[[#This Row],[2/1/2025]]</f>
        <v>725</v>
      </c>
      <c r="AV76">
        <f>Product_CustomerSegment_Monthly_Actual_Fixed_Cost[[#This Row],[25-Mar]]*Product_Segment_Monthly_Quantity[[#This Row],[3/1/2025]]</f>
        <v>145</v>
      </c>
      <c r="AW76">
        <f>Product_CustomerSegment_Monthly_Actual_Fixed_Cost[[#This Row],[25-Apr]]*Product_Segment_Monthly_Quantity[[#This Row],[4/1/2025]]</f>
        <v>580</v>
      </c>
      <c r="AX76">
        <f>Product_CustomerSegment_Monthly_Actual_Fixed_Cost[[#This Row],[25-May]]*Product_Segment_Monthly_Quantity[[#This Row],[5/1/2025]]</f>
        <v>6235</v>
      </c>
      <c r="AY76">
        <f>Product_CustomerSegment_Monthly_Actual_Fixed_Cost[[#This Row],[25-Jun]]*Product_Segment_Monthly_Quantity[[#This Row],[6/1/2025]]</f>
        <v>2175</v>
      </c>
      <c r="AZ76">
        <f>SUM(Product_CustomerSegment_Monthly_Fixed_Cost_Amount[[#This Row],[25-Jan]:[25-Jun]])</f>
        <v>10295</v>
      </c>
      <c r="BC76" t="s">
        <v>22</v>
      </c>
      <c r="BD76" t="s">
        <v>44</v>
      </c>
      <c r="BE76">
        <f>Product_CustomerSegment_Monthly_Fixed_Cost_Amount[[#This Row],[25-Jan]]+Product_CustomerSegment_Monthly_Variable_Cost_Amount[[#This Row],[25-Jan]]</f>
        <v>3843.06</v>
      </c>
      <c r="BF76">
        <f>Product_CustomerSegment_Monthly_Fixed_Cost_Amount[[#This Row],[25-Feb]]+Product_CustomerSegment_Monthly_Variable_Cost_Amount[[#This Row],[25-Feb]]</f>
        <v>6397.1</v>
      </c>
      <c r="BG76">
        <f>Product_CustomerSegment_Monthly_Fixed_Cost_Amount[[#This Row],[25-Mar]]+Product_CustomerSegment_Monthly_Variable_Cost_Amount[[#This Row],[25-Mar]]</f>
        <v>1293.77</v>
      </c>
      <c r="BH76">
        <f>Product_CustomerSegment_Monthly_Fixed_Cost_Amount[[#This Row],[25-Apr]]+Product_CustomerSegment_Monthly_Variable_Cost_Amount[[#This Row],[25-Apr]]</f>
        <v>5166.12</v>
      </c>
      <c r="BI76">
        <f>Product_CustomerSegment_Monthly_Fixed_Cost_Amount[[#This Row],[25-May]]+Product_CustomerSegment_Monthly_Variable_Cost_Amount[[#This Row],[25-May]]</f>
        <v>55439.47</v>
      </c>
      <c r="BJ76">
        <f>Product_CustomerSegment_Monthly_Fixed_Cost_Amount[[#This Row],[25-Jun]]+Product_CustomerSegment_Monthly_Variable_Cost_Amount[[#This Row],[25-Jun]]</f>
        <v>19870.2</v>
      </c>
      <c r="BK76">
        <f>SUM(Product_CustomerSegment_Monthly_COGS[[#This Row],[25-Jan]:[25-Jun]])</f>
        <v>92009.72</v>
      </c>
    </row>
    <row r="77" spans="1:63">
      <c r="A77" t="s">
        <v>57</v>
      </c>
      <c r="B77" t="s">
        <v>28</v>
      </c>
      <c r="C7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7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7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7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12</v>
      </c>
      <c r="G7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10</v>
      </c>
      <c r="H7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19</v>
      </c>
      <c r="I77">
        <f>SUM(Product_Segment_Monthly_Quantity[[#This Row],[1/1/2025]:[6/1/2025]])</f>
        <v>41</v>
      </c>
      <c r="L77" t="s">
        <v>57</v>
      </c>
      <c r="M77" t="s">
        <v>28</v>
      </c>
      <c r="N77">
        <f>SUMIFS(Table21[1/1/2025],Table21[ProductID],Product_CustomerSegment_Monthly_Variable_Cost[[#This Row],[ProductID]])</f>
        <v>442.85</v>
      </c>
      <c r="O77">
        <f>SUMIFS(Table21[2/1/2025],Table21[ProductID],Product_CustomerSegment_Monthly_Variable_Cost[[#This Row],[ProductID]])</f>
        <v>448.54</v>
      </c>
      <c r="P77">
        <f>SUMIFS(Table21[3/1/2025],Table21[ProductID],Product_CustomerSegment_Monthly_Variable_Cost[[#This Row],[ProductID]])</f>
        <v>432.66</v>
      </c>
      <c r="Q77">
        <f>SUMIFS(Table21[4/1/2025],Table21[ProductID],Product_CustomerSegment_Monthly_Variable_Cost[[#This Row],[ProductID]])</f>
        <v>432.36</v>
      </c>
      <c r="R77">
        <f>SUMIFS(Table21[5/1/2025],Table21[ProductID],Product_CustomerSegment_Monthly_Variable_Cost[[#This Row],[ProductID]])</f>
        <v>460.77</v>
      </c>
      <c r="S77">
        <f>SUMIFS(Table21[6/1/2025],Table21[ProductID],Product_CustomerSegment_Monthly_Variable_Cost[[#This Row],[ProductID]])</f>
        <v>430.31</v>
      </c>
      <c r="V77" t="s">
        <v>57</v>
      </c>
      <c r="W77" t="s">
        <v>28</v>
      </c>
      <c r="X77">
        <f>Product_CustomerSegment_Monthly_Variable_Cost[[#This Row],[25-Jan]]*Product_Segment_Monthly_Quantity[[#This Row],[1/1/2025]]</f>
        <v>0</v>
      </c>
      <c r="Y77">
        <f>Product_CustomerSegment_Monthly_Variable_Cost[[#This Row],[25-Feb]]*Product_Segment_Monthly_Quantity[[#This Row],[2/1/2025]]</f>
        <v>0</v>
      </c>
      <c r="Z77">
        <f>Product_CustomerSegment_Monthly_Variable_Cost[[#This Row],[25-Mar]]*Product_Segment_Monthly_Quantity[[#This Row],[3/1/2025]]</f>
        <v>0</v>
      </c>
      <c r="AA77">
        <f>Product_CustomerSegment_Monthly_Variable_Cost[[#This Row],[25-Apr]]*Product_Segment_Monthly_Quantity[[#This Row],[4/1/2025]]</f>
        <v>5188.32</v>
      </c>
      <c r="AB77">
        <f>Product_CustomerSegment_Monthly_Variable_Cost[[#This Row],[25-May]]*Product_Segment_Monthly_Quantity[[#This Row],[5/1/2025]]</f>
        <v>4607.7</v>
      </c>
      <c r="AC77">
        <f>Product_CustomerSegment_Monthly_Variable_Cost[[#This Row],[25-Jun]]*Product_Segment_Monthly_Quantity[[#This Row],[6/1/2025]]</f>
        <v>8175.89</v>
      </c>
      <c r="AD77">
        <f>SUM(Product_CustomerSegment_Monthly_Variable_Cost_Amount[[#This Row],[25-Jan]:[25-Jun]])</f>
        <v>17971.91</v>
      </c>
      <c r="AG77" t="s">
        <v>57</v>
      </c>
      <c r="AH77" t="s">
        <v>28</v>
      </c>
      <c r="AI77">
        <f>SUMIFS(Product_Fixed_Allocation[1/1/2025],Product_Fixed_Allocation[ProductID],Product_CustomerSegment_Monthly_Actual_Fixed_Cost[[#This Row],[ProductID]])</f>
        <v>78</v>
      </c>
      <c r="AJ77">
        <f>SUMIFS(Product_Fixed_Allocation[2/1/2025],Product_Fixed_Allocation[ProductID],Product_CustomerSegment_Monthly_Actual_Fixed_Cost[[#This Row],[ProductID]])</f>
        <v>78</v>
      </c>
      <c r="AK77">
        <f>SUMIFS(Product_Fixed_Allocation[3/1/2025],Product_Fixed_Allocation[ProductID],Product_CustomerSegment_Monthly_Actual_Fixed_Cost[[#This Row],[ProductID]])</f>
        <v>78</v>
      </c>
      <c r="AL77">
        <f>SUMIFS(Product_Fixed_Allocation[4/1/2025],Product_Fixed_Allocation[ProductID],Product_CustomerSegment_Monthly_Actual_Fixed_Cost[[#This Row],[ProductID]])</f>
        <v>78</v>
      </c>
      <c r="AM77">
        <f>SUMIFS(Product_Fixed_Allocation[5/1/2025],Product_Fixed_Allocation[ProductID],Product_CustomerSegment_Monthly_Actual_Fixed_Cost[[#This Row],[ProductID]])</f>
        <v>78</v>
      </c>
      <c r="AN77">
        <f>SUMIFS(Product_Fixed_Allocation[6/1/2025],Product_Fixed_Allocation[ProductID],Product_CustomerSegment_Monthly_Actual_Fixed_Cost[[#This Row],[ProductID]])</f>
        <v>78</v>
      </c>
      <c r="AO77">
        <f>SUM(Product_CustomerSegment_Monthly_Actual_Fixed_Cost[[#This Row],[25-Jan]:[25-Jun]])</f>
        <v>468</v>
      </c>
      <c r="AR77" t="s">
        <v>57</v>
      </c>
      <c r="AS77" t="s">
        <v>28</v>
      </c>
      <c r="AT77">
        <f>Product_CustomerSegment_Monthly_Actual_Fixed_Cost[[#This Row],[25-Jan]]*Product_Segment_Monthly_Quantity[[#This Row],[1/1/2025]]</f>
        <v>0</v>
      </c>
      <c r="AU77">
        <f>Product_CustomerSegment_Monthly_Actual_Fixed_Cost[[#This Row],[25-Feb]]*Product_Segment_Monthly_Quantity[[#This Row],[2/1/2025]]</f>
        <v>0</v>
      </c>
      <c r="AV77">
        <f>Product_CustomerSegment_Monthly_Actual_Fixed_Cost[[#This Row],[25-Mar]]*Product_Segment_Monthly_Quantity[[#This Row],[3/1/2025]]</f>
        <v>0</v>
      </c>
      <c r="AW77">
        <f>Product_CustomerSegment_Monthly_Actual_Fixed_Cost[[#This Row],[25-Apr]]*Product_Segment_Monthly_Quantity[[#This Row],[4/1/2025]]</f>
        <v>936</v>
      </c>
      <c r="AX77">
        <f>Product_CustomerSegment_Monthly_Actual_Fixed_Cost[[#This Row],[25-May]]*Product_Segment_Monthly_Quantity[[#This Row],[5/1/2025]]</f>
        <v>780</v>
      </c>
      <c r="AY77">
        <f>Product_CustomerSegment_Monthly_Actual_Fixed_Cost[[#This Row],[25-Jun]]*Product_Segment_Monthly_Quantity[[#This Row],[6/1/2025]]</f>
        <v>1482</v>
      </c>
      <c r="AZ77">
        <f>SUM(Product_CustomerSegment_Monthly_Fixed_Cost_Amount[[#This Row],[25-Jan]:[25-Jun]])</f>
        <v>3198</v>
      </c>
      <c r="BC77" t="s">
        <v>57</v>
      </c>
      <c r="BD77" t="s">
        <v>28</v>
      </c>
      <c r="BE77">
        <f>Product_CustomerSegment_Monthly_Fixed_Cost_Amount[[#This Row],[25-Jan]]+Product_CustomerSegment_Monthly_Variable_Cost_Amount[[#This Row],[25-Jan]]</f>
        <v>0</v>
      </c>
      <c r="BF77">
        <f>Product_CustomerSegment_Monthly_Fixed_Cost_Amount[[#This Row],[25-Feb]]+Product_CustomerSegment_Monthly_Variable_Cost_Amount[[#This Row],[25-Feb]]</f>
        <v>0</v>
      </c>
      <c r="BG77">
        <f>Product_CustomerSegment_Monthly_Fixed_Cost_Amount[[#This Row],[25-Mar]]+Product_CustomerSegment_Monthly_Variable_Cost_Amount[[#This Row],[25-Mar]]</f>
        <v>0</v>
      </c>
      <c r="BH77">
        <f>Product_CustomerSegment_Monthly_Fixed_Cost_Amount[[#This Row],[25-Apr]]+Product_CustomerSegment_Monthly_Variable_Cost_Amount[[#This Row],[25-Apr]]</f>
        <v>6124.32</v>
      </c>
      <c r="BI77">
        <f>Product_CustomerSegment_Monthly_Fixed_Cost_Amount[[#This Row],[25-May]]+Product_CustomerSegment_Monthly_Variable_Cost_Amount[[#This Row],[25-May]]</f>
        <v>5387.7</v>
      </c>
      <c r="BJ77">
        <f>Product_CustomerSegment_Monthly_Fixed_Cost_Amount[[#This Row],[25-Jun]]+Product_CustomerSegment_Monthly_Variable_Cost_Amount[[#This Row],[25-Jun]]</f>
        <v>9657.89</v>
      </c>
      <c r="BK77">
        <f>SUM(Product_CustomerSegment_Monthly_COGS[[#This Row],[25-Jan]:[25-Jun]])</f>
        <v>21169.91</v>
      </c>
    </row>
    <row r="78" spans="1:63">
      <c r="A78" t="s">
        <v>57</v>
      </c>
      <c r="B78" t="s">
        <v>36</v>
      </c>
      <c r="C7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16</v>
      </c>
      <c r="D7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15</v>
      </c>
      <c r="E7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3</v>
      </c>
      <c r="F7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7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</v>
      </c>
      <c r="H7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18</v>
      </c>
      <c r="I78">
        <f>SUM(Product_Segment_Monthly_Quantity[[#This Row],[1/1/2025]:[6/1/2025]])</f>
        <v>56</v>
      </c>
      <c r="L78" t="s">
        <v>57</v>
      </c>
      <c r="M78" t="s">
        <v>36</v>
      </c>
      <c r="N78">
        <f>SUMIFS(Table21[1/1/2025],Table21[ProductID],Product_CustomerSegment_Monthly_Variable_Cost[[#This Row],[ProductID]])</f>
        <v>442.85</v>
      </c>
      <c r="O78">
        <f>SUMIFS(Table21[2/1/2025],Table21[ProductID],Product_CustomerSegment_Monthly_Variable_Cost[[#This Row],[ProductID]])</f>
        <v>448.54</v>
      </c>
      <c r="P78">
        <f>SUMIFS(Table21[3/1/2025],Table21[ProductID],Product_CustomerSegment_Monthly_Variable_Cost[[#This Row],[ProductID]])</f>
        <v>432.66</v>
      </c>
      <c r="Q78">
        <f>SUMIFS(Table21[4/1/2025],Table21[ProductID],Product_CustomerSegment_Monthly_Variable_Cost[[#This Row],[ProductID]])</f>
        <v>432.36</v>
      </c>
      <c r="R78">
        <f>SUMIFS(Table21[5/1/2025],Table21[ProductID],Product_CustomerSegment_Monthly_Variable_Cost[[#This Row],[ProductID]])</f>
        <v>460.77</v>
      </c>
      <c r="S78">
        <f>SUMIFS(Table21[6/1/2025],Table21[ProductID],Product_CustomerSegment_Monthly_Variable_Cost[[#This Row],[ProductID]])</f>
        <v>430.31</v>
      </c>
      <c r="V78" t="s">
        <v>57</v>
      </c>
      <c r="W78" t="s">
        <v>36</v>
      </c>
      <c r="X78">
        <f>Product_CustomerSegment_Monthly_Variable_Cost[[#This Row],[25-Jan]]*Product_Segment_Monthly_Quantity[[#This Row],[1/1/2025]]</f>
        <v>7085.6</v>
      </c>
      <c r="Y78">
        <f>Product_CustomerSegment_Monthly_Variable_Cost[[#This Row],[25-Feb]]*Product_Segment_Monthly_Quantity[[#This Row],[2/1/2025]]</f>
        <v>6728.1</v>
      </c>
      <c r="Z78">
        <f>Product_CustomerSegment_Monthly_Variable_Cost[[#This Row],[25-Mar]]*Product_Segment_Monthly_Quantity[[#This Row],[3/1/2025]]</f>
        <v>1297.98</v>
      </c>
      <c r="AA78">
        <f>Product_CustomerSegment_Monthly_Variable_Cost[[#This Row],[25-Apr]]*Product_Segment_Monthly_Quantity[[#This Row],[4/1/2025]]</f>
        <v>432.36</v>
      </c>
      <c r="AB78">
        <f>Product_CustomerSegment_Monthly_Variable_Cost[[#This Row],[25-May]]*Product_Segment_Monthly_Quantity[[#This Row],[5/1/2025]]</f>
        <v>1382.31</v>
      </c>
      <c r="AC78">
        <f>Product_CustomerSegment_Monthly_Variable_Cost[[#This Row],[25-Jun]]*Product_Segment_Monthly_Quantity[[#This Row],[6/1/2025]]</f>
        <v>7745.58</v>
      </c>
      <c r="AD78">
        <f>SUM(Product_CustomerSegment_Monthly_Variable_Cost_Amount[[#This Row],[25-Jan]:[25-Jun]])</f>
        <v>24671.93</v>
      </c>
      <c r="AG78" t="s">
        <v>57</v>
      </c>
      <c r="AH78" t="s">
        <v>36</v>
      </c>
      <c r="AI78">
        <f>SUMIFS(Product_Fixed_Allocation[1/1/2025],Product_Fixed_Allocation[ProductID],Product_CustomerSegment_Monthly_Actual_Fixed_Cost[[#This Row],[ProductID]])</f>
        <v>78</v>
      </c>
      <c r="AJ78">
        <f>SUMIFS(Product_Fixed_Allocation[2/1/2025],Product_Fixed_Allocation[ProductID],Product_CustomerSegment_Monthly_Actual_Fixed_Cost[[#This Row],[ProductID]])</f>
        <v>78</v>
      </c>
      <c r="AK78">
        <f>SUMIFS(Product_Fixed_Allocation[3/1/2025],Product_Fixed_Allocation[ProductID],Product_CustomerSegment_Monthly_Actual_Fixed_Cost[[#This Row],[ProductID]])</f>
        <v>78</v>
      </c>
      <c r="AL78">
        <f>SUMIFS(Product_Fixed_Allocation[4/1/2025],Product_Fixed_Allocation[ProductID],Product_CustomerSegment_Monthly_Actual_Fixed_Cost[[#This Row],[ProductID]])</f>
        <v>78</v>
      </c>
      <c r="AM78">
        <f>SUMIFS(Product_Fixed_Allocation[5/1/2025],Product_Fixed_Allocation[ProductID],Product_CustomerSegment_Monthly_Actual_Fixed_Cost[[#This Row],[ProductID]])</f>
        <v>78</v>
      </c>
      <c r="AN78">
        <f>SUMIFS(Product_Fixed_Allocation[6/1/2025],Product_Fixed_Allocation[ProductID],Product_CustomerSegment_Monthly_Actual_Fixed_Cost[[#This Row],[ProductID]])</f>
        <v>78</v>
      </c>
      <c r="AO78">
        <f>SUM(Product_CustomerSegment_Monthly_Actual_Fixed_Cost[[#This Row],[25-Jan]:[25-Jun]])</f>
        <v>468</v>
      </c>
      <c r="AR78" t="s">
        <v>57</v>
      </c>
      <c r="AS78" t="s">
        <v>36</v>
      </c>
      <c r="AT78">
        <f>Product_CustomerSegment_Monthly_Actual_Fixed_Cost[[#This Row],[25-Jan]]*Product_Segment_Monthly_Quantity[[#This Row],[1/1/2025]]</f>
        <v>1248</v>
      </c>
      <c r="AU78">
        <f>Product_CustomerSegment_Monthly_Actual_Fixed_Cost[[#This Row],[25-Feb]]*Product_Segment_Monthly_Quantity[[#This Row],[2/1/2025]]</f>
        <v>1170</v>
      </c>
      <c r="AV78">
        <f>Product_CustomerSegment_Monthly_Actual_Fixed_Cost[[#This Row],[25-Mar]]*Product_Segment_Monthly_Quantity[[#This Row],[3/1/2025]]</f>
        <v>234</v>
      </c>
      <c r="AW78">
        <f>Product_CustomerSegment_Monthly_Actual_Fixed_Cost[[#This Row],[25-Apr]]*Product_Segment_Monthly_Quantity[[#This Row],[4/1/2025]]</f>
        <v>78</v>
      </c>
      <c r="AX78">
        <f>Product_CustomerSegment_Monthly_Actual_Fixed_Cost[[#This Row],[25-May]]*Product_Segment_Monthly_Quantity[[#This Row],[5/1/2025]]</f>
        <v>234</v>
      </c>
      <c r="AY78">
        <f>Product_CustomerSegment_Monthly_Actual_Fixed_Cost[[#This Row],[25-Jun]]*Product_Segment_Monthly_Quantity[[#This Row],[6/1/2025]]</f>
        <v>1404</v>
      </c>
      <c r="AZ78">
        <f>SUM(Product_CustomerSegment_Monthly_Fixed_Cost_Amount[[#This Row],[25-Jan]:[25-Jun]])</f>
        <v>4368</v>
      </c>
      <c r="BC78" t="s">
        <v>57</v>
      </c>
      <c r="BD78" t="s">
        <v>36</v>
      </c>
      <c r="BE78">
        <f>Product_CustomerSegment_Monthly_Fixed_Cost_Amount[[#This Row],[25-Jan]]+Product_CustomerSegment_Monthly_Variable_Cost_Amount[[#This Row],[25-Jan]]</f>
        <v>8333.6</v>
      </c>
      <c r="BF78">
        <f>Product_CustomerSegment_Monthly_Fixed_Cost_Amount[[#This Row],[25-Feb]]+Product_CustomerSegment_Monthly_Variable_Cost_Amount[[#This Row],[25-Feb]]</f>
        <v>7898.1</v>
      </c>
      <c r="BG78">
        <f>Product_CustomerSegment_Monthly_Fixed_Cost_Amount[[#This Row],[25-Mar]]+Product_CustomerSegment_Monthly_Variable_Cost_Amount[[#This Row],[25-Mar]]</f>
        <v>1531.98</v>
      </c>
      <c r="BH78">
        <f>Product_CustomerSegment_Monthly_Fixed_Cost_Amount[[#This Row],[25-Apr]]+Product_CustomerSegment_Monthly_Variable_Cost_Amount[[#This Row],[25-Apr]]</f>
        <v>510.36</v>
      </c>
      <c r="BI78">
        <f>Product_CustomerSegment_Monthly_Fixed_Cost_Amount[[#This Row],[25-May]]+Product_CustomerSegment_Monthly_Variable_Cost_Amount[[#This Row],[25-May]]</f>
        <v>1616.31</v>
      </c>
      <c r="BJ78">
        <f>Product_CustomerSegment_Monthly_Fixed_Cost_Amount[[#This Row],[25-Jun]]+Product_CustomerSegment_Monthly_Variable_Cost_Amount[[#This Row],[25-Jun]]</f>
        <v>9149.58</v>
      </c>
      <c r="BK78">
        <f>SUM(Product_CustomerSegment_Monthly_COGS[[#This Row],[25-Jan]:[25-Jun]])</f>
        <v>29039.93</v>
      </c>
    </row>
    <row r="79" spans="1:63">
      <c r="A79" t="s">
        <v>57</v>
      </c>
      <c r="B79" t="s">
        <v>48</v>
      </c>
      <c r="C7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7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9</v>
      </c>
      <c r="E7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14</v>
      </c>
      <c r="F7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17</v>
      </c>
      <c r="G7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7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4</v>
      </c>
      <c r="I79">
        <f>SUM(Product_Segment_Monthly_Quantity[[#This Row],[1/1/2025]:[6/1/2025]])</f>
        <v>48</v>
      </c>
      <c r="L79" t="s">
        <v>57</v>
      </c>
      <c r="M79" t="s">
        <v>48</v>
      </c>
      <c r="N79">
        <f>SUMIFS(Table21[1/1/2025],Table21[ProductID],Product_CustomerSegment_Monthly_Variable_Cost[[#This Row],[ProductID]])</f>
        <v>442.85</v>
      </c>
      <c r="O79">
        <f>SUMIFS(Table21[2/1/2025],Table21[ProductID],Product_CustomerSegment_Monthly_Variable_Cost[[#This Row],[ProductID]])</f>
        <v>448.54</v>
      </c>
      <c r="P79">
        <f>SUMIFS(Table21[3/1/2025],Table21[ProductID],Product_CustomerSegment_Monthly_Variable_Cost[[#This Row],[ProductID]])</f>
        <v>432.66</v>
      </c>
      <c r="Q79">
        <f>SUMIFS(Table21[4/1/2025],Table21[ProductID],Product_CustomerSegment_Monthly_Variable_Cost[[#This Row],[ProductID]])</f>
        <v>432.36</v>
      </c>
      <c r="R79">
        <f>SUMIFS(Table21[5/1/2025],Table21[ProductID],Product_CustomerSegment_Monthly_Variable_Cost[[#This Row],[ProductID]])</f>
        <v>460.77</v>
      </c>
      <c r="S79">
        <f>SUMIFS(Table21[6/1/2025],Table21[ProductID],Product_CustomerSegment_Monthly_Variable_Cost[[#This Row],[ProductID]])</f>
        <v>430.31</v>
      </c>
      <c r="V79" t="s">
        <v>57</v>
      </c>
      <c r="W79" t="s">
        <v>48</v>
      </c>
      <c r="X79">
        <f>Product_CustomerSegment_Monthly_Variable_Cost[[#This Row],[25-Jan]]*Product_Segment_Monthly_Quantity[[#This Row],[1/1/2025]]</f>
        <v>885.7</v>
      </c>
      <c r="Y79">
        <f>Product_CustomerSegment_Monthly_Variable_Cost[[#This Row],[25-Feb]]*Product_Segment_Monthly_Quantity[[#This Row],[2/1/2025]]</f>
        <v>4036.86</v>
      </c>
      <c r="Z79">
        <f>Product_CustomerSegment_Monthly_Variable_Cost[[#This Row],[25-Mar]]*Product_Segment_Monthly_Quantity[[#This Row],[3/1/2025]]</f>
        <v>6057.2400000000007</v>
      </c>
      <c r="AA79">
        <f>Product_CustomerSegment_Monthly_Variable_Cost[[#This Row],[25-Apr]]*Product_Segment_Monthly_Quantity[[#This Row],[4/1/2025]]</f>
        <v>7350.12</v>
      </c>
      <c r="AB79">
        <f>Product_CustomerSegment_Monthly_Variable_Cost[[#This Row],[25-May]]*Product_Segment_Monthly_Quantity[[#This Row],[5/1/2025]]</f>
        <v>921.54</v>
      </c>
      <c r="AC79">
        <f>Product_CustomerSegment_Monthly_Variable_Cost[[#This Row],[25-Jun]]*Product_Segment_Monthly_Quantity[[#This Row],[6/1/2025]]</f>
        <v>1721.24</v>
      </c>
      <c r="AD79">
        <f>SUM(Product_CustomerSegment_Monthly_Variable_Cost_Amount[[#This Row],[25-Jan]:[25-Jun]])</f>
        <v>20972.700000000004</v>
      </c>
      <c r="AG79" t="s">
        <v>57</v>
      </c>
      <c r="AH79" t="s">
        <v>48</v>
      </c>
      <c r="AI79">
        <f>SUMIFS(Product_Fixed_Allocation[1/1/2025],Product_Fixed_Allocation[ProductID],Product_CustomerSegment_Monthly_Actual_Fixed_Cost[[#This Row],[ProductID]])</f>
        <v>78</v>
      </c>
      <c r="AJ79">
        <f>SUMIFS(Product_Fixed_Allocation[2/1/2025],Product_Fixed_Allocation[ProductID],Product_CustomerSegment_Monthly_Actual_Fixed_Cost[[#This Row],[ProductID]])</f>
        <v>78</v>
      </c>
      <c r="AK79">
        <f>SUMIFS(Product_Fixed_Allocation[3/1/2025],Product_Fixed_Allocation[ProductID],Product_CustomerSegment_Monthly_Actual_Fixed_Cost[[#This Row],[ProductID]])</f>
        <v>78</v>
      </c>
      <c r="AL79">
        <f>SUMIFS(Product_Fixed_Allocation[4/1/2025],Product_Fixed_Allocation[ProductID],Product_CustomerSegment_Monthly_Actual_Fixed_Cost[[#This Row],[ProductID]])</f>
        <v>78</v>
      </c>
      <c r="AM79">
        <f>SUMIFS(Product_Fixed_Allocation[5/1/2025],Product_Fixed_Allocation[ProductID],Product_CustomerSegment_Monthly_Actual_Fixed_Cost[[#This Row],[ProductID]])</f>
        <v>78</v>
      </c>
      <c r="AN79">
        <f>SUMIFS(Product_Fixed_Allocation[6/1/2025],Product_Fixed_Allocation[ProductID],Product_CustomerSegment_Monthly_Actual_Fixed_Cost[[#This Row],[ProductID]])</f>
        <v>78</v>
      </c>
      <c r="AO79">
        <f>SUM(Product_CustomerSegment_Monthly_Actual_Fixed_Cost[[#This Row],[25-Jan]:[25-Jun]])</f>
        <v>468</v>
      </c>
      <c r="AR79" t="s">
        <v>57</v>
      </c>
      <c r="AS79" t="s">
        <v>48</v>
      </c>
      <c r="AT79">
        <f>Product_CustomerSegment_Monthly_Actual_Fixed_Cost[[#This Row],[25-Jan]]*Product_Segment_Monthly_Quantity[[#This Row],[1/1/2025]]</f>
        <v>156</v>
      </c>
      <c r="AU79">
        <f>Product_CustomerSegment_Monthly_Actual_Fixed_Cost[[#This Row],[25-Feb]]*Product_Segment_Monthly_Quantity[[#This Row],[2/1/2025]]</f>
        <v>702</v>
      </c>
      <c r="AV79">
        <f>Product_CustomerSegment_Monthly_Actual_Fixed_Cost[[#This Row],[25-Mar]]*Product_Segment_Monthly_Quantity[[#This Row],[3/1/2025]]</f>
        <v>1092</v>
      </c>
      <c r="AW79">
        <f>Product_CustomerSegment_Monthly_Actual_Fixed_Cost[[#This Row],[25-Apr]]*Product_Segment_Monthly_Quantity[[#This Row],[4/1/2025]]</f>
        <v>1326</v>
      </c>
      <c r="AX79">
        <f>Product_CustomerSegment_Monthly_Actual_Fixed_Cost[[#This Row],[25-May]]*Product_Segment_Monthly_Quantity[[#This Row],[5/1/2025]]</f>
        <v>156</v>
      </c>
      <c r="AY79">
        <f>Product_CustomerSegment_Monthly_Actual_Fixed_Cost[[#This Row],[25-Jun]]*Product_Segment_Monthly_Quantity[[#This Row],[6/1/2025]]</f>
        <v>312</v>
      </c>
      <c r="AZ79">
        <f>SUM(Product_CustomerSegment_Monthly_Fixed_Cost_Amount[[#This Row],[25-Jan]:[25-Jun]])</f>
        <v>3744</v>
      </c>
      <c r="BC79" t="s">
        <v>57</v>
      </c>
      <c r="BD79" t="s">
        <v>48</v>
      </c>
      <c r="BE79">
        <f>Product_CustomerSegment_Monthly_Fixed_Cost_Amount[[#This Row],[25-Jan]]+Product_CustomerSegment_Monthly_Variable_Cost_Amount[[#This Row],[25-Jan]]</f>
        <v>1041.7</v>
      </c>
      <c r="BF79">
        <f>Product_CustomerSegment_Monthly_Fixed_Cost_Amount[[#This Row],[25-Feb]]+Product_CustomerSegment_Monthly_Variable_Cost_Amount[[#This Row],[25-Feb]]</f>
        <v>4738.8600000000006</v>
      </c>
      <c r="BG79">
        <f>Product_CustomerSegment_Monthly_Fixed_Cost_Amount[[#This Row],[25-Mar]]+Product_CustomerSegment_Monthly_Variable_Cost_Amount[[#This Row],[25-Mar]]</f>
        <v>7149.2400000000007</v>
      </c>
      <c r="BH79">
        <f>Product_CustomerSegment_Monthly_Fixed_Cost_Amount[[#This Row],[25-Apr]]+Product_CustomerSegment_Monthly_Variable_Cost_Amount[[#This Row],[25-Apr]]</f>
        <v>8676.119999999999</v>
      </c>
      <c r="BI79">
        <f>Product_CustomerSegment_Monthly_Fixed_Cost_Amount[[#This Row],[25-May]]+Product_CustomerSegment_Monthly_Variable_Cost_Amount[[#This Row],[25-May]]</f>
        <v>1077.54</v>
      </c>
      <c r="BJ79">
        <f>Product_CustomerSegment_Monthly_Fixed_Cost_Amount[[#This Row],[25-Jun]]+Product_CustomerSegment_Monthly_Variable_Cost_Amount[[#This Row],[25-Jun]]</f>
        <v>2033.24</v>
      </c>
      <c r="BK79">
        <f>SUM(Product_CustomerSegment_Monthly_COGS[[#This Row],[25-Jan]:[25-Jun]])</f>
        <v>24716.7</v>
      </c>
    </row>
    <row r="80" spans="1:63">
      <c r="A80" t="s">
        <v>57</v>
      </c>
      <c r="B80" t="s">
        <v>59</v>
      </c>
      <c r="C8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8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4</v>
      </c>
      <c r="E8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15</v>
      </c>
      <c r="F8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8</v>
      </c>
      <c r="G8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5</v>
      </c>
      <c r="H8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23</v>
      </c>
      <c r="I80">
        <f>SUM(Product_Segment_Monthly_Quantity[[#This Row],[1/1/2025]:[6/1/2025]])</f>
        <v>57</v>
      </c>
      <c r="L80" t="s">
        <v>57</v>
      </c>
      <c r="M80" t="s">
        <v>59</v>
      </c>
      <c r="N80">
        <f>SUMIFS(Table21[1/1/2025],Table21[ProductID],Product_CustomerSegment_Monthly_Variable_Cost[[#This Row],[ProductID]])</f>
        <v>442.85</v>
      </c>
      <c r="O80">
        <f>SUMIFS(Table21[2/1/2025],Table21[ProductID],Product_CustomerSegment_Monthly_Variable_Cost[[#This Row],[ProductID]])</f>
        <v>448.54</v>
      </c>
      <c r="P80">
        <f>SUMIFS(Table21[3/1/2025],Table21[ProductID],Product_CustomerSegment_Monthly_Variable_Cost[[#This Row],[ProductID]])</f>
        <v>432.66</v>
      </c>
      <c r="Q80">
        <f>SUMIFS(Table21[4/1/2025],Table21[ProductID],Product_CustomerSegment_Monthly_Variable_Cost[[#This Row],[ProductID]])</f>
        <v>432.36</v>
      </c>
      <c r="R80">
        <f>SUMIFS(Table21[5/1/2025],Table21[ProductID],Product_CustomerSegment_Monthly_Variable_Cost[[#This Row],[ProductID]])</f>
        <v>460.77</v>
      </c>
      <c r="S80">
        <f>SUMIFS(Table21[6/1/2025],Table21[ProductID],Product_CustomerSegment_Monthly_Variable_Cost[[#This Row],[ProductID]])</f>
        <v>430.31</v>
      </c>
      <c r="V80" t="s">
        <v>57</v>
      </c>
      <c r="W80" t="s">
        <v>59</v>
      </c>
      <c r="X80">
        <f>Product_CustomerSegment_Monthly_Variable_Cost[[#This Row],[25-Jan]]*Product_Segment_Monthly_Quantity[[#This Row],[1/1/2025]]</f>
        <v>885.7</v>
      </c>
      <c r="Y80">
        <f>Product_CustomerSegment_Monthly_Variable_Cost[[#This Row],[25-Feb]]*Product_Segment_Monthly_Quantity[[#This Row],[2/1/2025]]</f>
        <v>1794.16</v>
      </c>
      <c r="Z80">
        <f>Product_CustomerSegment_Monthly_Variable_Cost[[#This Row],[25-Mar]]*Product_Segment_Monthly_Quantity[[#This Row],[3/1/2025]]</f>
        <v>6489.9000000000005</v>
      </c>
      <c r="AA80">
        <f>Product_CustomerSegment_Monthly_Variable_Cost[[#This Row],[25-Apr]]*Product_Segment_Monthly_Quantity[[#This Row],[4/1/2025]]</f>
        <v>3458.88</v>
      </c>
      <c r="AB80">
        <f>Product_CustomerSegment_Monthly_Variable_Cost[[#This Row],[25-May]]*Product_Segment_Monthly_Quantity[[#This Row],[5/1/2025]]</f>
        <v>2303.85</v>
      </c>
      <c r="AC80">
        <f>Product_CustomerSegment_Monthly_Variable_Cost[[#This Row],[25-Jun]]*Product_Segment_Monthly_Quantity[[#This Row],[6/1/2025]]</f>
        <v>9897.1299999999992</v>
      </c>
      <c r="AD80">
        <f>SUM(Product_CustomerSegment_Monthly_Variable_Cost_Amount[[#This Row],[25-Jan]:[25-Jun]])</f>
        <v>24829.62</v>
      </c>
      <c r="AG80" t="s">
        <v>57</v>
      </c>
      <c r="AH80" t="s">
        <v>59</v>
      </c>
      <c r="AI80">
        <f>SUMIFS(Product_Fixed_Allocation[1/1/2025],Product_Fixed_Allocation[ProductID],Product_CustomerSegment_Monthly_Actual_Fixed_Cost[[#This Row],[ProductID]])</f>
        <v>78</v>
      </c>
      <c r="AJ80">
        <f>SUMIFS(Product_Fixed_Allocation[2/1/2025],Product_Fixed_Allocation[ProductID],Product_CustomerSegment_Monthly_Actual_Fixed_Cost[[#This Row],[ProductID]])</f>
        <v>78</v>
      </c>
      <c r="AK80">
        <f>SUMIFS(Product_Fixed_Allocation[3/1/2025],Product_Fixed_Allocation[ProductID],Product_CustomerSegment_Monthly_Actual_Fixed_Cost[[#This Row],[ProductID]])</f>
        <v>78</v>
      </c>
      <c r="AL80">
        <f>SUMIFS(Product_Fixed_Allocation[4/1/2025],Product_Fixed_Allocation[ProductID],Product_CustomerSegment_Monthly_Actual_Fixed_Cost[[#This Row],[ProductID]])</f>
        <v>78</v>
      </c>
      <c r="AM80">
        <f>SUMIFS(Product_Fixed_Allocation[5/1/2025],Product_Fixed_Allocation[ProductID],Product_CustomerSegment_Monthly_Actual_Fixed_Cost[[#This Row],[ProductID]])</f>
        <v>78</v>
      </c>
      <c r="AN80">
        <f>SUMIFS(Product_Fixed_Allocation[6/1/2025],Product_Fixed_Allocation[ProductID],Product_CustomerSegment_Monthly_Actual_Fixed_Cost[[#This Row],[ProductID]])</f>
        <v>78</v>
      </c>
      <c r="AO80">
        <f>SUM(Product_CustomerSegment_Monthly_Actual_Fixed_Cost[[#This Row],[25-Jan]:[25-Jun]])</f>
        <v>468</v>
      </c>
      <c r="AR80" t="s">
        <v>57</v>
      </c>
      <c r="AS80" t="s">
        <v>59</v>
      </c>
      <c r="AT80">
        <f>Product_CustomerSegment_Monthly_Actual_Fixed_Cost[[#This Row],[25-Jan]]*Product_Segment_Monthly_Quantity[[#This Row],[1/1/2025]]</f>
        <v>156</v>
      </c>
      <c r="AU80">
        <f>Product_CustomerSegment_Monthly_Actual_Fixed_Cost[[#This Row],[25-Feb]]*Product_Segment_Monthly_Quantity[[#This Row],[2/1/2025]]</f>
        <v>312</v>
      </c>
      <c r="AV80">
        <f>Product_CustomerSegment_Monthly_Actual_Fixed_Cost[[#This Row],[25-Mar]]*Product_Segment_Monthly_Quantity[[#This Row],[3/1/2025]]</f>
        <v>1170</v>
      </c>
      <c r="AW80">
        <f>Product_CustomerSegment_Monthly_Actual_Fixed_Cost[[#This Row],[25-Apr]]*Product_Segment_Monthly_Quantity[[#This Row],[4/1/2025]]</f>
        <v>624</v>
      </c>
      <c r="AX80">
        <f>Product_CustomerSegment_Monthly_Actual_Fixed_Cost[[#This Row],[25-May]]*Product_Segment_Monthly_Quantity[[#This Row],[5/1/2025]]</f>
        <v>390</v>
      </c>
      <c r="AY80">
        <f>Product_CustomerSegment_Monthly_Actual_Fixed_Cost[[#This Row],[25-Jun]]*Product_Segment_Monthly_Quantity[[#This Row],[6/1/2025]]</f>
        <v>1794</v>
      </c>
      <c r="AZ80">
        <f>SUM(Product_CustomerSegment_Monthly_Fixed_Cost_Amount[[#This Row],[25-Jan]:[25-Jun]])</f>
        <v>4446</v>
      </c>
      <c r="BC80" t="s">
        <v>57</v>
      </c>
      <c r="BD80" t="s">
        <v>59</v>
      </c>
      <c r="BE80">
        <f>Product_CustomerSegment_Monthly_Fixed_Cost_Amount[[#This Row],[25-Jan]]+Product_CustomerSegment_Monthly_Variable_Cost_Amount[[#This Row],[25-Jan]]</f>
        <v>1041.7</v>
      </c>
      <c r="BF80">
        <f>Product_CustomerSegment_Monthly_Fixed_Cost_Amount[[#This Row],[25-Feb]]+Product_CustomerSegment_Monthly_Variable_Cost_Amount[[#This Row],[25-Feb]]</f>
        <v>2106.16</v>
      </c>
      <c r="BG80">
        <f>Product_CustomerSegment_Monthly_Fixed_Cost_Amount[[#This Row],[25-Mar]]+Product_CustomerSegment_Monthly_Variable_Cost_Amount[[#This Row],[25-Mar]]</f>
        <v>7659.9000000000005</v>
      </c>
      <c r="BH80">
        <f>Product_CustomerSegment_Monthly_Fixed_Cost_Amount[[#This Row],[25-Apr]]+Product_CustomerSegment_Monthly_Variable_Cost_Amount[[#This Row],[25-Apr]]</f>
        <v>4082.88</v>
      </c>
      <c r="BI80">
        <f>Product_CustomerSegment_Monthly_Fixed_Cost_Amount[[#This Row],[25-May]]+Product_CustomerSegment_Monthly_Variable_Cost_Amount[[#This Row],[25-May]]</f>
        <v>2693.85</v>
      </c>
      <c r="BJ80">
        <f>Product_CustomerSegment_Monthly_Fixed_Cost_Amount[[#This Row],[25-Jun]]+Product_CustomerSegment_Monthly_Variable_Cost_Amount[[#This Row],[25-Jun]]</f>
        <v>11691.13</v>
      </c>
      <c r="BK80">
        <f>SUM(Product_CustomerSegment_Monthly_COGS[[#This Row],[25-Jan]:[25-Jun]])</f>
        <v>29275.619999999995</v>
      </c>
    </row>
    <row r="81" spans="1:63">
      <c r="A81" t="s">
        <v>57</v>
      </c>
      <c r="B81" t="s">
        <v>44</v>
      </c>
      <c r="C8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12</v>
      </c>
      <c r="D8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8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4</v>
      </c>
      <c r="F8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20</v>
      </c>
      <c r="G8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</v>
      </c>
      <c r="H8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16</v>
      </c>
      <c r="I81">
        <f>SUM(Product_Segment_Monthly_Quantity[[#This Row],[1/1/2025]:[6/1/2025]])</f>
        <v>57</v>
      </c>
      <c r="L81" t="s">
        <v>57</v>
      </c>
      <c r="M81" t="s">
        <v>44</v>
      </c>
      <c r="N81">
        <f>SUMIFS(Table21[1/1/2025],Table21[ProductID],Product_CustomerSegment_Monthly_Variable_Cost[[#This Row],[ProductID]])</f>
        <v>442.85</v>
      </c>
      <c r="O81">
        <f>SUMIFS(Table21[2/1/2025],Table21[ProductID],Product_CustomerSegment_Monthly_Variable_Cost[[#This Row],[ProductID]])</f>
        <v>448.54</v>
      </c>
      <c r="P81">
        <f>SUMIFS(Table21[3/1/2025],Table21[ProductID],Product_CustomerSegment_Monthly_Variable_Cost[[#This Row],[ProductID]])</f>
        <v>432.66</v>
      </c>
      <c r="Q81">
        <f>SUMIFS(Table21[4/1/2025],Table21[ProductID],Product_CustomerSegment_Monthly_Variable_Cost[[#This Row],[ProductID]])</f>
        <v>432.36</v>
      </c>
      <c r="R81">
        <f>SUMIFS(Table21[5/1/2025],Table21[ProductID],Product_CustomerSegment_Monthly_Variable_Cost[[#This Row],[ProductID]])</f>
        <v>460.77</v>
      </c>
      <c r="S81">
        <f>SUMIFS(Table21[6/1/2025],Table21[ProductID],Product_CustomerSegment_Monthly_Variable_Cost[[#This Row],[ProductID]])</f>
        <v>430.31</v>
      </c>
      <c r="V81" t="s">
        <v>57</v>
      </c>
      <c r="W81" t="s">
        <v>44</v>
      </c>
      <c r="X81">
        <f>Product_CustomerSegment_Monthly_Variable_Cost[[#This Row],[25-Jan]]*Product_Segment_Monthly_Quantity[[#This Row],[1/1/2025]]</f>
        <v>5314.2000000000007</v>
      </c>
      <c r="Y81">
        <f>Product_CustomerSegment_Monthly_Variable_Cost[[#This Row],[25-Feb]]*Product_Segment_Monthly_Quantity[[#This Row],[2/1/2025]]</f>
        <v>1345.6200000000001</v>
      </c>
      <c r="Z81">
        <f>Product_CustomerSegment_Monthly_Variable_Cost[[#This Row],[25-Mar]]*Product_Segment_Monthly_Quantity[[#This Row],[3/1/2025]]</f>
        <v>1730.64</v>
      </c>
      <c r="AA81">
        <f>Product_CustomerSegment_Monthly_Variable_Cost[[#This Row],[25-Apr]]*Product_Segment_Monthly_Quantity[[#This Row],[4/1/2025]]</f>
        <v>8647.2000000000007</v>
      </c>
      <c r="AB81">
        <f>Product_CustomerSegment_Monthly_Variable_Cost[[#This Row],[25-May]]*Product_Segment_Monthly_Quantity[[#This Row],[5/1/2025]]</f>
        <v>921.54</v>
      </c>
      <c r="AC81">
        <f>Product_CustomerSegment_Monthly_Variable_Cost[[#This Row],[25-Jun]]*Product_Segment_Monthly_Quantity[[#This Row],[6/1/2025]]</f>
        <v>6884.96</v>
      </c>
      <c r="AD81">
        <f>SUM(Product_CustomerSegment_Monthly_Variable_Cost_Amount[[#This Row],[25-Jan]:[25-Jun]])</f>
        <v>24844.160000000003</v>
      </c>
      <c r="AG81" t="s">
        <v>57</v>
      </c>
      <c r="AH81" t="s">
        <v>44</v>
      </c>
      <c r="AI81">
        <f>SUMIFS(Product_Fixed_Allocation[1/1/2025],Product_Fixed_Allocation[ProductID],Product_CustomerSegment_Monthly_Actual_Fixed_Cost[[#This Row],[ProductID]])</f>
        <v>78</v>
      </c>
      <c r="AJ81">
        <f>SUMIFS(Product_Fixed_Allocation[2/1/2025],Product_Fixed_Allocation[ProductID],Product_CustomerSegment_Monthly_Actual_Fixed_Cost[[#This Row],[ProductID]])</f>
        <v>78</v>
      </c>
      <c r="AK81">
        <f>SUMIFS(Product_Fixed_Allocation[3/1/2025],Product_Fixed_Allocation[ProductID],Product_CustomerSegment_Monthly_Actual_Fixed_Cost[[#This Row],[ProductID]])</f>
        <v>78</v>
      </c>
      <c r="AL81">
        <f>SUMIFS(Product_Fixed_Allocation[4/1/2025],Product_Fixed_Allocation[ProductID],Product_CustomerSegment_Monthly_Actual_Fixed_Cost[[#This Row],[ProductID]])</f>
        <v>78</v>
      </c>
      <c r="AM81">
        <f>SUMIFS(Product_Fixed_Allocation[5/1/2025],Product_Fixed_Allocation[ProductID],Product_CustomerSegment_Monthly_Actual_Fixed_Cost[[#This Row],[ProductID]])</f>
        <v>78</v>
      </c>
      <c r="AN81">
        <f>SUMIFS(Product_Fixed_Allocation[6/1/2025],Product_Fixed_Allocation[ProductID],Product_CustomerSegment_Monthly_Actual_Fixed_Cost[[#This Row],[ProductID]])</f>
        <v>78</v>
      </c>
      <c r="AO81">
        <f>SUM(Product_CustomerSegment_Monthly_Actual_Fixed_Cost[[#This Row],[25-Jan]:[25-Jun]])</f>
        <v>468</v>
      </c>
      <c r="AR81" t="s">
        <v>57</v>
      </c>
      <c r="AS81" t="s">
        <v>44</v>
      </c>
      <c r="AT81">
        <f>Product_CustomerSegment_Monthly_Actual_Fixed_Cost[[#This Row],[25-Jan]]*Product_Segment_Monthly_Quantity[[#This Row],[1/1/2025]]</f>
        <v>936</v>
      </c>
      <c r="AU81">
        <f>Product_CustomerSegment_Monthly_Actual_Fixed_Cost[[#This Row],[25-Feb]]*Product_Segment_Monthly_Quantity[[#This Row],[2/1/2025]]</f>
        <v>234</v>
      </c>
      <c r="AV81">
        <f>Product_CustomerSegment_Monthly_Actual_Fixed_Cost[[#This Row],[25-Mar]]*Product_Segment_Monthly_Quantity[[#This Row],[3/1/2025]]</f>
        <v>312</v>
      </c>
      <c r="AW81">
        <f>Product_CustomerSegment_Monthly_Actual_Fixed_Cost[[#This Row],[25-Apr]]*Product_Segment_Monthly_Quantity[[#This Row],[4/1/2025]]</f>
        <v>1560</v>
      </c>
      <c r="AX81">
        <f>Product_CustomerSegment_Monthly_Actual_Fixed_Cost[[#This Row],[25-May]]*Product_Segment_Monthly_Quantity[[#This Row],[5/1/2025]]</f>
        <v>156</v>
      </c>
      <c r="AY81">
        <f>Product_CustomerSegment_Monthly_Actual_Fixed_Cost[[#This Row],[25-Jun]]*Product_Segment_Monthly_Quantity[[#This Row],[6/1/2025]]</f>
        <v>1248</v>
      </c>
      <c r="AZ81">
        <f>SUM(Product_CustomerSegment_Monthly_Fixed_Cost_Amount[[#This Row],[25-Jan]:[25-Jun]])</f>
        <v>4446</v>
      </c>
      <c r="BC81" t="s">
        <v>57</v>
      </c>
      <c r="BD81" t="s">
        <v>44</v>
      </c>
      <c r="BE81">
        <f>Product_CustomerSegment_Monthly_Fixed_Cost_Amount[[#This Row],[25-Jan]]+Product_CustomerSegment_Monthly_Variable_Cost_Amount[[#This Row],[25-Jan]]</f>
        <v>6250.2000000000007</v>
      </c>
      <c r="BF81">
        <f>Product_CustomerSegment_Monthly_Fixed_Cost_Amount[[#This Row],[25-Feb]]+Product_CustomerSegment_Monthly_Variable_Cost_Amount[[#This Row],[25-Feb]]</f>
        <v>1579.6200000000001</v>
      </c>
      <c r="BG81">
        <f>Product_CustomerSegment_Monthly_Fixed_Cost_Amount[[#This Row],[25-Mar]]+Product_CustomerSegment_Monthly_Variable_Cost_Amount[[#This Row],[25-Mar]]</f>
        <v>2042.64</v>
      </c>
      <c r="BH81">
        <f>Product_CustomerSegment_Monthly_Fixed_Cost_Amount[[#This Row],[25-Apr]]+Product_CustomerSegment_Monthly_Variable_Cost_Amount[[#This Row],[25-Apr]]</f>
        <v>10207.200000000001</v>
      </c>
      <c r="BI81">
        <f>Product_CustomerSegment_Monthly_Fixed_Cost_Amount[[#This Row],[25-May]]+Product_CustomerSegment_Monthly_Variable_Cost_Amount[[#This Row],[25-May]]</f>
        <v>1077.54</v>
      </c>
      <c r="BJ81">
        <f>Product_CustomerSegment_Monthly_Fixed_Cost_Amount[[#This Row],[25-Jun]]+Product_CustomerSegment_Monthly_Variable_Cost_Amount[[#This Row],[25-Jun]]</f>
        <v>8132.96</v>
      </c>
      <c r="BK81">
        <f>SUM(Product_CustomerSegment_Monthly_COGS[[#This Row],[25-Jan]:[25-Jun]])</f>
        <v>29290.160000000003</v>
      </c>
    </row>
    <row r="82" spans="1:63">
      <c r="A82" t="s">
        <v>43</v>
      </c>
      <c r="B82" t="s">
        <v>28</v>
      </c>
      <c r="C8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5</v>
      </c>
      <c r="D8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8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7</v>
      </c>
      <c r="F8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8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25</v>
      </c>
      <c r="H8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41</v>
      </c>
      <c r="I82">
        <f>SUM(Product_Segment_Monthly_Quantity[[#This Row],[1/1/2025]:[6/1/2025]])</f>
        <v>81</v>
      </c>
      <c r="L82" t="s">
        <v>43</v>
      </c>
      <c r="M82" t="s">
        <v>28</v>
      </c>
      <c r="N82">
        <f>SUMIFS(Table21[1/1/2025],Table21[ProductID],Product_CustomerSegment_Monthly_Variable_Cost[[#This Row],[ProductID]])</f>
        <v>97.08</v>
      </c>
      <c r="O82">
        <f>SUMIFS(Table21[2/1/2025],Table21[ProductID],Product_CustomerSegment_Monthly_Variable_Cost[[#This Row],[ProductID]])</f>
        <v>92.95</v>
      </c>
      <c r="P82">
        <f>SUMIFS(Table21[3/1/2025],Table21[ProductID],Product_CustomerSegment_Monthly_Variable_Cost[[#This Row],[ProductID]])</f>
        <v>95.06</v>
      </c>
      <c r="Q82">
        <f>SUMIFS(Table21[4/1/2025],Table21[ProductID],Product_CustomerSegment_Monthly_Variable_Cost[[#This Row],[ProductID]])</f>
        <v>96.12</v>
      </c>
      <c r="R82">
        <f>SUMIFS(Table21[5/1/2025],Table21[ProductID],Product_CustomerSegment_Monthly_Variable_Cost[[#This Row],[ProductID]])</f>
        <v>99.61</v>
      </c>
      <c r="S82">
        <f>SUMIFS(Table21[6/1/2025],Table21[ProductID],Product_CustomerSegment_Monthly_Variable_Cost[[#This Row],[ProductID]])</f>
        <v>91.18</v>
      </c>
      <c r="V82" t="s">
        <v>43</v>
      </c>
      <c r="W82" t="s">
        <v>28</v>
      </c>
      <c r="X82">
        <f>Product_CustomerSegment_Monthly_Variable_Cost[[#This Row],[25-Jan]]*Product_Segment_Monthly_Quantity[[#This Row],[1/1/2025]]</f>
        <v>485.4</v>
      </c>
      <c r="Y82">
        <f>Product_CustomerSegment_Monthly_Variable_Cost[[#This Row],[25-Feb]]*Product_Segment_Monthly_Quantity[[#This Row],[2/1/2025]]</f>
        <v>278.85000000000002</v>
      </c>
      <c r="Z82">
        <f>Product_CustomerSegment_Monthly_Variable_Cost[[#This Row],[25-Mar]]*Product_Segment_Monthly_Quantity[[#This Row],[3/1/2025]]</f>
        <v>665.42000000000007</v>
      </c>
      <c r="AA82">
        <f>Product_CustomerSegment_Monthly_Variable_Cost[[#This Row],[25-Apr]]*Product_Segment_Monthly_Quantity[[#This Row],[4/1/2025]]</f>
        <v>0</v>
      </c>
      <c r="AB82">
        <f>Product_CustomerSegment_Monthly_Variable_Cost[[#This Row],[25-May]]*Product_Segment_Monthly_Quantity[[#This Row],[5/1/2025]]</f>
        <v>2490.25</v>
      </c>
      <c r="AC82">
        <f>Product_CustomerSegment_Monthly_Variable_Cost[[#This Row],[25-Jun]]*Product_Segment_Monthly_Quantity[[#This Row],[6/1/2025]]</f>
        <v>3738.38</v>
      </c>
      <c r="AD82">
        <f>SUM(Product_CustomerSegment_Monthly_Variable_Cost_Amount[[#This Row],[25-Jan]:[25-Jun]])</f>
        <v>7658.3</v>
      </c>
      <c r="AG82" t="s">
        <v>43</v>
      </c>
      <c r="AH82" t="s">
        <v>28</v>
      </c>
      <c r="AI82">
        <f>SUMIFS(Product_Fixed_Allocation[1/1/2025],Product_Fixed_Allocation[ProductID],Product_CustomerSegment_Monthly_Actual_Fixed_Cost[[#This Row],[ProductID]])</f>
        <v>28</v>
      </c>
      <c r="AJ82">
        <f>SUMIFS(Product_Fixed_Allocation[2/1/2025],Product_Fixed_Allocation[ProductID],Product_CustomerSegment_Monthly_Actual_Fixed_Cost[[#This Row],[ProductID]])</f>
        <v>28</v>
      </c>
      <c r="AK82">
        <f>SUMIFS(Product_Fixed_Allocation[3/1/2025],Product_Fixed_Allocation[ProductID],Product_CustomerSegment_Monthly_Actual_Fixed_Cost[[#This Row],[ProductID]])</f>
        <v>28</v>
      </c>
      <c r="AL82">
        <f>SUMIFS(Product_Fixed_Allocation[4/1/2025],Product_Fixed_Allocation[ProductID],Product_CustomerSegment_Monthly_Actual_Fixed_Cost[[#This Row],[ProductID]])</f>
        <v>28</v>
      </c>
      <c r="AM82">
        <f>SUMIFS(Product_Fixed_Allocation[5/1/2025],Product_Fixed_Allocation[ProductID],Product_CustomerSegment_Monthly_Actual_Fixed_Cost[[#This Row],[ProductID]])</f>
        <v>28</v>
      </c>
      <c r="AN82">
        <f>SUMIFS(Product_Fixed_Allocation[6/1/2025],Product_Fixed_Allocation[ProductID],Product_CustomerSegment_Monthly_Actual_Fixed_Cost[[#This Row],[ProductID]])</f>
        <v>28</v>
      </c>
      <c r="AO82">
        <f>SUM(Product_CustomerSegment_Monthly_Actual_Fixed_Cost[[#This Row],[25-Jan]:[25-Jun]])</f>
        <v>168</v>
      </c>
      <c r="AR82" t="s">
        <v>43</v>
      </c>
      <c r="AS82" t="s">
        <v>28</v>
      </c>
      <c r="AT82">
        <f>Product_CustomerSegment_Monthly_Actual_Fixed_Cost[[#This Row],[25-Jan]]*Product_Segment_Monthly_Quantity[[#This Row],[1/1/2025]]</f>
        <v>140</v>
      </c>
      <c r="AU82">
        <f>Product_CustomerSegment_Monthly_Actual_Fixed_Cost[[#This Row],[25-Feb]]*Product_Segment_Monthly_Quantity[[#This Row],[2/1/2025]]</f>
        <v>84</v>
      </c>
      <c r="AV82">
        <f>Product_CustomerSegment_Monthly_Actual_Fixed_Cost[[#This Row],[25-Mar]]*Product_Segment_Monthly_Quantity[[#This Row],[3/1/2025]]</f>
        <v>196</v>
      </c>
      <c r="AW82">
        <f>Product_CustomerSegment_Monthly_Actual_Fixed_Cost[[#This Row],[25-Apr]]*Product_Segment_Monthly_Quantity[[#This Row],[4/1/2025]]</f>
        <v>0</v>
      </c>
      <c r="AX82">
        <f>Product_CustomerSegment_Monthly_Actual_Fixed_Cost[[#This Row],[25-May]]*Product_Segment_Monthly_Quantity[[#This Row],[5/1/2025]]</f>
        <v>700</v>
      </c>
      <c r="AY82">
        <f>Product_CustomerSegment_Monthly_Actual_Fixed_Cost[[#This Row],[25-Jun]]*Product_Segment_Monthly_Quantity[[#This Row],[6/1/2025]]</f>
        <v>1148</v>
      </c>
      <c r="AZ82">
        <f>SUM(Product_CustomerSegment_Monthly_Fixed_Cost_Amount[[#This Row],[25-Jan]:[25-Jun]])</f>
        <v>2268</v>
      </c>
      <c r="BC82" t="s">
        <v>43</v>
      </c>
      <c r="BD82" t="s">
        <v>28</v>
      </c>
      <c r="BE82">
        <f>Product_CustomerSegment_Monthly_Fixed_Cost_Amount[[#This Row],[25-Jan]]+Product_CustomerSegment_Monthly_Variable_Cost_Amount[[#This Row],[25-Jan]]</f>
        <v>625.4</v>
      </c>
      <c r="BF82">
        <f>Product_CustomerSegment_Monthly_Fixed_Cost_Amount[[#This Row],[25-Feb]]+Product_CustomerSegment_Monthly_Variable_Cost_Amount[[#This Row],[25-Feb]]</f>
        <v>362.85</v>
      </c>
      <c r="BG82">
        <f>Product_CustomerSegment_Monthly_Fixed_Cost_Amount[[#This Row],[25-Mar]]+Product_CustomerSegment_Monthly_Variable_Cost_Amount[[#This Row],[25-Mar]]</f>
        <v>861.42000000000007</v>
      </c>
      <c r="BH82">
        <f>Product_CustomerSegment_Monthly_Fixed_Cost_Amount[[#This Row],[25-Apr]]+Product_CustomerSegment_Monthly_Variable_Cost_Amount[[#This Row],[25-Apr]]</f>
        <v>0</v>
      </c>
      <c r="BI82">
        <f>Product_CustomerSegment_Monthly_Fixed_Cost_Amount[[#This Row],[25-May]]+Product_CustomerSegment_Monthly_Variable_Cost_Amount[[#This Row],[25-May]]</f>
        <v>3190.25</v>
      </c>
      <c r="BJ82">
        <f>Product_CustomerSegment_Monthly_Fixed_Cost_Amount[[#This Row],[25-Jun]]+Product_CustomerSegment_Monthly_Variable_Cost_Amount[[#This Row],[25-Jun]]</f>
        <v>4886.38</v>
      </c>
      <c r="BK82">
        <f>SUM(Product_CustomerSegment_Monthly_COGS[[#This Row],[25-Jan]:[25-Jun]])</f>
        <v>9926.2999999999993</v>
      </c>
    </row>
    <row r="83" spans="1:63">
      <c r="A83" t="s">
        <v>43</v>
      </c>
      <c r="B83" t="s">
        <v>36</v>
      </c>
      <c r="C8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32</v>
      </c>
      <c r="D8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29</v>
      </c>
      <c r="E8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45</v>
      </c>
      <c r="F8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14</v>
      </c>
      <c r="G8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33</v>
      </c>
      <c r="H8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34</v>
      </c>
      <c r="I83">
        <f>SUM(Product_Segment_Monthly_Quantity[[#This Row],[1/1/2025]:[6/1/2025]])</f>
        <v>187</v>
      </c>
      <c r="L83" t="s">
        <v>43</v>
      </c>
      <c r="M83" t="s">
        <v>36</v>
      </c>
      <c r="N83">
        <f>SUMIFS(Table21[1/1/2025],Table21[ProductID],Product_CustomerSegment_Monthly_Variable_Cost[[#This Row],[ProductID]])</f>
        <v>97.08</v>
      </c>
      <c r="O83">
        <f>SUMIFS(Table21[2/1/2025],Table21[ProductID],Product_CustomerSegment_Monthly_Variable_Cost[[#This Row],[ProductID]])</f>
        <v>92.95</v>
      </c>
      <c r="P83">
        <f>SUMIFS(Table21[3/1/2025],Table21[ProductID],Product_CustomerSegment_Monthly_Variable_Cost[[#This Row],[ProductID]])</f>
        <v>95.06</v>
      </c>
      <c r="Q83">
        <f>SUMIFS(Table21[4/1/2025],Table21[ProductID],Product_CustomerSegment_Monthly_Variable_Cost[[#This Row],[ProductID]])</f>
        <v>96.12</v>
      </c>
      <c r="R83">
        <f>SUMIFS(Table21[5/1/2025],Table21[ProductID],Product_CustomerSegment_Monthly_Variable_Cost[[#This Row],[ProductID]])</f>
        <v>99.61</v>
      </c>
      <c r="S83">
        <f>SUMIFS(Table21[6/1/2025],Table21[ProductID],Product_CustomerSegment_Monthly_Variable_Cost[[#This Row],[ProductID]])</f>
        <v>91.18</v>
      </c>
      <c r="V83" t="s">
        <v>43</v>
      </c>
      <c r="W83" t="s">
        <v>36</v>
      </c>
      <c r="X83">
        <f>Product_CustomerSegment_Monthly_Variable_Cost[[#This Row],[25-Jan]]*Product_Segment_Monthly_Quantity[[#This Row],[1/1/2025]]</f>
        <v>3106.56</v>
      </c>
      <c r="Y83">
        <f>Product_CustomerSegment_Monthly_Variable_Cost[[#This Row],[25-Feb]]*Product_Segment_Monthly_Quantity[[#This Row],[2/1/2025]]</f>
        <v>2695.55</v>
      </c>
      <c r="Z83">
        <f>Product_CustomerSegment_Monthly_Variable_Cost[[#This Row],[25-Mar]]*Product_Segment_Monthly_Quantity[[#This Row],[3/1/2025]]</f>
        <v>4277.7</v>
      </c>
      <c r="AA83">
        <f>Product_CustomerSegment_Monthly_Variable_Cost[[#This Row],[25-Apr]]*Product_Segment_Monthly_Quantity[[#This Row],[4/1/2025]]</f>
        <v>1345.68</v>
      </c>
      <c r="AB83">
        <f>Product_CustomerSegment_Monthly_Variable_Cost[[#This Row],[25-May]]*Product_Segment_Monthly_Quantity[[#This Row],[5/1/2025]]</f>
        <v>3287.13</v>
      </c>
      <c r="AC83">
        <f>Product_CustomerSegment_Monthly_Variable_Cost[[#This Row],[25-Jun]]*Product_Segment_Monthly_Quantity[[#This Row],[6/1/2025]]</f>
        <v>3100.1200000000003</v>
      </c>
      <c r="AD83">
        <f>SUM(Product_CustomerSegment_Monthly_Variable_Cost_Amount[[#This Row],[25-Jan]:[25-Jun]])</f>
        <v>17812.740000000002</v>
      </c>
      <c r="AG83" t="s">
        <v>43</v>
      </c>
      <c r="AH83" t="s">
        <v>36</v>
      </c>
      <c r="AI83">
        <f>SUMIFS(Product_Fixed_Allocation[1/1/2025],Product_Fixed_Allocation[ProductID],Product_CustomerSegment_Monthly_Actual_Fixed_Cost[[#This Row],[ProductID]])</f>
        <v>28</v>
      </c>
      <c r="AJ83">
        <f>SUMIFS(Product_Fixed_Allocation[2/1/2025],Product_Fixed_Allocation[ProductID],Product_CustomerSegment_Monthly_Actual_Fixed_Cost[[#This Row],[ProductID]])</f>
        <v>28</v>
      </c>
      <c r="AK83">
        <f>SUMIFS(Product_Fixed_Allocation[3/1/2025],Product_Fixed_Allocation[ProductID],Product_CustomerSegment_Monthly_Actual_Fixed_Cost[[#This Row],[ProductID]])</f>
        <v>28</v>
      </c>
      <c r="AL83">
        <f>SUMIFS(Product_Fixed_Allocation[4/1/2025],Product_Fixed_Allocation[ProductID],Product_CustomerSegment_Monthly_Actual_Fixed_Cost[[#This Row],[ProductID]])</f>
        <v>28</v>
      </c>
      <c r="AM83">
        <f>SUMIFS(Product_Fixed_Allocation[5/1/2025],Product_Fixed_Allocation[ProductID],Product_CustomerSegment_Monthly_Actual_Fixed_Cost[[#This Row],[ProductID]])</f>
        <v>28</v>
      </c>
      <c r="AN83">
        <f>SUMIFS(Product_Fixed_Allocation[6/1/2025],Product_Fixed_Allocation[ProductID],Product_CustomerSegment_Monthly_Actual_Fixed_Cost[[#This Row],[ProductID]])</f>
        <v>28</v>
      </c>
      <c r="AO83">
        <f>SUM(Product_CustomerSegment_Monthly_Actual_Fixed_Cost[[#This Row],[25-Jan]:[25-Jun]])</f>
        <v>168</v>
      </c>
      <c r="AR83" t="s">
        <v>43</v>
      </c>
      <c r="AS83" t="s">
        <v>36</v>
      </c>
      <c r="AT83">
        <f>Product_CustomerSegment_Monthly_Actual_Fixed_Cost[[#This Row],[25-Jan]]*Product_Segment_Monthly_Quantity[[#This Row],[1/1/2025]]</f>
        <v>896</v>
      </c>
      <c r="AU83">
        <f>Product_CustomerSegment_Monthly_Actual_Fixed_Cost[[#This Row],[25-Feb]]*Product_Segment_Monthly_Quantity[[#This Row],[2/1/2025]]</f>
        <v>812</v>
      </c>
      <c r="AV83">
        <f>Product_CustomerSegment_Monthly_Actual_Fixed_Cost[[#This Row],[25-Mar]]*Product_Segment_Monthly_Quantity[[#This Row],[3/1/2025]]</f>
        <v>1260</v>
      </c>
      <c r="AW83">
        <f>Product_CustomerSegment_Monthly_Actual_Fixed_Cost[[#This Row],[25-Apr]]*Product_Segment_Monthly_Quantity[[#This Row],[4/1/2025]]</f>
        <v>392</v>
      </c>
      <c r="AX83">
        <f>Product_CustomerSegment_Monthly_Actual_Fixed_Cost[[#This Row],[25-May]]*Product_Segment_Monthly_Quantity[[#This Row],[5/1/2025]]</f>
        <v>924</v>
      </c>
      <c r="AY83">
        <f>Product_CustomerSegment_Monthly_Actual_Fixed_Cost[[#This Row],[25-Jun]]*Product_Segment_Monthly_Quantity[[#This Row],[6/1/2025]]</f>
        <v>952</v>
      </c>
      <c r="AZ83">
        <f>SUM(Product_CustomerSegment_Monthly_Fixed_Cost_Amount[[#This Row],[25-Jan]:[25-Jun]])</f>
        <v>5236</v>
      </c>
      <c r="BC83" t="s">
        <v>43</v>
      </c>
      <c r="BD83" t="s">
        <v>36</v>
      </c>
      <c r="BE83">
        <f>Product_CustomerSegment_Monthly_Fixed_Cost_Amount[[#This Row],[25-Jan]]+Product_CustomerSegment_Monthly_Variable_Cost_Amount[[#This Row],[25-Jan]]</f>
        <v>4002.56</v>
      </c>
      <c r="BF83">
        <f>Product_CustomerSegment_Monthly_Fixed_Cost_Amount[[#This Row],[25-Feb]]+Product_CustomerSegment_Monthly_Variable_Cost_Amount[[#This Row],[25-Feb]]</f>
        <v>3507.55</v>
      </c>
      <c r="BG83">
        <f>Product_CustomerSegment_Monthly_Fixed_Cost_Amount[[#This Row],[25-Mar]]+Product_CustomerSegment_Monthly_Variable_Cost_Amount[[#This Row],[25-Mar]]</f>
        <v>5537.7</v>
      </c>
      <c r="BH83">
        <f>Product_CustomerSegment_Monthly_Fixed_Cost_Amount[[#This Row],[25-Apr]]+Product_CustomerSegment_Monthly_Variable_Cost_Amount[[#This Row],[25-Apr]]</f>
        <v>1737.68</v>
      </c>
      <c r="BI83">
        <f>Product_CustomerSegment_Monthly_Fixed_Cost_Amount[[#This Row],[25-May]]+Product_CustomerSegment_Monthly_Variable_Cost_Amount[[#This Row],[25-May]]</f>
        <v>4211.13</v>
      </c>
      <c r="BJ83">
        <f>Product_CustomerSegment_Monthly_Fixed_Cost_Amount[[#This Row],[25-Jun]]+Product_CustomerSegment_Monthly_Variable_Cost_Amount[[#This Row],[25-Jun]]</f>
        <v>4052.1200000000003</v>
      </c>
      <c r="BK83">
        <f>SUM(Product_CustomerSegment_Monthly_COGS[[#This Row],[25-Jan]:[25-Jun]])</f>
        <v>23048.74</v>
      </c>
    </row>
    <row r="84" spans="1:63">
      <c r="A84" t="s">
        <v>43</v>
      </c>
      <c r="B84" t="s">
        <v>48</v>
      </c>
      <c r="C8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0</v>
      </c>
      <c r="D8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29</v>
      </c>
      <c r="E8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8</v>
      </c>
      <c r="F8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4</v>
      </c>
      <c r="G8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6</v>
      </c>
      <c r="H8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31</v>
      </c>
      <c r="I84">
        <f>SUM(Product_Segment_Monthly_Quantity[[#This Row],[1/1/2025]:[6/1/2025]])</f>
        <v>78</v>
      </c>
      <c r="L84" t="s">
        <v>43</v>
      </c>
      <c r="M84" t="s">
        <v>48</v>
      </c>
      <c r="N84">
        <f>SUMIFS(Table21[1/1/2025],Table21[ProductID],Product_CustomerSegment_Monthly_Variable_Cost[[#This Row],[ProductID]])</f>
        <v>97.08</v>
      </c>
      <c r="O84">
        <f>SUMIFS(Table21[2/1/2025],Table21[ProductID],Product_CustomerSegment_Monthly_Variable_Cost[[#This Row],[ProductID]])</f>
        <v>92.95</v>
      </c>
      <c r="P84">
        <f>SUMIFS(Table21[3/1/2025],Table21[ProductID],Product_CustomerSegment_Monthly_Variable_Cost[[#This Row],[ProductID]])</f>
        <v>95.06</v>
      </c>
      <c r="Q84">
        <f>SUMIFS(Table21[4/1/2025],Table21[ProductID],Product_CustomerSegment_Monthly_Variable_Cost[[#This Row],[ProductID]])</f>
        <v>96.12</v>
      </c>
      <c r="R84">
        <f>SUMIFS(Table21[5/1/2025],Table21[ProductID],Product_CustomerSegment_Monthly_Variable_Cost[[#This Row],[ProductID]])</f>
        <v>99.61</v>
      </c>
      <c r="S84">
        <f>SUMIFS(Table21[6/1/2025],Table21[ProductID],Product_CustomerSegment_Monthly_Variable_Cost[[#This Row],[ProductID]])</f>
        <v>91.18</v>
      </c>
      <c r="V84" t="s">
        <v>43</v>
      </c>
      <c r="W84" t="s">
        <v>48</v>
      </c>
      <c r="X84">
        <f>Product_CustomerSegment_Monthly_Variable_Cost[[#This Row],[25-Jan]]*Product_Segment_Monthly_Quantity[[#This Row],[1/1/2025]]</f>
        <v>0</v>
      </c>
      <c r="Y84">
        <f>Product_CustomerSegment_Monthly_Variable_Cost[[#This Row],[25-Feb]]*Product_Segment_Monthly_Quantity[[#This Row],[2/1/2025]]</f>
        <v>2695.55</v>
      </c>
      <c r="Z84">
        <f>Product_CustomerSegment_Monthly_Variable_Cost[[#This Row],[25-Mar]]*Product_Segment_Monthly_Quantity[[#This Row],[3/1/2025]]</f>
        <v>760.48</v>
      </c>
      <c r="AA84">
        <f>Product_CustomerSegment_Monthly_Variable_Cost[[#This Row],[25-Apr]]*Product_Segment_Monthly_Quantity[[#This Row],[4/1/2025]]</f>
        <v>384.48</v>
      </c>
      <c r="AB84">
        <f>Product_CustomerSegment_Monthly_Variable_Cost[[#This Row],[25-May]]*Product_Segment_Monthly_Quantity[[#This Row],[5/1/2025]]</f>
        <v>597.66</v>
      </c>
      <c r="AC84">
        <f>Product_CustomerSegment_Monthly_Variable_Cost[[#This Row],[25-Jun]]*Product_Segment_Monthly_Quantity[[#This Row],[6/1/2025]]</f>
        <v>2826.5800000000004</v>
      </c>
      <c r="AD84">
        <f>SUM(Product_CustomerSegment_Monthly_Variable_Cost_Amount[[#This Row],[25-Jan]:[25-Jun]])</f>
        <v>7264.75</v>
      </c>
      <c r="AG84" t="s">
        <v>43</v>
      </c>
      <c r="AH84" t="s">
        <v>48</v>
      </c>
      <c r="AI84">
        <f>SUMIFS(Product_Fixed_Allocation[1/1/2025],Product_Fixed_Allocation[ProductID],Product_CustomerSegment_Monthly_Actual_Fixed_Cost[[#This Row],[ProductID]])</f>
        <v>28</v>
      </c>
      <c r="AJ84">
        <f>SUMIFS(Product_Fixed_Allocation[2/1/2025],Product_Fixed_Allocation[ProductID],Product_CustomerSegment_Monthly_Actual_Fixed_Cost[[#This Row],[ProductID]])</f>
        <v>28</v>
      </c>
      <c r="AK84">
        <f>SUMIFS(Product_Fixed_Allocation[3/1/2025],Product_Fixed_Allocation[ProductID],Product_CustomerSegment_Monthly_Actual_Fixed_Cost[[#This Row],[ProductID]])</f>
        <v>28</v>
      </c>
      <c r="AL84">
        <f>SUMIFS(Product_Fixed_Allocation[4/1/2025],Product_Fixed_Allocation[ProductID],Product_CustomerSegment_Monthly_Actual_Fixed_Cost[[#This Row],[ProductID]])</f>
        <v>28</v>
      </c>
      <c r="AM84">
        <f>SUMIFS(Product_Fixed_Allocation[5/1/2025],Product_Fixed_Allocation[ProductID],Product_CustomerSegment_Monthly_Actual_Fixed_Cost[[#This Row],[ProductID]])</f>
        <v>28</v>
      </c>
      <c r="AN84">
        <f>SUMIFS(Product_Fixed_Allocation[6/1/2025],Product_Fixed_Allocation[ProductID],Product_CustomerSegment_Monthly_Actual_Fixed_Cost[[#This Row],[ProductID]])</f>
        <v>28</v>
      </c>
      <c r="AO84">
        <f>SUM(Product_CustomerSegment_Monthly_Actual_Fixed_Cost[[#This Row],[25-Jan]:[25-Jun]])</f>
        <v>168</v>
      </c>
      <c r="AR84" t="s">
        <v>43</v>
      </c>
      <c r="AS84" t="s">
        <v>48</v>
      </c>
      <c r="AT84">
        <f>Product_CustomerSegment_Monthly_Actual_Fixed_Cost[[#This Row],[25-Jan]]*Product_Segment_Monthly_Quantity[[#This Row],[1/1/2025]]</f>
        <v>0</v>
      </c>
      <c r="AU84">
        <f>Product_CustomerSegment_Monthly_Actual_Fixed_Cost[[#This Row],[25-Feb]]*Product_Segment_Monthly_Quantity[[#This Row],[2/1/2025]]</f>
        <v>812</v>
      </c>
      <c r="AV84">
        <f>Product_CustomerSegment_Monthly_Actual_Fixed_Cost[[#This Row],[25-Mar]]*Product_Segment_Monthly_Quantity[[#This Row],[3/1/2025]]</f>
        <v>224</v>
      </c>
      <c r="AW84">
        <f>Product_CustomerSegment_Monthly_Actual_Fixed_Cost[[#This Row],[25-Apr]]*Product_Segment_Monthly_Quantity[[#This Row],[4/1/2025]]</f>
        <v>112</v>
      </c>
      <c r="AX84">
        <f>Product_CustomerSegment_Monthly_Actual_Fixed_Cost[[#This Row],[25-May]]*Product_Segment_Monthly_Quantity[[#This Row],[5/1/2025]]</f>
        <v>168</v>
      </c>
      <c r="AY84">
        <f>Product_CustomerSegment_Monthly_Actual_Fixed_Cost[[#This Row],[25-Jun]]*Product_Segment_Monthly_Quantity[[#This Row],[6/1/2025]]</f>
        <v>868</v>
      </c>
      <c r="AZ84">
        <f>SUM(Product_CustomerSegment_Monthly_Fixed_Cost_Amount[[#This Row],[25-Jan]:[25-Jun]])</f>
        <v>2184</v>
      </c>
      <c r="BC84" t="s">
        <v>43</v>
      </c>
      <c r="BD84" t="s">
        <v>48</v>
      </c>
      <c r="BE84">
        <f>Product_CustomerSegment_Monthly_Fixed_Cost_Amount[[#This Row],[25-Jan]]+Product_CustomerSegment_Monthly_Variable_Cost_Amount[[#This Row],[25-Jan]]</f>
        <v>0</v>
      </c>
      <c r="BF84">
        <f>Product_CustomerSegment_Monthly_Fixed_Cost_Amount[[#This Row],[25-Feb]]+Product_CustomerSegment_Monthly_Variable_Cost_Amount[[#This Row],[25-Feb]]</f>
        <v>3507.55</v>
      </c>
      <c r="BG84">
        <f>Product_CustomerSegment_Monthly_Fixed_Cost_Amount[[#This Row],[25-Mar]]+Product_CustomerSegment_Monthly_Variable_Cost_Amount[[#This Row],[25-Mar]]</f>
        <v>984.48</v>
      </c>
      <c r="BH84">
        <f>Product_CustomerSegment_Monthly_Fixed_Cost_Amount[[#This Row],[25-Apr]]+Product_CustomerSegment_Monthly_Variable_Cost_Amount[[#This Row],[25-Apr]]</f>
        <v>496.48</v>
      </c>
      <c r="BI84">
        <f>Product_CustomerSegment_Monthly_Fixed_Cost_Amount[[#This Row],[25-May]]+Product_CustomerSegment_Monthly_Variable_Cost_Amount[[#This Row],[25-May]]</f>
        <v>765.66</v>
      </c>
      <c r="BJ84">
        <f>Product_CustomerSegment_Monthly_Fixed_Cost_Amount[[#This Row],[25-Jun]]+Product_CustomerSegment_Monthly_Variable_Cost_Amount[[#This Row],[25-Jun]]</f>
        <v>3694.5800000000004</v>
      </c>
      <c r="BK84">
        <f>SUM(Product_CustomerSegment_Monthly_COGS[[#This Row],[25-Jan]:[25-Jun]])</f>
        <v>9448.75</v>
      </c>
    </row>
    <row r="85" spans="1:63">
      <c r="A85" t="s">
        <v>43</v>
      </c>
      <c r="B85" t="s">
        <v>59</v>
      </c>
      <c r="C8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9</v>
      </c>
      <c r="D8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19</v>
      </c>
      <c r="E8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0</v>
      </c>
      <c r="F8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28</v>
      </c>
      <c r="G8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6</v>
      </c>
      <c r="H8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10</v>
      </c>
      <c r="I85">
        <f>SUM(Product_Segment_Monthly_Quantity[[#This Row],[1/1/2025]:[6/1/2025]])</f>
        <v>72</v>
      </c>
      <c r="L85" t="s">
        <v>43</v>
      </c>
      <c r="M85" t="s">
        <v>59</v>
      </c>
      <c r="N85">
        <f>SUMIFS(Table21[1/1/2025],Table21[ProductID],Product_CustomerSegment_Monthly_Variable_Cost[[#This Row],[ProductID]])</f>
        <v>97.08</v>
      </c>
      <c r="O85">
        <f>SUMIFS(Table21[2/1/2025],Table21[ProductID],Product_CustomerSegment_Monthly_Variable_Cost[[#This Row],[ProductID]])</f>
        <v>92.95</v>
      </c>
      <c r="P85">
        <f>SUMIFS(Table21[3/1/2025],Table21[ProductID],Product_CustomerSegment_Monthly_Variable_Cost[[#This Row],[ProductID]])</f>
        <v>95.06</v>
      </c>
      <c r="Q85">
        <f>SUMIFS(Table21[4/1/2025],Table21[ProductID],Product_CustomerSegment_Monthly_Variable_Cost[[#This Row],[ProductID]])</f>
        <v>96.12</v>
      </c>
      <c r="R85">
        <f>SUMIFS(Table21[5/1/2025],Table21[ProductID],Product_CustomerSegment_Monthly_Variable_Cost[[#This Row],[ProductID]])</f>
        <v>99.61</v>
      </c>
      <c r="S85">
        <f>SUMIFS(Table21[6/1/2025],Table21[ProductID],Product_CustomerSegment_Monthly_Variable_Cost[[#This Row],[ProductID]])</f>
        <v>91.18</v>
      </c>
      <c r="V85" t="s">
        <v>43</v>
      </c>
      <c r="W85" t="s">
        <v>59</v>
      </c>
      <c r="X85">
        <f>Product_CustomerSegment_Monthly_Variable_Cost[[#This Row],[25-Jan]]*Product_Segment_Monthly_Quantity[[#This Row],[1/1/2025]]</f>
        <v>873.72</v>
      </c>
      <c r="Y85">
        <f>Product_CustomerSegment_Monthly_Variable_Cost[[#This Row],[25-Feb]]*Product_Segment_Monthly_Quantity[[#This Row],[2/1/2025]]</f>
        <v>1766.05</v>
      </c>
      <c r="Z85">
        <f>Product_CustomerSegment_Monthly_Variable_Cost[[#This Row],[25-Mar]]*Product_Segment_Monthly_Quantity[[#This Row],[3/1/2025]]</f>
        <v>0</v>
      </c>
      <c r="AA85">
        <f>Product_CustomerSegment_Monthly_Variable_Cost[[#This Row],[25-Apr]]*Product_Segment_Monthly_Quantity[[#This Row],[4/1/2025]]</f>
        <v>2691.36</v>
      </c>
      <c r="AB85">
        <f>Product_CustomerSegment_Monthly_Variable_Cost[[#This Row],[25-May]]*Product_Segment_Monthly_Quantity[[#This Row],[5/1/2025]]</f>
        <v>597.66</v>
      </c>
      <c r="AC85">
        <f>Product_CustomerSegment_Monthly_Variable_Cost[[#This Row],[25-Jun]]*Product_Segment_Monthly_Quantity[[#This Row],[6/1/2025]]</f>
        <v>911.80000000000007</v>
      </c>
      <c r="AD85">
        <f>SUM(Product_CustomerSegment_Monthly_Variable_Cost_Amount[[#This Row],[25-Jan]:[25-Jun]])</f>
        <v>6840.59</v>
      </c>
      <c r="AG85" t="s">
        <v>43</v>
      </c>
      <c r="AH85" t="s">
        <v>59</v>
      </c>
      <c r="AI85">
        <f>SUMIFS(Product_Fixed_Allocation[1/1/2025],Product_Fixed_Allocation[ProductID],Product_CustomerSegment_Monthly_Actual_Fixed_Cost[[#This Row],[ProductID]])</f>
        <v>28</v>
      </c>
      <c r="AJ85">
        <f>SUMIFS(Product_Fixed_Allocation[2/1/2025],Product_Fixed_Allocation[ProductID],Product_CustomerSegment_Monthly_Actual_Fixed_Cost[[#This Row],[ProductID]])</f>
        <v>28</v>
      </c>
      <c r="AK85">
        <f>SUMIFS(Product_Fixed_Allocation[3/1/2025],Product_Fixed_Allocation[ProductID],Product_CustomerSegment_Monthly_Actual_Fixed_Cost[[#This Row],[ProductID]])</f>
        <v>28</v>
      </c>
      <c r="AL85">
        <f>SUMIFS(Product_Fixed_Allocation[4/1/2025],Product_Fixed_Allocation[ProductID],Product_CustomerSegment_Monthly_Actual_Fixed_Cost[[#This Row],[ProductID]])</f>
        <v>28</v>
      </c>
      <c r="AM85">
        <f>SUMIFS(Product_Fixed_Allocation[5/1/2025],Product_Fixed_Allocation[ProductID],Product_CustomerSegment_Monthly_Actual_Fixed_Cost[[#This Row],[ProductID]])</f>
        <v>28</v>
      </c>
      <c r="AN85">
        <f>SUMIFS(Product_Fixed_Allocation[6/1/2025],Product_Fixed_Allocation[ProductID],Product_CustomerSegment_Monthly_Actual_Fixed_Cost[[#This Row],[ProductID]])</f>
        <v>28</v>
      </c>
      <c r="AO85">
        <f>SUM(Product_CustomerSegment_Monthly_Actual_Fixed_Cost[[#This Row],[25-Jan]:[25-Jun]])</f>
        <v>168</v>
      </c>
      <c r="AR85" t="s">
        <v>43</v>
      </c>
      <c r="AS85" t="s">
        <v>59</v>
      </c>
      <c r="AT85">
        <f>Product_CustomerSegment_Monthly_Actual_Fixed_Cost[[#This Row],[25-Jan]]*Product_Segment_Monthly_Quantity[[#This Row],[1/1/2025]]</f>
        <v>252</v>
      </c>
      <c r="AU85">
        <f>Product_CustomerSegment_Monthly_Actual_Fixed_Cost[[#This Row],[25-Feb]]*Product_Segment_Monthly_Quantity[[#This Row],[2/1/2025]]</f>
        <v>532</v>
      </c>
      <c r="AV85">
        <f>Product_CustomerSegment_Monthly_Actual_Fixed_Cost[[#This Row],[25-Mar]]*Product_Segment_Monthly_Quantity[[#This Row],[3/1/2025]]</f>
        <v>0</v>
      </c>
      <c r="AW85">
        <f>Product_CustomerSegment_Monthly_Actual_Fixed_Cost[[#This Row],[25-Apr]]*Product_Segment_Monthly_Quantity[[#This Row],[4/1/2025]]</f>
        <v>784</v>
      </c>
      <c r="AX85">
        <f>Product_CustomerSegment_Monthly_Actual_Fixed_Cost[[#This Row],[25-May]]*Product_Segment_Monthly_Quantity[[#This Row],[5/1/2025]]</f>
        <v>168</v>
      </c>
      <c r="AY85">
        <f>Product_CustomerSegment_Monthly_Actual_Fixed_Cost[[#This Row],[25-Jun]]*Product_Segment_Monthly_Quantity[[#This Row],[6/1/2025]]</f>
        <v>280</v>
      </c>
      <c r="AZ85">
        <f>SUM(Product_CustomerSegment_Monthly_Fixed_Cost_Amount[[#This Row],[25-Jan]:[25-Jun]])</f>
        <v>2016</v>
      </c>
      <c r="BC85" t="s">
        <v>43</v>
      </c>
      <c r="BD85" t="s">
        <v>59</v>
      </c>
      <c r="BE85">
        <f>Product_CustomerSegment_Monthly_Fixed_Cost_Amount[[#This Row],[25-Jan]]+Product_CustomerSegment_Monthly_Variable_Cost_Amount[[#This Row],[25-Jan]]</f>
        <v>1125.72</v>
      </c>
      <c r="BF85">
        <f>Product_CustomerSegment_Monthly_Fixed_Cost_Amount[[#This Row],[25-Feb]]+Product_CustomerSegment_Monthly_Variable_Cost_Amount[[#This Row],[25-Feb]]</f>
        <v>2298.0500000000002</v>
      </c>
      <c r="BG85">
        <f>Product_CustomerSegment_Monthly_Fixed_Cost_Amount[[#This Row],[25-Mar]]+Product_CustomerSegment_Monthly_Variable_Cost_Amount[[#This Row],[25-Mar]]</f>
        <v>0</v>
      </c>
      <c r="BH85">
        <f>Product_CustomerSegment_Monthly_Fixed_Cost_Amount[[#This Row],[25-Apr]]+Product_CustomerSegment_Monthly_Variable_Cost_Amount[[#This Row],[25-Apr]]</f>
        <v>3475.36</v>
      </c>
      <c r="BI85">
        <f>Product_CustomerSegment_Monthly_Fixed_Cost_Amount[[#This Row],[25-May]]+Product_CustomerSegment_Monthly_Variable_Cost_Amount[[#This Row],[25-May]]</f>
        <v>765.66</v>
      </c>
      <c r="BJ85">
        <f>Product_CustomerSegment_Monthly_Fixed_Cost_Amount[[#This Row],[25-Jun]]+Product_CustomerSegment_Monthly_Variable_Cost_Amount[[#This Row],[25-Jun]]</f>
        <v>1191.8000000000002</v>
      </c>
      <c r="BK85">
        <f>SUM(Product_CustomerSegment_Monthly_COGS[[#This Row],[25-Jan]:[25-Jun]])</f>
        <v>8856.59</v>
      </c>
    </row>
    <row r="86" spans="1:63">
      <c r="A86" t="s">
        <v>43</v>
      </c>
      <c r="B86" t="s">
        <v>44</v>
      </c>
      <c r="C8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10</v>
      </c>
      <c r="D8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13</v>
      </c>
      <c r="E8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22</v>
      </c>
      <c r="F8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27</v>
      </c>
      <c r="G8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22</v>
      </c>
      <c r="H8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6</v>
      </c>
      <c r="I86">
        <f>SUM(Product_Segment_Monthly_Quantity[[#This Row],[1/1/2025]:[6/1/2025]])</f>
        <v>100</v>
      </c>
      <c r="L86" t="s">
        <v>43</v>
      </c>
      <c r="M86" t="s">
        <v>44</v>
      </c>
      <c r="N86">
        <f>SUMIFS(Table21[1/1/2025],Table21[ProductID],Product_CustomerSegment_Monthly_Variable_Cost[[#This Row],[ProductID]])</f>
        <v>97.08</v>
      </c>
      <c r="O86">
        <f>SUMIFS(Table21[2/1/2025],Table21[ProductID],Product_CustomerSegment_Monthly_Variable_Cost[[#This Row],[ProductID]])</f>
        <v>92.95</v>
      </c>
      <c r="P86">
        <f>SUMIFS(Table21[3/1/2025],Table21[ProductID],Product_CustomerSegment_Monthly_Variable_Cost[[#This Row],[ProductID]])</f>
        <v>95.06</v>
      </c>
      <c r="Q86">
        <f>SUMIFS(Table21[4/1/2025],Table21[ProductID],Product_CustomerSegment_Monthly_Variable_Cost[[#This Row],[ProductID]])</f>
        <v>96.12</v>
      </c>
      <c r="R86">
        <f>SUMIFS(Table21[5/1/2025],Table21[ProductID],Product_CustomerSegment_Monthly_Variable_Cost[[#This Row],[ProductID]])</f>
        <v>99.61</v>
      </c>
      <c r="S86">
        <f>SUMIFS(Table21[6/1/2025],Table21[ProductID],Product_CustomerSegment_Monthly_Variable_Cost[[#This Row],[ProductID]])</f>
        <v>91.18</v>
      </c>
      <c r="V86" t="s">
        <v>43</v>
      </c>
      <c r="W86" t="s">
        <v>44</v>
      </c>
      <c r="X86">
        <f>Product_CustomerSegment_Monthly_Variable_Cost[[#This Row],[25-Jan]]*Product_Segment_Monthly_Quantity[[#This Row],[1/1/2025]]</f>
        <v>970.8</v>
      </c>
      <c r="Y86">
        <f>Product_CustomerSegment_Monthly_Variable_Cost[[#This Row],[25-Feb]]*Product_Segment_Monthly_Quantity[[#This Row],[2/1/2025]]</f>
        <v>1208.3500000000001</v>
      </c>
      <c r="Z86">
        <f>Product_CustomerSegment_Monthly_Variable_Cost[[#This Row],[25-Mar]]*Product_Segment_Monthly_Quantity[[#This Row],[3/1/2025]]</f>
        <v>2091.3200000000002</v>
      </c>
      <c r="AA86">
        <f>Product_CustomerSegment_Monthly_Variable_Cost[[#This Row],[25-Apr]]*Product_Segment_Monthly_Quantity[[#This Row],[4/1/2025]]</f>
        <v>2595.2400000000002</v>
      </c>
      <c r="AB86">
        <f>Product_CustomerSegment_Monthly_Variable_Cost[[#This Row],[25-May]]*Product_Segment_Monthly_Quantity[[#This Row],[5/1/2025]]</f>
        <v>2191.42</v>
      </c>
      <c r="AC86">
        <f>Product_CustomerSegment_Monthly_Variable_Cost[[#This Row],[25-Jun]]*Product_Segment_Monthly_Quantity[[#This Row],[6/1/2025]]</f>
        <v>547.08000000000004</v>
      </c>
      <c r="AD86">
        <f>SUM(Product_CustomerSegment_Monthly_Variable_Cost_Amount[[#This Row],[25-Jan]:[25-Jun]])</f>
        <v>9604.2100000000009</v>
      </c>
      <c r="AG86" t="s">
        <v>43</v>
      </c>
      <c r="AH86" t="s">
        <v>44</v>
      </c>
      <c r="AI86">
        <f>SUMIFS(Product_Fixed_Allocation[1/1/2025],Product_Fixed_Allocation[ProductID],Product_CustomerSegment_Monthly_Actual_Fixed_Cost[[#This Row],[ProductID]])</f>
        <v>28</v>
      </c>
      <c r="AJ86">
        <f>SUMIFS(Product_Fixed_Allocation[2/1/2025],Product_Fixed_Allocation[ProductID],Product_CustomerSegment_Monthly_Actual_Fixed_Cost[[#This Row],[ProductID]])</f>
        <v>28</v>
      </c>
      <c r="AK86">
        <f>SUMIFS(Product_Fixed_Allocation[3/1/2025],Product_Fixed_Allocation[ProductID],Product_CustomerSegment_Monthly_Actual_Fixed_Cost[[#This Row],[ProductID]])</f>
        <v>28</v>
      </c>
      <c r="AL86">
        <f>SUMIFS(Product_Fixed_Allocation[4/1/2025],Product_Fixed_Allocation[ProductID],Product_CustomerSegment_Monthly_Actual_Fixed_Cost[[#This Row],[ProductID]])</f>
        <v>28</v>
      </c>
      <c r="AM86">
        <f>SUMIFS(Product_Fixed_Allocation[5/1/2025],Product_Fixed_Allocation[ProductID],Product_CustomerSegment_Monthly_Actual_Fixed_Cost[[#This Row],[ProductID]])</f>
        <v>28</v>
      </c>
      <c r="AN86">
        <f>SUMIFS(Product_Fixed_Allocation[6/1/2025],Product_Fixed_Allocation[ProductID],Product_CustomerSegment_Monthly_Actual_Fixed_Cost[[#This Row],[ProductID]])</f>
        <v>28</v>
      </c>
      <c r="AO86">
        <f>SUM(Product_CustomerSegment_Monthly_Actual_Fixed_Cost[[#This Row],[25-Jan]:[25-Jun]])</f>
        <v>168</v>
      </c>
      <c r="AR86" t="s">
        <v>43</v>
      </c>
      <c r="AS86" t="s">
        <v>44</v>
      </c>
      <c r="AT86">
        <f>Product_CustomerSegment_Monthly_Actual_Fixed_Cost[[#This Row],[25-Jan]]*Product_Segment_Monthly_Quantity[[#This Row],[1/1/2025]]</f>
        <v>280</v>
      </c>
      <c r="AU86">
        <f>Product_CustomerSegment_Monthly_Actual_Fixed_Cost[[#This Row],[25-Feb]]*Product_Segment_Monthly_Quantity[[#This Row],[2/1/2025]]</f>
        <v>364</v>
      </c>
      <c r="AV86">
        <f>Product_CustomerSegment_Monthly_Actual_Fixed_Cost[[#This Row],[25-Mar]]*Product_Segment_Monthly_Quantity[[#This Row],[3/1/2025]]</f>
        <v>616</v>
      </c>
      <c r="AW86">
        <f>Product_CustomerSegment_Monthly_Actual_Fixed_Cost[[#This Row],[25-Apr]]*Product_Segment_Monthly_Quantity[[#This Row],[4/1/2025]]</f>
        <v>756</v>
      </c>
      <c r="AX86">
        <f>Product_CustomerSegment_Monthly_Actual_Fixed_Cost[[#This Row],[25-May]]*Product_Segment_Monthly_Quantity[[#This Row],[5/1/2025]]</f>
        <v>616</v>
      </c>
      <c r="AY86">
        <f>Product_CustomerSegment_Monthly_Actual_Fixed_Cost[[#This Row],[25-Jun]]*Product_Segment_Monthly_Quantity[[#This Row],[6/1/2025]]</f>
        <v>168</v>
      </c>
      <c r="AZ86">
        <f>SUM(Product_CustomerSegment_Monthly_Fixed_Cost_Amount[[#This Row],[25-Jan]:[25-Jun]])</f>
        <v>2800</v>
      </c>
      <c r="BC86" t="s">
        <v>43</v>
      </c>
      <c r="BD86" t="s">
        <v>44</v>
      </c>
      <c r="BE86">
        <f>Product_CustomerSegment_Monthly_Fixed_Cost_Amount[[#This Row],[25-Jan]]+Product_CustomerSegment_Monthly_Variable_Cost_Amount[[#This Row],[25-Jan]]</f>
        <v>1250.8</v>
      </c>
      <c r="BF86">
        <f>Product_CustomerSegment_Monthly_Fixed_Cost_Amount[[#This Row],[25-Feb]]+Product_CustomerSegment_Monthly_Variable_Cost_Amount[[#This Row],[25-Feb]]</f>
        <v>1572.3500000000001</v>
      </c>
      <c r="BG86">
        <f>Product_CustomerSegment_Monthly_Fixed_Cost_Amount[[#This Row],[25-Mar]]+Product_CustomerSegment_Monthly_Variable_Cost_Amount[[#This Row],[25-Mar]]</f>
        <v>2707.32</v>
      </c>
      <c r="BH86">
        <f>Product_CustomerSegment_Monthly_Fixed_Cost_Amount[[#This Row],[25-Apr]]+Product_CustomerSegment_Monthly_Variable_Cost_Amount[[#This Row],[25-Apr]]</f>
        <v>3351.2400000000002</v>
      </c>
      <c r="BI86">
        <f>Product_CustomerSegment_Monthly_Fixed_Cost_Amount[[#This Row],[25-May]]+Product_CustomerSegment_Monthly_Variable_Cost_Amount[[#This Row],[25-May]]</f>
        <v>2807.42</v>
      </c>
      <c r="BJ86">
        <f>Product_CustomerSegment_Monthly_Fixed_Cost_Amount[[#This Row],[25-Jun]]+Product_CustomerSegment_Monthly_Variable_Cost_Amount[[#This Row],[25-Jun]]</f>
        <v>715.08</v>
      </c>
      <c r="BK86">
        <f>SUM(Product_CustomerSegment_Monthly_COGS[[#This Row],[25-Jan]:[25-Jun]])</f>
        <v>12404.210000000001</v>
      </c>
    </row>
    <row r="87" spans="1:63">
      <c r="A87" t="s">
        <v>97</v>
      </c>
      <c r="B87" t="s">
        <v>28</v>
      </c>
      <c r="C87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20</v>
      </c>
      <c r="D87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12</v>
      </c>
      <c r="E87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10</v>
      </c>
      <c r="F87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1</v>
      </c>
      <c r="G87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27</v>
      </c>
      <c r="H87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6</v>
      </c>
      <c r="I87">
        <f>SUM(Product_Segment_Monthly_Quantity[[#This Row],[1/1/2025]:[6/1/2025]])</f>
        <v>76</v>
      </c>
      <c r="L87" t="s">
        <v>97</v>
      </c>
      <c r="M87" t="s">
        <v>28</v>
      </c>
      <c r="N87">
        <f>SUMIFS(Table21[1/1/2025],Table21[ProductID],Product_CustomerSegment_Monthly_Variable_Cost[[#This Row],[ProductID]])</f>
        <v>444.44</v>
      </c>
      <c r="O87">
        <f>SUMIFS(Table21[2/1/2025],Table21[ProductID],Product_CustomerSegment_Monthly_Variable_Cost[[#This Row],[ProductID]])</f>
        <v>439.84</v>
      </c>
      <c r="P87">
        <f>SUMIFS(Table21[3/1/2025],Table21[ProductID],Product_CustomerSegment_Monthly_Variable_Cost[[#This Row],[ProductID]])</f>
        <v>439.77</v>
      </c>
      <c r="Q87">
        <f>SUMIFS(Table21[4/1/2025],Table21[ProductID],Product_CustomerSegment_Monthly_Variable_Cost[[#This Row],[ProductID]])</f>
        <v>447.5</v>
      </c>
      <c r="R87">
        <f>SUMIFS(Table21[5/1/2025],Table21[ProductID],Product_CustomerSegment_Monthly_Variable_Cost[[#This Row],[ProductID]])</f>
        <v>452.35</v>
      </c>
      <c r="S87">
        <f>SUMIFS(Table21[6/1/2025],Table21[ProductID],Product_CustomerSegment_Monthly_Variable_Cost[[#This Row],[ProductID]])</f>
        <v>458.23</v>
      </c>
      <c r="V87" t="s">
        <v>97</v>
      </c>
      <c r="W87" t="s">
        <v>28</v>
      </c>
      <c r="X87">
        <f>Product_CustomerSegment_Monthly_Variable_Cost[[#This Row],[25-Jan]]*Product_Segment_Monthly_Quantity[[#This Row],[1/1/2025]]</f>
        <v>8888.7999999999993</v>
      </c>
      <c r="Y87">
        <f>Product_CustomerSegment_Monthly_Variable_Cost[[#This Row],[25-Feb]]*Product_Segment_Monthly_Quantity[[#This Row],[2/1/2025]]</f>
        <v>5278.08</v>
      </c>
      <c r="Z87">
        <f>Product_CustomerSegment_Monthly_Variable_Cost[[#This Row],[25-Mar]]*Product_Segment_Monthly_Quantity[[#This Row],[3/1/2025]]</f>
        <v>4397.7</v>
      </c>
      <c r="AA87">
        <f>Product_CustomerSegment_Monthly_Variable_Cost[[#This Row],[25-Apr]]*Product_Segment_Monthly_Quantity[[#This Row],[4/1/2025]]</f>
        <v>447.5</v>
      </c>
      <c r="AB87">
        <f>Product_CustomerSegment_Monthly_Variable_Cost[[#This Row],[25-May]]*Product_Segment_Monthly_Quantity[[#This Row],[5/1/2025]]</f>
        <v>12213.45</v>
      </c>
      <c r="AC87">
        <f>Product_CustomerSegment_Monthly_Variable_Cost[[#This Row],[25-Jun]]*Product_Segment_Monthly_Quantity[[#This Row],[6/1/2025]]</f>
        <v>2749.38</v>
      </c>
      <c r="AD87">
        <f>SUM(Product_CustomerSegment_Monthly_Variable_Cost_Amount[[#This Row],[25-Jan]:[25-Jun]])</f>
        <v>33974.909999999996</v>
      </c>
      <c r="AG87" t="s">
        <v>97</v>
      </c>
      <c r="AH87" t="s">
        <v>28</v>
      </c>
      <c r="AI87">
        <f>SUMIFS(Product_Fixed_Allocation[1/1/2025],Product_Fixed_Allocation[ProductID],Product_CustomerSegment_Monthly_Actual_Fixed_Cost[[#This Row],[ProductID]])</f>
        <v>68</v>
      </c>
      <c r="AJ87">
        <f>SUMIFS(Product_Fixed_Allocation[2/1/2025],Product_Fixed_Allocation[ProductID],Product_CustomerSegment_Monthly_Actual_Fixed_Cost[[#This Row],[ProductID]])</f>
        <v>68</v>
      </c>
      <c r="AK87">
        <f>SUMIFS(Product_Fixed_Allocation[3/1/2025],Product_Fixed_Allocation[ProductID],Product_CustomerSegment_Monthly_Actual_Fixed_Cost[[#This Row],[ProductID]])</f>
        <v>68</v>
      </c>
      <c r="AL87">
        <f>SUMIFS(Product_Fixed_Allocation[4/1/2025],Product_Fixed_Allocation[ProductID],Product_CustomerSegment_Monthly_Actual_Fixed_Cost[[#This Row],[ProductID]])</f>
        <v>68</v>
      </c>
      <c r="AM87">
        <f>SUMIFS(Product_Fixed_Allocation[5/1/2025],Product_Fixed_Allocation[ProductID],Product_CustomerSegment_Monthly_Actual_Fixed_Cost[[#This Row],[ProductID]])</f>
        <v>68</v>
      </c>
      <c r="AN87">
        <f>SUMIFS(Product_Fixed_Allocation[6/1/2025],Product_Fixed_Allocation[ProductID],Product_CustomerSegment_Monthly_Actual_Fixed_Cost[[#This Row],[ProductID]])</f>
        <v>68</v>
      </c>
      <c r="AO87">
        <f>SUM(Product_CustomerSegment_Monthly_Actual_Fixed_Cost[[#This Row],[25-Jan]:[25-Jun]])</f>
        <v>408</v>
      </c>
      <c r="AR87" t="s">
        <v>97</v>
      </c>
      <c r="AS87" t="s">
        <v>28</v>
      </c>
      <c r="AT87">
        <f>Product_CustomerSegment_Monthly_Actual_Fixed_Cost[[#This Row],[25-Jan]]*Product_Segment_Monthly_Quantity[[#This Row],[1/1/2025]]</f>
        <v>1360</v>
      </c>
      <c r="AU87">
        <f>Product_CustomerSegment_Monthly_Actual_Fixed_Cost[[#This Row],[25-Feb]]*Product_Segment_Monthly_Quantity[[#This Row],[2/1/2025]]</f>
        <v>816</v>
      </c>
      <c r="AV87">
        <f>Product_CustomerSegment_Monthly_Actual_Fixed_Cost[[#This Row],[25-Mar]]*Product_Segment_Monthly_Quantity[[#This Row],[3/1/2025]]</f>
        <v>680</v>
      </c>
      <c r="AW87">
        <f>Product_CustomerSegment_Monthly_Actual_Fixed_Cost[[#This Row],[25-Apr]]*Product_Segment_Monthly_Quantity[[#This Row],[4/1/2025]]</f>
        <v>68</v>
      </c>
      <c r="AX87">
        <f>Product_CustomerSegment_Monthly_Actual_Fixed_Cost[[#This Row],[25-May]]*Product_Segment_Monthly_Quantity[[#This Row],[5/1/2025]]</f>
        <v>1836</v>
      </c>
      <c r="AY87">
        <f>Product_CustomerSegment_Monthly_Actual_Fixed_Cost[[#This Row],[25-Jun]]*Product_Segment_Monthly_Quantity[[#This Row],[6/1/2025]]</f>
        <v>408</v>
      </c>
      <c r="AZ87">
        <f>SUM(Product_CustomerSegment_Monthly_Fixed_Cost_Amount[[#This Row],[25-Jan]:[25-Jun]])</f>
        <v>5168</v>
      </c>
      <c r="BC87" t="s">
        <v>97</v>
      </c>
      <c r="BD87" t="s">
        <v>28</v>
      </c>
      <c r="BE87">
        <f>Product_CustomerSegment_Monthly_Fixed_Cost_Amount[[#This Row],[25-Jan]]+Product_CustomerSegment_Monthly_Variable_Cost_Amount[[#This Row],[25-Jan]]</f>
        <v>10248.799999999999</v>
      </c>
      <c r="BF87">
        <f>Product_CustomerSegment_Monthly_Fixed_Cost_Amount[[#This Row],[25-Feb]]+Product_CustomerSegment_Monthly_Variable_Cost_Amount[[#This Row],[25-Feb]]</f>
        <v>6094.08</v>
      </c>
      <c r="BG87">
        <f>Product_CustomerSegment_Monthly_Fixed_Cost_Amount[[#This Row],[25-Mar]]+Product_CustomerSegment_Monthly_Variable_Cost_Amount[[#This Row],[25-Mar]]</f>
        <v>5077.7</v>
      </c>
      <c r="BH87">
        <f>Product_CustomerSegment_Monthly_Fixed_Cost_Amount[[#This Row],[25-Apr]]+Product_CustomerSegment_Monthly_Variable_Cost_Amount[[#This Row],[25-Apr]]</f>
        <v>515.5</v>
      </c>
      <c r="BI87">
        <f>Product_CustomerSegment_Monthly_Fixed_Cost_Amount[[#This Row],[25-May]]+Product_CustomerSegment_Monthly_Variable_Cost_Amount[[#This Row],[25-May]]</f>
        <v>14049.45</v>
      </c>
      <c r="BJ87">
        <f>Product_CustomerSegment_Monthly_Fixed_Cost_Amount[[#This Row],[25-Jun]]+Product_CustomerSegment_Monthly_Variable_Cost_Amount[[#This Row],[25-Jun]]</f>
        <v>3157.38</v>
      </c>
      <c r="BK87">
        <f>SUM(Product_CustomerSegment_Monthly_COGS[[#This Row],[25-Jan]:[25-Jun]])</f>
        <v>39142.909999999996</v>
      </c>
    </row>
    <row r="88" spans="1:63">
      <c r="A88" t="s">
        <v>97</v>
      </c>
      <c r="B88" t="s">
        <v>36</v>
      </c>
      <c r="C88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6</v>
      </c>
      <c r="D88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20</v>
      </c>
      <c r="E88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12</v>
      </c>
      <c r="F88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31</v>
      </c>
      <c r="G88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7</v>
      </c>
      <c r="H88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26</v>
      </c>
      <c r="I88">
        <f>SUM(Product_Segment_Monthly_Quantity[[#This Row],[1/1/2025]:[6/1/2025]])</f>
        <v>102</v>
      </c>
      <c r="L88" t="s">
        <v>97</v>
      </c>
      <c r="M88" t="s">
        <v>36</v>
      </c>
      <c r="N88">
        <f>SUMIFS(Table21[1/1/2025],Table21[ProductID],Product_CustomerSegment_Monthly_Variable_Cost[[#This Row],[ProductID]])</f>
        <v>444.44</v>
      </c>
      <c r="O88">
        <f>SUMIFS(Table21[2/1/2025],Table21[ProductID],Product_CustomerSegment_Monthly_Variable_Cost[[#This Row],[ProductID]])</f>
        <v>439.84</v>
      </c>
      <c r="P88">
        <f>SUMIFS(Table21[3/1/2025],Table21[ProductID],Product_CustomerSegment_Monthly_Variable_Cost[[#This Row],[ProductID]])</f>
        <v>439.77</v>
      </c>
      <c r="Q88">
        <f>SUMIFS(Table21[4/1/2025],Table21[ProductID],Product_CustomerSegment_Monthly_Variable_Cost[[#This Row],[ProductID]])</f>
        <v>447.5</v>
      </c>
      <c r="R88">
        <f>SUMIFS(Table21[5/1/2025],Table21[ProductID],Product_CustomerSegment_Monthly_Variable_Cost[[#This Row],[ProductID]])</f>
        <v>452.35</v>
      </c>
      <c r="S88">
        <f>SUMIFS(Table21[6/1/2025],Table21[ProductID],Product_CustomerSegment_Monthly_Variable_Cost[[#This Row],[ProductID]])</f>
        <v>458.23</v>
      </c>
      <c r="V88" t="s">
        <v>97</v>
      </c>
      <c r="W88" t="s">
        <v>36</v>
      </c>
      <c r="X88">
        <f>Product_CustomerSegment_Monthly_Variable_Cost[[#This Row],[25-Jan]]*Product_Segment_Monthly_Quantity[[#This Row],[1/1/2025]]</f>
        <v>2666.64</v>
      </c>
      <c r="Y88">
        <f>Product_CustomerSegment_Monthly_Variable_Cost[[#This Row],[25-Feb]]*Product_Segment_Monthly_Quantity[[#This Row],[2/1/2025]]</f>
        <v>8796.7999999999993</v>
      </c>
      <c r="Z88">
        <f>Product_CustomerSegment_Monthly_Variable_Cost[[#This Row],[25-Mar]]*Product_Segment_Monthly_Quantity[[#This Row],[3/1/2025]]</f>
        <v>5277.24</v>
      </c>
      <c r="AA88">
        <f>Product_CustomerSegment_Monthly_Variable_Cost[[#This Row],[25-Apr]]*Product_Segment_Monthly_Quantity[[#This Row],[4/1/2025]]</f>
        <v>13872.5</v>
      </c>
      <c r="AB88">
        <f>Product_CustomerSegment_Monthly_Variable_Cost[[#This Row],[25-May]]*Product_Segment_Monthly_Quantity[[#This Row],[5/1/2025]]</f>
        <v>3166.4500000000003</v>
      </c>
      <c r="AC88">
        <f>Product_CustomerSegment_Monthly_Variable_Cost[[#This Row],[25-Jun]]*Product_Segment_Monthly_Quantity[[#This Row],[6/1/2025]]</f>
        <v>11913.98</v>
      </c>
      <c r="AD88">
        <f>SUM(Product_CustomerSegment_Monthly_Variable_Cost_Amount[[#This Row],[25-Jan]:[25-Jun]])</f>
        <v>45693.61</v>
      </c>
      <c r="AG88" t="s">
        <v>97</v>
      </c>
      <c r="AH88" t="s">
        <v>36</v>
      </c>
      <c r="AI88">
        <f>SUMIFS(Product_Fixed_Allocation[1/1/2025],Product_Fixed_Allocation[ProductID],Product_CustomerSegment_Monthly_Actual_Fixed_Cost[[#This Row],[ProductID]])</f>
        <v>68</v>
      </c>
      <c r="AJ88">
        <f>SUMIFS(Product_Fixed_Allocation[2/1/2025],Product_Fixed_Allocation[ProductID],Product_CustomerSegment_Monthly_Actual_Fixed_Cost[[#This Row],[ProductID]])</f>
        <v>68</v>
      </c>
      <c r="AK88">
        <f>SUMIFS(Product_Fixed_Allocation[3/1/2025],Product_Fixed_Allocation[ProductID],Product_CustomerSegment_Monthly_Actual_Fixed_Cost[[#This Row],[ProductID]])</f>
        <v>68</v>
      </c>
      <c r="AL88">
        <f>SUMIFS(Product_Fixed_Allocation[4/1/2025],Product_Fixed_Allocation[ProductID],Product_CustomerSegment_Monthly_Actual_Fixed_Cost[[#This Row],[ProductID]])</f>
        <v>68</v>
      </c>
      <c r="AM88">
        <f>SUMIFS(Product_Fixed_Allocation[5/1/2025],Product_Fixed_Allocation[ProductID],Product_CustomerSegment_Monthly_Actual_Fixed_Cost[[#This Row],[ProductID]])</f>
        <v>68</v>
      </c>
      <c r="AN88">
        <f>SUMIFS(Product_Fixed_Allocation[6/1/2025],Product_Fixed_Allocation[ProductID],Product_CustomerSegment_Monthly_Actual_Fixed_Cost[[#This Row],[ProductID]])</f>
        <v>68</v>
      </c>
      <c r="AO88">
        <f>SUM(Product_CustomerSegment_Monthly_Actual_Fixed_Cost[[#This Row],[25-Jan]:[25-Jun]])</f>
        <v>408</v>
      </c>
      <c r="AR88" t="s">
        <v>97</v>
      </c>
      <c r="AS88" t="s">
        <v>36</v>
      </c>
      <c r="AT88">
        <f>Product_CustomerSegment_Monthly_Actual_Fixed_Cost[[#This Row],[25-Jan]]*Product_Segment_Monthly_Quantity[[#This Row],[1/1/2025]]</f>
        <v>408</v>
      </c>
      <c r="AU88">
        <f>Product_CustomerSegment_Monthly_Actual_Fixed_Cost[[#This Row],[25-Feb]]*Product_Segment_Monthly_Quantity[[#This Row],[2/1/2025]]</f>
        <v>1360</v>
      </c>
      <c r="AV88">
        <f>Product_CustomerSegment_Monthly_Actual_Fixed_Cost[[#This Row],[25-Mar]]*Product_Segment_Monthly_Quantity[[#This Row],[3/1/2025]]</f>
        <v>816</v>
      </c>
      <c r="AW88">
        <f>Product_CustomerSegment_Monthly_Actual_Fixed_Cost[[#This Row],[25-Apr]]*Product_Segment_Monthly_Quantity[[#This Row],[4/1/2025]]</f>
        <v>2108</v>
      </c>
      <c r="AX88">
        <f>Product_CustomerSegment_Monthly_Actual_Fixed_Cost[[#This Row],[25-May]]*Product_Segment_Monthly_Quantity[[#This Row],[5/1/2025]]</f>
        <v>476</v>
      </c>
      <c r="AY88">
        <f>Product_CustomerSegment_Monthly_Actual_Fixed_Cost[[#This Row],[25-Jun]]*Product_Segment_Monthly_Quantity[[#This Row],[6/1/2025]]</f>
        <v>1768</v>
      </c>
      <c r="AZ88">
        <f>SUM(Product_CustomerSegment_Monthly_Fixed_Cost_Amount[[#This Row],[25-Jan]:[25-Jun]])</f>
        <v>6936</v>
      </c>
      <c r="BC88" t="s">
        <v>97</v>
      </c>
      <c r="BD88" t="s">
        <v>36</v>
      </c>
      <c r="BE88">
        <f>Product_CustomerSegment_Monthly_Fixed_Cost_Amount[[#This Row],[25-Jan]]+Product_CustomerSegment_Monthly_Variable_Cost_Amount[[#This Row],[25-Jan]]</f>
        <v>3074.64</v>
      </c>
      <c r="BF88">
        <f>Product_CustomerSegment_Monthly_Fixed_Cost_Amount[[#This Row],[25-Feb]]+Product_CustomerSegment_Monthly_Variable_Cost_Amount[[#This Row],[25-Feb]]</f>
        <v>10156.799999999999</v>
      </c>
      <c r="BG88">
        <f>Product_CustomerSegment_Monthly_Fixed_Cost_Amount[[#This Row],[25-Mar]]+Product_CustomerSegment_Monthly_Variable_Cost_Amount[[#This Row],[25-Mar]]</f>
        <v>6093.24</v>
      </c>
      <c r="BH88">
        <f>Product_CustomerSegment_Monthly_Fixed_Cost_Amount[[#This Row],[25-Apr]]+Product_CustomerSegment_Monthly_Variable_Cost_Amount[[#This Row],[25-Apr]]</f>
        <v>15980.5</v>
      </c>
      <c r="BI88">
        <f>Product_CustomerSegment_Monthly_Fixed_Cost_Amount[[#This Row],[25-May]]+Product_CustomerSegment_Monthly_Variable_Cost_Amount[[#This Row],[25-May]]</f>
        <v>3642.4500000000003</v>
      </c>
      <c r="BJ88">
        <f>Product_CustomerSegment_Monthly_Fixed_Cost_Amount[[#This Row],[25-Jun]]+Product_CustomerSegment_Monthly_Variable_Cost_Amount[[#This Row],[25-Jun]]</f>
        <v>13681.98</v>
      </c>
      <c r="BK88">
        <f>SUM(Product_CustomerSegment_Monthly_COGS[[#This Row],[25-Jan]:[25-Jun]])</f>
        <v>52629.61</v>
      </c>
    </row>
    <row r="89" spans="1:63">
      <c r="A89" t="s">
        <v>97</v>
      </c>
      <c r="B89" t="s">
        <v>48</v>
      </c>
      <c r="C89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12</v>
      </c>
      <c r="D89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22</v>
      </c>
      <c r="E89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21</v>
      </c>
      <c r="F89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32</v>
      </c>
      <c r="G89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8</v>
      </c>
      <c r="H89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89">
        <f>SUM(Product_Segment_Monthly_Quantity[[#This Row],[1/1/2025]:[6/1/2025]])</f>
        <v>95</v>
      </c>
      <c r="L89" t="s">
        <v>97</v>
      </c>
      <c r="M89" t="s">
        <v>48</v>
      </c>
      <c r="N89">
        <f>SUMIFS(Table21[1/1/2025],Table21[ProductID],Product_CustomerSegment_Monthly_Variable_Cost[[#This Row],[ProductID]])</f>
        <v>444.44</v>
      </c>
      <c r="O89">
        <f>SUMIFS(Table21[2/1/2025],Table21[ProductID],Product_CustomerSegment_Monthly_Variable_Cost[[#This Row],[ProductID]])</f>
        <v>439.84</v>
      </c>
      <c r="P89">
        <f>SUMIFS(Table21[3/1/2025],Table21[ProductID],Product_CustomerSegment_Monthly_Variable_Cost[[#This Row],[ProductID]])</f>
        <v>439.77</v>
      </c>
      <c r="Q89">
        <f>SUMIFS(Table21[4/1/2025],Table21[ProductID],Product_CustomerSegment_Monthly_Variable_Cost[[#This Row],[ProductID]])</f>
        <v>447.5</v>
      </c>
      <c r="R89">
        <f>SUMIFS(Table21[5/1/2025],Table21[ProductID],Product_CustomerSegment_Monthly_Variable_Cost[[#This Row],[ProductID]])</f>
        <v>452.35</v>
      </c>
      <c r="S89">
        <f>SUMIFS(Table21[6/1/2025],Table21[ProductID],Product_CustomerSegment_Monthly_Variable_Cost[[#This Row],[ProductID]])</f>
        <v>458.23</v>
      </c>
      <c r="V89" t="s">
        <v>97</v>
      </c>
      <c r="W89" t="s">
        <v>48</v>
      </c>
      <c r="X89">
        <f>Product_CustomerSegment_Monthly_Variable_Cost[[#This Row],[25-Jan]]*Product_Segment_Monthly_Quantity[[#This Row],[1/1/2025]]</f>
        <v>5333.28</v>
      </c>
      <c r="Y89">
        <f>Product_CustomerSegment_Monthly_Variable_Cost[[#This Row],[25-Feb]]*Product_Segment_Monthly_Quantity[[#This Row],[2/1/2025]]</f>
        <v>9676.48</v>
      </c>
      <c r="Z89">
        <f>Product_CustomerSegment_Monthly_Variable_Cost[[#This Row],[25-Mar]]*Product_Segment_Monthly_Quantity[[#This Row],[3/1/2025]]</f>
        <v>9235.17</v>
      </c>
      <c r="AA89">
        <f>Product_CustomerSegment_Monthly_Variable_Cost[[#This Row],[25-Apr]]*Product_Segment_Monthly_Quantity[[#This Row],[4/1/2025]]</f>
        <v>14320</v>
      </c>
      <c r="AB89">
        <f>Product_CustomerSegment_Monthly_Variable_Cost[[#This Row],[25-May]]*Product_Segment_Monthly_Quantity[[#This Row],[5/1/2025]]</f>
        <v>3618.8</v>
      </c>
      <c r="AC89">
        <f>Product_CustomerSegment_Monthly_Variable_Cost[[#This Row],[25-Jun]]*Product_Segment_Monthly_Quantity[[#This Row],[6/1/2025]]</f>
        <v>0</v>
      </c>
      <c r="AD89">
        <f>SUM(Product_CustomerSegment_Monthly_Variable_Cost_Amount[[#This Row],[25-Jan]:[25-Jun]])</f>
        <v>42183.73</v>
      </c>
      <c r="AG89" t="s">
        <v>97</v>
      </c>
      <c r="AH89" t="s">
        <v>48</v>
      </c>
      <c r="AI89">
        <f>SUMIFS(Product_Fixed_Allocation[1/1/2025],Product_Fixed_Allocation[ProductID],Product_CustomerSegment_Monthly_Actual_Fixed_Cost[[#This Row],[ProductID]])</f>
        <v>68</v>
      </c>
      <c r="AJ89">
        <f>SUMIFS(Product_Fixed_Allocation[2/1/2025],Product_Fixed_Allocation[ProductID],Product_CustomerSegment_Monthly_Actual_Fixed_Cost[[#This Row],[ProductID]])</f>
        <v>68</v>
      </c>
      <c r="AK89">
        <f>SUMIFS(Product_Fixed_Allocation[3/1/2025],Product_Fixed_Allocation[ProductID],Product_CustomerSegment_Monthly_Actual_Fixed_Cost[[#This Row],[ProductID]])</f>
        <v>68</v>
      </c>
      <c r="AL89">
        <f>SUMIFS(Product_Fixed_Allocation[4/1/2025],Product_Fixed_Allocation[ProductID],Product_CustomerSegment_Monthly_Actual_Fixed_Cost[[#This Row],[ProductID]])</f>
        <v>68</v>
      </c>
      <c r="AM89">
        <f>SUMIFS(Product_Fixed_Allocation[5/1/2025],Product_Fixed_Allocation[ProductID],Product_CustomerSegment_Monthly_Actual_Fixed_Cost[[#This Row],[ProductID]])</f>
        <v>68</v>
      </c>
      <c r="AN89">
        <f>SUMIFS(Product_Fixed_Allocation[6/1/2025],Product_Fixed_Allocation[ProductID],Product_CustomerSegment_Monthly_Actual_Fixed_Cost[[#This Row],[ProductID]])</f>
        <v>68</v>
      </c>
      <c r="AO89">
        <f>SUM(Product_CustomerSegment_Monthly_Actual_Fixed_Cost[[#This Row],[25-Jan]:[25-Jun]])</f>
        <v>408</v>
      </c>
      <c r="AR89" t="s">
        <v>97</v>
      </c>
      <c r="AS89" t="s">
        <v>48</v>
      </c>
      <c r="AT89">
        <f>Product_CustomerSegment_Monthly_Actual_Fixed_Cost[[#This Row],[25-Jan]]*Product_Segment_Monthly_Quantity[[#This Row],[1/1/2025]]</f>
        <v>816</v>
      </c>
      <c r="AU89">
        <f>Product_CustomerSegment_Monthly_Actual_Fixed_Cost[[#This Row],[25-Feb]]*Product_Segment_Monthly_Quantity[[#This Row],[2/1/2025]]</f>
        <v>1496</v>
      </c>
      <c r="AV89">
        <f>Product_CustomerSegment_Monthly_Actual_Fixed_Cost[[#This Row],[25-Mar]]*Product_Segment_Monthly_Quantity[[#This Row],[3/1/2025]]</f>
        <v>1428</v>
      </c>
      <c r="AW89">
        <f>Product_CustomerSegment_Monthly_Actual_Fixed_Cost[[#This Row],[25-Apr]]*Product_Segment_Monthly_Quantity[[#This Row],[4/1/2025]]</f>
        <v>2176</v>
      </c>
      <c r="AX89">
        <f>Product_CustomerSegment_Monthly_Actual_Fixed_Cost[[#This Row],[25-May]]*Product_Segment_Monthly_Quantity[[#This Row],[5/1/2025]]</f>
        <v>544</v>
      </c>
      <c r="AY89">
        <f>Product_CustomerSegment_Monthly_Actual_Fixed_Cost[[#This Row],[25-Jun]]*Product_Segment_Monthly_Quantity[[#This Row],[6/1/2025]]</f>
        <v>0</v>
      </c>
      <c r="AZ89">
        <f>SUM(Product_CustomerSegment_Monthly_Fixed_Cost_Amount[[#This Row],[25-Jan]:[25-Jun]])</f>
        <v>6460</v>
      </c>
      <c r="BC89" t="s">
        <v>97</v>
      </c>
      <c r="BD89" t="s">
        <v>48</v>
      </c>
      <c r="BE89">
        <f>Product_CustomerSegment_Monthly_Fixed_Cost_Amount[[#This Row],[25-Jan]]+Product_CustomerSegment_Monthly_Variable_Cost_Amount[[#This Row],[25-Jan]]</f>
        <v>6149.28</v>
      </c>
      <c r="BF89">
        <f>Product_CustomerSegment_Monthly_Fixed_Cost_Amount[[#This Row],[25-Feb]]+Product_CustomerSegment_Monthly_Variable_Cost_Amount[[#This Row],[25-Feb]]</f>
        <v>11172.48</v>
      </c>
      <c r="BG89">
        <f>Product_CustomerSegment_Monthly_Fixed_Cost_Amount[[#This Row],[25-Mar]]+Product_CustomerSegment_Monthly_Variable_Cost_Amount[[#This Row],[25-Mar]]</f>
        <v>10663.17</v>
      </c>
      <c r="BH89">
        <f>Product_CustomerSegment_Monthly_Fixed_Cost_Amount[[#This Row],[25-Apr]]+Product_CustomerSegment_Monthly_Variable_Cost_Amount[[#This Row],[25-Apr]]</f>
        <v>16496</v>
      </c>
      <c r="BI89">
        <f>Product_CustomerSegment_Monthly_Fixed_Cost_Amount[[#This Row],[25-May]]+Product_CustomerSegment_Monthly_Variable_Cost_Amount[[#This Row],[25-May]]</f>
        <v>4162.8</v>
      </c>
      <c r="BJ89">
        <f>Product_CustomerSegment_Monthly_Fixed_Cost_Amount[[#This Row],[25-Jun]]+Product_CustomerSegment_Monthly_Variable_Cost_Amount[[#This Row],[25-Jun]]</f>
        <v>0</v>
      </c>
      <c r="BK89">
        <f>SUM(Product_CustomerSegment_Monthly_COGS[[#This Row],[25-Jan]:[25-Jun]])</f>
        <v>48643.73</v>
      </c>
    </row>
    <row r="90" spans="1:63">
      <c r="A90" t="s">
        <v>97</v>
      </c>
      <c r="B90" t="s">
        <v>59</v>
      </c>
      <c r="C90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2</v>
      </c>
      <c r="D90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6</v>
      </c>
      <c r="E90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7</v>
      </c>
      <c r="F90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6</v>
      </c>
      <c r="G90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14</v>
      </c>
      <c r="H90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12</v>
      </c>
      <c r="I90">
        <f>SUM(Product_Segment_Monthly_Quantity[[#This Row],[1/1/2025]:[6/1/2025]])</f>
        <v>47</v>
      </c>
      <c r="L90" t="s">
        <v>97</v>
      </c>
      <c r="M90" t="s">
        <v>59</v>
      </c>
      <c r="N90">
        <f>SUMIFS(Table21[1/1/2025],Table21[ProductID],Product_CustomerSegment_Monthly_Variable_Cost[[#This Row],[ProductID]])</f>
        <v>444.44</v>
      </c>
      <c r="O90">
        <f>SUMIFS(Table21[2/1/2025],Table21[ProductID],Product_CustomerSegment_Monthly_Variable_Cost[[#This Row],[ProductID]])</f>
        <v>439.84</v>
      </c>
      <c r="P90">
        <f>SUMIFS(Table21[3/1/2025],Table21[ProductID],Product_CustomerSegment_Monthly_Variable_Cost[[#This Row],[ProductID]])</f>
        <v>439.77</v>
      </c>
      <c r="Q90">
        <f>SUMIFS(Table21[4/1/2025],Table21[ProductID],Product_CustomerSegment_Monthly_Variable_Cost[[#This Row],[ProductID]])</f>
        <v>447.5</v>
      </c>
      <c r="R90">
        <f>SUMIFS(Table21[5/1/2025],Table21[ProductID],Product_CustomerSegment_Monthly_Variable_Cost[[#This Row],[ProductID]])</f>
        <v>452.35</v>
      </c>
      <c r="S90">
        <f>SUMIFS(Table21[6/1/2025],Table21[ProductID],Product_CustomerSegment_Monthly_Variable_Cost[[#This Row],[ProductID]])</f>
        <v>458.23</v>
      </c>
      <c r="V90" t="s">
        <v>97</v>
      </c>
      <c r="W90" t="s">
        <v>59</v>
      </c>
      <c r="X90">
        <f>Product_CustomerSegment_Monthly_Variable_Cost[[#This Row],[25-Jan]]*Product_Segment_Monthly_Quantity[[#This Row],[1/1/2025]]</f>
        <v>888.88</v>
      </c>
      <c r="Y90">
        <f>Product_CustomerSegment_Monthly_Variable_Cost[[#This Row],[25-Feb]]*Product_Segment_Monthly_Quantity[[#This Row],[2/1/2025]]</f>
        <v>2639.04</v>
      </c>
      <c r="Z90">
        <f>Product_CustomerSegment_Monthly_Variable_Cost[[#This Row],[25-Mar]]*Product_Segment_Monthly_Quantity[[#This Row],[3/1/2025]]</f>
        <v>3078.39</v>
      </c>
      <c r="AA90">
        <f>Product_CustomerSegment_Monthly_Variable_Cost[[#This Row],[25-Apr]]*Product_Segment_Monthly_Quantity[[#This Row],[4/1/2025]]</f>
        <v>2685</v>
      </c>
      <c r="AB90">
        <f>Product_CustomerSegment_Monthly_Variable_Cost[[#This Row],[25-May]]*Product_Segment_Monthly_Quantity[[#This Row],[5/1/2025]]</f>
        <v>6332.9000000000005</v>
      </c>
      <c r="AC90">
        <f>Product_CustomerSegment_Monthly_Variable_Cost[[#This Row],[25-Jun]]*Product_Segment_Monthly_Quantity[[#This Row],[6/1/2025]]</f>
        <v>5498.76</v>
      </c>
      <c r="AD90">
        <f>SUM(Product_CustomerSegment_Monthly_Variable_Cost_Amount[[#This Row],[25-Jan]:[25-Jun]])</f>
        <v>21122.97</v>
      </c>
      <c r="AG90" t="s">
        <v>97</v>
      </c>
      <c r="AH90" t="s">
        <v>59</v>
      </c>
      <c r="AI90">
        <f>SUMIFS(Product_Fixed_Allocation[1/1/2025],Product_Fixed_Allocation[ProductID],Product_CustomerSegment_Monthly_Actual_Fixed_Cost[[#This Row],[ProductID]])</f>
        <v>68</v>
      </c>
      <c r="AJ90">
        <f>SUMIFS(Product_Fixed_Allocation[2/1/2025],Product_Fixed_Allocation[ProductID],Product_CustomerSegment_Monthly_Actual_Fixed_Cost[[#This Row],[ProductID]])</f>
        <v>68</v>
      </c>
      <c r="AK90">
        <f>SUMIFS(Product_Fixed_Allocation[3/1/2025],Product_Fixed_Allocation[ProductID],Product_CustomerSegment_Monthly_Actual_Fixed_Cost[[#This Row],[ProductID]])</f>
        <v>68</v>
      </c>
      <c r="AL90">
        <f>SUMIFS(Product_Fixed_Allocation[4/1/2025],Product_Fixed_Allocation[ProductID],Product_CustomerSegment_Monthly_Actual_Fixed_Cost[[#This Row],[ProductID]])</f>
        <v>68</v>
      </c>
      <c r="AM90">
        <f>SUMIFS(Product_Fixed_Allocation[5/1/2025],Product_Fixed_Allocation[ProductID],Product_CustomerSegment_Monthly_Actual_Fixed_Cost[[#This Row],[ProductID]])</f>
        <v>68</v>
      </c>
      <c r="AN90">
        <f>SUMIFS(Product_Fixed_Allocation[6/1/2025],Product_Fixed_Allocation[ProductID],Product_CustomerSegment_Monthly_Actual_Fixed_Cost[[#This Row],[ProductID]])</f>
        <v>68</v>
      </c>
      <c r="AO90">
        <f>SUM(Product_CustomerSegment_Monthly_Actual_Fixed_Cost[[#This Row],[25-Jan]:[25-Jun]])</f>
        <v>408</v>
      </c>
      <c r="AR90" t="s">
        <v>97</v>
      </c>
      <c r="AS90" t="s">
        <v>59</v>
      </c>
      <c r="AT90">
        <f>Product_CustomerSegment_Monthly_Actual_Fixed_Cost[[#This Row],[25-Jan]]*Product_Segment_Monthly_Quantity[[#This Row],[1/1/2025]]</f>
        <v>136</v>
      </c>
      <c r="AU90">
        <f>Product_CustomerSegment_Monthly_Actual_Fixed_Cost[[#This Row],[25-Feb]]*Product_Segment_Monthly_Quantity[[#This Row],[2/1/2025]]</f>
        <v>408</v>
      </c>
      <c r="AV90">
        <f>Product_CustomerSegment_Monthly_Actual_Fixed_Cost[[#This Row],[25-Mar]]*Product_Segment_Monthly_Quantity[[#This Row],[3/1/2025]]</f>
        <v>476</v>
      </c>
      <c r="AW90">
        <f>Product_CustomerSegment_Monthly_Actual_Fixed_Cost[[#This Row],[25-Apr]]*Product_Segment_Monthly_Quantity[[#This Row],[4/1/2025]]</f>
        <v>408</v>
      </c>
      <c r="AX90">
        <f>Product_CustomerSegment_Monthly_Actual_Fixed_Cost[[#This Row],[25-May]]*Product_Segment_Monthly_Quantity[[#This Row],[5/1/2025]]</f>
        <v>952</v>
      </c>
      <c r="AY90">
        <f>Product_CustomerSegment_Monthly_Actual_Fixed_Cost[[#This Row],[25-Jun]]*Product_Segment_Monthly_Quantity[[#This Row],[6/1/2025]]</f>
        <v>816</v>
      </c>
      <c r="AZ90">
        <f>SUM(Product_CustomerSegment_Monthly_Fixed_Cost_Amount[[#This Row],[25-Jan]:[25-Jun]])</f>
        <v>3196</v>
      </c>
      <c r="BC90" t="s">
        <v>97</v>
      </c>
      <c r="BD90" t="s">
        <v>59</v>
      </c>
      <c r="BE90">
        <f>Product_CustomerSegment_Monthly_Fixed_Cost_Amount[[#This Row],[25-Jan]]+Product_CustomerSegment_Monthly_Variable_Cost_Amount[[#This Row],[25-Jan]]</f>
        <v>1024.8800000000001</v>
      </c>
      <c r="BF90">
        <f>Product_CustomerSegment_Monthly_Fixed_Cost_Amount[[#This Row],[25-Feb]]+Product_CustomerSegment_Monthly_Variable_Cost_Amount[[#This Row],[25-Feb]]</f>
        <v>3047.04</v>
      </c>
      <c r="BG90">
        <f>Product_CustomerSegment_Monthly_Fixed_Cost_Amount[[#This Row],[25-Mar]]+Product_CustomerSegment_Monthly_Variable_Cost_Amount[[#This Row],[25-Mar]]</f>
        <v>3554.39</v>
      </c>
      <c r="BH90">
        <f>Product_CustomerSegment_Monthly_Fixed_Cost_Amount[[#This Row],[25-Apr]]+Product_CustomerSegment_Monthly_Variable_Cost_Amount[[#This Row],[25-Apr]]</f>
        <v>3093</v>
      </c>
      <c r="BI90">
        <f>Product_CustomerSegment_Monthly_Fixed_Cost_Amount[[#This Row],[25-May]]+Product_CustomerSegment_Monthly_Variable_Cost_Amount[[#This Row],[25-May]]</f>
        <v>7284.9000000000005</v>
      </c>
      <c r="BJ90">
        <f>Product_CustomerSegment_Monthly_Fixed_Cost_Amount[[#This Row],[25-Jun]]+Product_CustomerSegment_Monthly_Variable_Cost_Amount[[#This Row],[25-Jun]]</f>
        <v>6314.76</v>
      </c>
      <c r="BK90">
        <f>SUM(Product_CustomerSegment_Monthly_COGS[[#This Row],[25-Jan]:[25-Jun]])</f>
        <v>24318.97</v>
      </c>
    </row>
    <row r="91" spans="1:63">
      <c r="A91" t="s">
        <v>97</v>
      </c>
      <c r="B91" t="s">
        <v>44</v>
      </c>
      <c r="C91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</v>
      </c>
      <c r="D91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20</v>
      </c>
      <c r="E91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11</v>
      </c>
      <c r="F91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5</v>
      </c>
      <c r="G91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91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3</v>
      </c>
      <c r="I91">
        <f>SUM(Product_Segment_Monthly_Quantity[[#This Row],[1/1/2025]:[6/1/2025]])</f>
        <v>41</v>
      </c>
      <c r="L91" t="s">
        <v>97</v>
      </c>
      <c r="M91" t="s">
        <v>44</v>
      </c>
      <c r="N91">
        <f>SUMIFS(Table21[1/1/2025],Table21[ProductID],Product_CustomerSegment_Monthly_Variable_Cost[[#This Row],[ProductID]])</f>
        <v>444.44</v>
      </c>
      <c r="O91">
        <f>SUMIFS(Table21[2/1/2025],Table21[ProductID],Product_CustomerSegment_Monthly_Variable_Cost[[#This Row],[ProductID]])</f>
        <v>439.84</v>
      </c>
      <c r="P91">
        <f>SUMIFS(Table21[3/1/2025],Table21[ProductID],Product_CustomerSegment_Monthly_Variable_Cost[[#This Row],[ProductID]])</f>
        <v>439.77</v>
      </c>
      <c r="Q91">
        <f>SUMIFS(Table21[4/1/2025],Table21[ProductID],Product_CustomerSegment_Monthly_Variable_Cost[[#This Row],[ProductID]])</f>
        <v>447.5</v>
      </c>
      <c r="R91">
        <f>SUMIFS(Table21[5/1/2025],Table21[ProductID],Product_CustomerSegment_Monthly_Variable_Cost[[#This Row],[ProductID]])</f>
        <v>452.35</v>
      </c>
      <c r="S91">
        <f>SUMIFS(Table21[6/1/2025],Table21[ProductID],Product_CustomerSegment_Monthly_Variable_Cost[[#This Row],[ProductID]])</f>
        <v>458.23</v>
      </c>
      <c r="V91" t="s">
        <v>97</v>
      </c>
      <c r="W91" t="s">
        <v>44</v>
      </c>
      <c r="X91">
        <f>Product_CustomerSegment_Monthly_Variable_Cost[[#This Row],[25-Jan]]*Product_Segment_Monthly_Quantity[[#This Row],[1/1/2025]]</f>
        <v>444.44</v>
      </c>
      <c r="Y91">
        <f>Product_CustomerSegment_Monthly_Variable_Cost[[#This Row],[25-Feb]]*Product_Segment_Monthly_Quantity[[#This Row],[2/1/2025]]</f>
        <v>8796.7999999999993</v>
      </c>
      <c r="Z91">
        <f>Product_CustomerSegment_Monthly_Variable_Cost[[#This Row],[25-Mar]]*Product_Segment_Monthly_Quantity[[#This Row],[3/1/2025]]</f>
        <v>4837.4699999999993</v>
      </c>
      <c r="AA91">
        <f>Product_CustomerSegment_Monthly_Variable_Cost[[#This Row],[25-Apr]]*Product_Segment_Monthly_Quantity[[#This Row],[4/1/2025]]</f>
        <v>2237.5</v>
      </c>
      <c r="AB91">
        <f>Product_CustomerSegment_Monthly_Variable_Cost[[#This Row],[25-May]]*Product_Segment_Monthly_Quantity[[#This Row],[5/1/2025]]</f>
        <v>452.35</v>
      </c>
      <c r="AC91">
        <f>Product_CustomerSegment_Monthly_Variable_Cost[[#This Row],[25-Jun]]*Product_Segment_Monthly_Quantity[[#This Row],[6/1/2025]]</f>
        <v>1374.69</v>
      </c>
      <c r="AD91">
        <f>SUM(Product_CustomerSegment_Monthly_Variable_Cost_Amount[[#This Row],[25-Jan]:[25-Jun]])</f>
        <v>18143.249999999996</v>
      </c>
      <c r="AG91" t="s">
        <v>97</v>
      </c>
      <c r="AH91" t="s">
        <v>44</v>
      </c>
      <c r="AI91">
        <f>SUMIFS(Product_Fixed_Allocation[1/1/2025],Product_Fixed_Allocation[ProductID],Product_CustomerSegment_Monthly_Actual_Fixed_Cost[[#This Row],[ProductID]])</f>
        <v>68</v>
      </c>
      <c r="AJ91">
        <f>SUMIFS(Product_Fixed_Allocation[2/1/2025],Product_Fixed_Allocation[ProductID],Product_CustomerSegment_Monthly_Actual_Fixed_Cost[[#This Row],[ProductID]])</f>
        <v>68</v>
      </c>
      <c r="AK91">
        <f>SUMIFS(Product_Fixed_Allocation[3/1/2025],Product_Fixed_Allocation[ProductID],Product_CustomerSegment_Monthly_Actual_Fixed_Cost[[#This Row],[ProductID]])</f>
        <v>68</v>
      </c>
      <c r="AL91">
        <f>SUMIFS(Product_Fixed_Allocation[4/1/2025],Product_Fixed_Allocation[ProductID],Product_CustomerSegment_Monthly_Actual_Fixed_Cost[[#This Row],[ProductID]])</f>
        <v>68</v>
      </c>
      <c r="AM91">
        <f>SUMIFS(Product_Fixed_Allocation[5/1/2025],Product_Fixed_Allocation[ProductID],Product_CustomerSegment_Monthly_Actual_Fixed_Cost[[#This Row],[ProductID]])</f>
        <v>68</v>
      </c>
      <c r="AN91">
        <f>SUMIFS(Product_Fixed_Allocation[6/1/2025],Product_Fixed_Allocation[ProductID],Product_CustomerSegment_Monthly_Actual_Fixed_Cost[[#This Row],[ProductID]])</f>
        <v>68</v>
      </c>
      <c r="AO91">
        <f>SUM(Product_CustomerSegment_Monthly_Actual_Fixed_Cost[[#This Row],[25-Jan]:[25-Jun]])</f>
        <v>408</v>
      </c>
      <c r="AR91" t="s">
        <v>97</v>
      </c>
      <c r="AS91" t="s">
        <v>44</v>
      </c>
      <c r="AT91">
        <f>Product_CustomerSegment_Monthly_Actual_Fixed_Cost[[#This Row],[25-Jan]]*Product_Segment_Monthly_Quantity[[#This Row],[1/1/2025]]</f>
        <v>68</v>
      </c>
      <c r="AU91">
        <f>Product_CustomerSegment_Monthly_Actual_Fixed_Cost[[#This Row],[25-Feb]]*Product_Segment_Monthly_Quantity[[#This Row],[2/1/2025]]</f>
        <v>1360</v>
      </c>
      <c r="AV91">
        <f>Product_CustomerSegment_Monthly_Actual_Fixed_Cost[[#This Row],[25-Mar]]*Product_Segment_Monthly_Quantity[[#This Row],[3/1/2025]]</f>
        <v>748</v>
      </c>
      <c r="AW91">
        <f>Product_CustomerSegment_Monthly_Actual_Fixed_Cost[[#This Row],[25-Apr]]*Product_Segment_Monthly_Quantity[[#This Row],[4/1/2025]]</f>
        <v>340</v>
      </c>
      <c r="AX91">
        <f>Product_CustomerSegment_Monthly_Actual_Fixed_Cost[[#This Row],[25-May]]*Product_Segment_Monthly_Quantity[[#This Row],[5/1/2025]]</f>
        <v>68</v>
      </c>
      <c r="AY91">
        <f>Product_CustomerSegment_Monthly_Actual_Fixed_Cost[[#This Row],[25-Jun]]*Product_Segment_Monthly_Quantity[[#This Row],[6/1/2025]]</f>
        <v>204</v>
      </c>
      <c r="AZ91">
        <f>SUM(Product_CustomerSegment_Monthly_Fixed_Cost_Amount[[#This Row],[25-Jan]:[25-Jun]])</f>
        <v>2788</v>
      </c>
      <c r="BC91" t="s">
        <v>97</v>
      </c>
      <c r="BD91" t="s">
        <v>44</v>
      </c>
      <c r="BE91">
        <f>Product_CustomerSegment_Monthly_Fixed_Cost_Amount[[#This Row],[25-Jan]]+Product_CustomerSegment_Monthly_Variable_Cost_Amount[[#This Row],[25-Jan]]</f>
        <v>512.44000000000005</v>
      </c>
      <c r="BF91">
        <f>Product_CustomerSegment_Monthly_Fixed_Cost_Amount[[#This Row],[25-Feb]]+Product_CustomerSegment_Monthly_Variable_Cost_Amount[[#This Row],[25-Feb]]</f>
        <v>10156.799999999999</v>
      </c>
      <c r="BG91">
        <f>Product_CustomerSegment_Monthly_Fixed_Cost_Amount[[#This Row],[25-Mar]]+Product_CustomerSegment_Monthly_Variable_Cost_Amount[[#This Row],[25-Mar]]</f>
        <v>5585.4699999999993</v>
      </c>
      <c r="BH91">
        <f>Product_CustomerSegment_Monthly_Fixed_Cost_Amount[[#This Row],[25-Apr]]+Product_CustomerSegment_Monthly_Variable_Cost_Amount[[#This Row],[25-Apr]]</f>
        <v>2577.5</v>
      </c>
      <c r="BI91">
        <f>Product_CustomerSegment_Monthly_Fixed_Cost_Amount[[#This Row],[25-May]]+Product_CustomerSegment_Monthly_Variable_Cost_Amount[[#This Row],[25-May]]</f>
        <v>520.35</v>
      </c>
      <c r="BJ91">
        <f>Product_CustomerSegment_Monthly_Fixed_Cost_Amount[[#This Row],[25-Jun]]+Product_CustomerSegment_Monthly_Variable_Cost_Amount[[#This Row],[25-Jun]]</f>
        <v>1578.69</v>
      </c>
      <c r="BK91">
        <f>SUM(Product_CustomerSegment_Monthly_COGS[[#This Row],[25-Jan]:[25-Jun]])</f>
        <v>20931.249999999996</v>
      </c>
    </row>
    <row r="92" spans="1:63">
      <c r="A92" t="s">
        <v>152</v>
      </c>
      <c r="B92" t="s">
        <v>28</v>
      </c>
      <c r="C92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6</v>
      </c>
      <c r="D92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3</v>
      </c>
      <c r="E92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11</v>
      </c>
      <c r="F92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0</v>
      </c>
      <c r="G92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92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0</v>
      </c>
      <c r="I92">
        <f>SUM(Product_Segment_Monthly_Quantity[[#This Row],[1/1/2025]:[6/1/2025]])</f>
        <v>21</v>
      </c>
      <c r="L92" t="s">
        <v>152</v>
      </c>
      <c r="M92" t="s">
        <v>28</v>
      </c>
      <c r="N92">
        <f>SUMIFS(Table21[1/1/2025],Table21[ProductID],Product_CustomerSegment_Monthly_Variable_Cost[[#This Row],[ProductID]])</f>
        <v>386.6</v>
      </c>
      <c r="O92">
        <f>SUMIFS(Table21[2/1/2025],Table21[ProductID],Product_CustomerSegment_Monthly_Variable_Cost[[#This Row],[ProductID]])</f>
        <v>403.12</v>
      </c>
      <c r="P92">
        <f>SUMIFS(Table21[3/1/2025],Table21[ProductID],Product_CustomerSegment_Monthly_Variable_Cost[[#This Row],[ProductID]])</f>
        <v>375.71</v>
      </c>
      <c r="Q92">
        <f>SUMIFS(Table21[4/1/2025],Table21[ProductID],Product_CustomerSegment_Monthly_Variable_Cost[[#This Row],[ProductID]])</f>
        <v>381.31</v>
      </c>
      <c r="R92">
        <f>SUMIFS(Table21[5/1/2025],Table21[ProductID],Product_CustomerSegment_Monthly_Variable_Cost[[#This Row],[ProductID]])</f>
        <v>396.55</v>
      </c>
      <c r="S92">
        <f>SUMIFS(Table21[6/1/2025],Table21[ProductID],Product_CustomerSegment_Monthly_Variable_Cost[[#This Row],[ProductID]])</f>
        <v>408.48</v>
      </c>
      <c r="V92" t="s">
        <v>152</v>
      </c>
      <c r="W92" t="s">
        <v>28</v>
      </c>
      <c r="X92">
        <f>Product_CustomerSegment_Monthly_Variable_Cost[[#This Row],[25-Jan]]*Product_Segment_Monthly_Quantity[[#This Row],[1/1/2025]]</f>
        <v>2319.6000000000004</v>
      </c>
      <c r="Y92">
        <f>Product_CustomerSegment_Monthly_Variable_Cost[[#This Row],[25-Feb]]*Product_Segment_Monthly_Quantity[[#This Row],[2/1/2025]]</f>
        <v>1209.3600000000001</v>
      </c>
      <c r="Z92">
        <f>Product_CustomerSegment_Monthly_Variable_Cost[[#This Row],[25-Mar]]*Product_Segment_Monthly_Quantity[[#This Row],[3/1/2025]]</f>
        <v>4132.8099999999995</v>
      </c>
      <c r="AA92">
        <f>Product_CustomerSegment_Monthly_Variable_Cost[[#This Row],[25-Apr]]*Product_Segment_Monthly_Quantity[[#This Row],[4/1/2025]]</f>
        <v>0</v>
      </c>
      <c r="AB92">
        <f>Product_CustomerSegment_Monthly_Variable_Cost[[#This Row],[25-May]]*Product_Segment_Monthly_Quantity[[#This Row],[5/1/2025]]</f>
        <v>396.55</v>
      </c>
      <c r="AC92">
        <f>Product_CustomerSegment_Monthly_Variable_Cost[[#This Row],[25-Jun]]*Product_Segment_Monthly_Quantity[[#This Row],[6/1/2025]]</f>
        <v>0</v>
      </c>
      <c r="AD92">
        <f>SUM(Product_CustomerSegment_Monthly_Variable_Cost_Amount[[#This Row],[25-Jan]:[25-Jun]])</f>
        <v>8058.3200000000006</v>
      </c>
      <c r="AG92" t="s">
        <v>152</v>
      </c>
      <c r="AH92" t="s">
        <v>28</v>
      </c>
      <c r="AI92">
        <f>SUMIFS(Product_Fixed_Allocation[1/1/2025],Product_Fixed_Allocation[ProductID],Product_CustomerSegment_Monthly_Actual_Fixed_Cost[[#This Row],[ProductID]])</f>
        <v>72</v>
      </c>
      <c r="AJ92">
        <f>SUMIFS(Product_Fixed_Allocation[2/1/2025],Product_Fixed_Allocation[ProductID],Product_CustomerSegment_Monthly_Actual_Fixed_Cost[[#This Row],[ProductID]])</f>
        <v>72</v>
      </c>
      <c r="AK92">
        <f>SUMIFS(Product_Fixed_Allocation[3/1/2025],Product_Fixed_Allocation[ProductID],Product_CustomerSegment_Monthly_Actual_Fixed_Cost[[#This Row],[ProductID]])</f>
        <v>72</v>
      </c>
      <c r="AL92">
        <f>SUMIFS(Product_Fixed_Allocation[4/1/2025],Product_Fixed_Allocation[ProductID],Product_CustomerSegment_Monthly_Actual_Fixed_Cost[[#This Row],[ProductID]])</f>
        <v>72</v>
      </c>
      <c r="AM92">
        <f>SUMIFS(Product_Fixed_Allocation[5/1/2025],Product_Fixed_Allocation[ProductID],Product_CustomerSegment_Monthly_Actual_Fixed_Cost[[#This Row],[ProductID]])</f>
        <v>72</v>
      </c>
      <c r="AN92">
        <f>SUMIFS(Product_Fixed_Allocation[6/1/2025],Product_Fixed_Allocation[ProductID],Product_CustomerSegment_Monthly_Actual_Fixed_Cost[[#This Row],[ProductID]])</f>
        <v>72</v>
      </c>
      <c r="AO92">
        <f>SUM(Product_CustomerSegment_Monthly_Actual_Fixed_Cost[[#This Row],[25-Jan]:[25-Jun]])</f>
        <v>432</v>
      </c>
      <c r="AR92" t="s">
        <v>152</v>
      </c>
      <c r="AS92" t="s">
        <v>28</v>
      </c>
      <c r="AT92">
        <f>Product_CustomerSegment_Monthly_Actual_Fixed_Cost[[#This Row],[25-Jan]]*Product_Segment_Monthly_Quantity[[#This Row],[1/1/2025]]</f>
        <v>432</v>
      </c>
      <c r="AU92">
        <f>Product_CustomerSegment_Monthly_Actual_Fixed_Cost[[#This Row],[25-Feb]]*Product_Segment_Monthly_Quantity[[#This Row],[2/1/2025]]</f>
        <v>216</v>
      </c>
      <c r="AV92">
        <f>Product_CustomerSegment_Monthly_Actual_Fixed_Cost[[#This Row],[25-Mar]]*Product_Segment_Monthly_Quantity[[#This Row],[3/1/2025]]</f>
        <v>792</v>
      </c>
      <c r="AW92">
        <f>Product_CustomerSegment_Monthly_Actual_Fixed_Cost[[#This Row],[25-Apr]]*Product_Segment_Monthly_Quantity[[#This Row],[4/1/2025]]</f>
        <v>0</v>
      </c>
      <c r="AX92">
        <f>Product_CustomerSegment_Monthly_Actual_Fixed_Cost[[#This Row],[25-May]]*Product_Segment_Monthly_Quantity[[#This Row],[5/1/2025]]</f>
        <v>72</v>
      </c>
      <c r="AY92">
        <f>Product_CustomerSegment_Monthly_Actual_Fixed_Cost[[#This Row],[25-Jun]]*Product_Segment_Monthly_Quantity[[#This Row],[6/1/2025]]</f>
        <v>0</v>
      </c>
      <c r="AZ92">
        <f>SUM(Product_CustomerSegment_Monthly_Fixed_Cost_Amount[[#This Row],[25-Jan]:[25-Jun]])</f>
        <v>1512</v>
      </c>
      <c r="BC92" t="s">
        <v>152</v>
      </c>
      <c r="BD92" t="s">
        <v>28</v>
      </c>
      <c r="BE92">
        <f>Product_CustomerSegment_Monthly_Fixed_Cost_Amount[[#This Row],[25-Jan]]+Product_CustomerSegment_Monthly_Variable_Cost_Amount[[#This Row],[25-Jan]]</f>
        <v>2751.6000000000004</v>
      </c>
      <c r="BF92">
        <f>Product_CustomerSegment_Monthly_Fixed_Cost_Amount[[#This Row],[25-Feb]]+Product_CustomerSegment_Monthly_Variable_Cost_Amount[[#This Row],[25-Feb]]</f>
        <v>1425.3600000000001</v>
      </c>
      <c r="BG92">
        <f>Product_CustomerSegment_Monthly_Fixed_Cost_Amount[[#This Row],[25-Mar]]+Product_CustomerSegment_Monthly_Variable_Cost_Amount[[#This Row],[25-Mar]]</f>
        <v>4924.8099999999995</v>
      </c>
      <c r="BH92">
        <f>Product_CustomerSegment_Monthly_Fixed_Cost_Amount[[#This Row],[25-Apr]]+Product_CustomerSegment_Monthly_Variable_Cost_Amount[[#This Row],[25-Apr]]</f>
        <v>0</v>
      </c>
      <c r="BI92">
        <f>Product_CustomerSegment_Monthly_Fixed_Cost_Amount[[#This Row],[25-May]]+Product_CustomerSegment_Monthly_Variable_Cost_Amount[[#This Row],[25-May]]</f>
        <v>468.55</v>
      </c>
      <c r="BJ92">
        <f>Product_CustomerSegment_Monthly_Fixed_Cost_Amount[[#This Row],[25-Jun]]+Product_CustomerSegment_Monthly_Variable_Cost_Amount[[#This Row],[25-Jun]]</f>
        <v>0</v>
      </c>
      <c r="BK92">
        <f>SUM(Product_CustomerSegment_Monthly_COGS[[#This Row],[25-Jan]:[25-Jun]])</f>
        <v>9570.32</v>
      </c>
    </row>
    <row r="93" spans="1:63">
      <c r="A93" t="s">
        <v>152</v>
      </c>
      <c r="B93" t="s">
        <v>36</v>
      </c>
      <c r="C93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19</v>
      </c>
      <c r="D93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23</v>
      </c>
      <c r="E93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18</v>
      </c>
      <c r="F93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27</v>
      </c>
      <c r="G93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25</v>
      </c>
      <c r="H93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17</v>
      </c>
      <c r="I93">
        <f>SUM(Product_Segment_Monthly_Quantity[[#This Row],[1/1/2025]:[6/1/2025]])</f>
        <v>129</v>
      </c>
      <c r="L93" t="s">
        <v>152</v>
      </c>
      <c r="M93" t="s">
        <v>36</v>
      </c>
      <c r="N93">
        <f>SUMIFS(Table21[1/1/2025],Table21[ProductID],Product_CustomerSegment_Monthly_Variable_Cost[[#This Row],[ProductID]])</f>
        <v>386.6</v>
      </c>
      <c r="O93">
        <f>SUMIFS(Table21[2/1/2025],Table21[ProductID],Product_CustomerSegment_Monthly_Variable_Cost[[#This Row],[ProductID]])</f>
        <v>403.12</v>
      </c>
      <c r="P93">
        <f>SUMIFS(Table21[3/1/2025],Table21[ProductID],Product_CustomerSegment_Monthly_Variable_Cost[[#This Row],[ProductID]])</f>
        <v>375.71</v>
      </c>
      <c r="Q93">
        <f>SUMIFS(Table21[4/1/2025],Table21[ProductID],Product_CustomerSegment_Monthly_Variable_Cost[[#This Row],[ProductID]])</f>
        <v>381.31</v>
      </c>
      <c r="R93">
        <f>SUMIFS(Table21[5/1/2025],Table21[ProductID],Product_CustomerSegment_Monthly_Variable_Cost[[#This Row],[ProductID]])</f>
        <v>396.55</v>
      </c>
      <c r="S93">
        <f>SUMIFS(Table21[6/1/2025],Table21[ProductID],Product_CustomerSegment_Monthly_Variable_Cost[[#This Row],[ProductID]])</f>
        <v>408.48</v>
      </c>
      <c r="V93" t="s">
        <v>152</v>
      </c>
      <c r="W93" t="s">
        <v>36</v>
      </c>
      <c r="X93">
        <f>Product_CustomerSegment_Monthly_Variable_Cost[[#This Row],[25-Jan]]*Product_Segment_Monthly_Quantity[[#This Row],[1/1/2025]]</f>
        <v>7345.4000000000005</v>
      </c>
      <c r="Y93">
        <f>Product_CustomerSegment_Monthly_Variable_Cost[[#This Row],[25-Feb]]*Product_Segment_Monthly_Quantity[[#This Row],[2/1/2025]]</f>
        <v>9271.76</v>
      </c>
      <c r="Z93">
        <f>Product_CustomerSegment_Monthly_Variable_Cost[[#This Row],[25-Mar]]*Product_Segment_Monthly_Quantity[[#This Row],[3/1/2025]]</f>
        <v>6762.78</v>
      </c>
      <c r="AA93">
        <f>Product_CustomerSegment_Monthly_Variable_Cost[[#This Row],[25-Apr]]*Product_Segment_Monthly_Quantity[[#This Row],[4/1/2025]]</f>
        <v>10295.370000000001</v>
      </c>
      <c r="AB93">
        <f>Product_CustomerSegment_Monthly_Variable_Cost[[#This Row],[25-May]]*Product_Segment_Monthly_Quantity[[#This Row],[5/1/2025]]</f>
        <v>9913.75</v>
      </c>
      <c r="AC93">
        <f>Product_CustomerSegment_Monthly_Variable_Cost[[#This Row],[25-Jun]]*Product_Segment_Monthly_Quantity[[#This Row],[6/1/2025]]</f>
        <v>6944.16</v>
      </c>
      <c r="AD93">
        <f>SUM(Product_CustomerSegment_Monthly_Variable_Cost_Amount[[#This Row],[25-Jan]:[25-Jun]])</f>
        <v>50533.22</v>
      </c>
      <c r="AG93" t="s">
        <v>152</v>
      </c>
      <c r="AH93" t="s">
        <v>36</v>
      </c>
      <c r="AI93">
        <f>SUMIFS(Product_Fixed_Allocation[1/1/2025],Product_Fixed_Allocation[ProductID],Product_CustomerSegment_Monthly_Actual_Fixed_Cost[[#This Row],[ProductID]])</f>
        <v>72</v>
      </c>
      <c r="AJ93">
        <f>SUMIFS(Product_Fixed_Allocation[2/1/2025],Product_Fixed_Allocation[ProductID],Product_CustomerSegment_Monthly_Actual_Fixed_Cost[[#This Row],[ProductID]])</f>
        <v>72</v>
      </c>
      <c r="AK93">
        <f>SUMIFS(Product_Fixed_Allocation[3/1/2025],Product_Fixed_Allocation[ProductID],Product_CustomerSegment_Monthly_Actual_Fixed_Cost[[#This Row],[ProductID]])</f>
        <v>72</v>
      </c>
      <c r="AL93">
        <f>SUMIFS(Product_Fixed_Allocation[4/1/2025],Product_Fixed_Allocation[ProductID],Product_CustomerSegment_Monthly_Actual_Fixed_Cost[[#This Row],[ProductID]])</f>
        <v>72</v>
      </c>
      <c r="AM93">
        <f>SUMIFS(Product_Fixed_Allocation[5/1/2025],Product_Fixed_Allocation[ProductID],Product_CustomerSegment_Monthly_Actual_Fixed_Cost[[#This Row],[ProductID]])</f>
        <v>72</v>
      </c>
      <c r="AN93">
        <f>SUMIFS(Product_Fixed_Allocation[6/1/2025],Product_Fixed_Allocation[ProductID],Product_CustomerSegment_Monthly_Actual_Fixed_Cost[[#This Row],[ProductID]])</f>
        <v>72</v>
      </c>
      <c r="AO93">
        <f>SUM(Product_CustomerSegment_Monthly_Actual_Fixed_Cost[[#This Row],[25-Jan]:[25-Jun]])</f>
        <v>432</v>
      </c>
      <c r="AR93" t="s">
        <v>152</v>
      </c>
      <c r="AS93" t="s">
        <v>36</v>
      </c>
      <c r="AT93">
        <f>Product_CustomerSegment_Monthly_Actual_Fixed_Cost[[#This Row],[25-Jan]]*Product_Segment_Monthly_Quantity[[#This Row],[1/1/2025]]</f>
        <v>1368</v>
      </c>
      <c r="AU93">
        <f>Product_CustomerSegment_Monthly_Actual_Fixed_Cost[[#This Row],[25-Feb]]*Product_Segment_Monthly_Quantity[[#This Row],[2/1/2025]]</f>
        <v>1656</v>
      </c>
      <c r="AV93">
        <f>Product_CustomerSegment_Monthly_Actual_Fixed_Cost[[#This Row],[25-Mar]]*Product_Segment_Monthly_Quantity[[#This Row],[3/1/2025]]</f>
        <v>1296</v>
      </c>
      <c r="AW93">
        <f>Product_CustomerSegment_Monthly_Actual_Fixed_Cost[[#This Row],[25-Apr]]*Product_Segment_Monthly_Quantity[[#This Row],[4/1/2025]]</f>
        <v>1944</v>
      </c>
      <c r="AX93">
        <f>Product_CustomerSegment_Monthly_Actual_Fixed_Cost[[#This Row],[25-May]]*Product_Segment_Monthly_Quantity[[#This Row],[5/1/2025]]</f>
        <v>1800</v>
      </c>
      <c r="AY93">
        <f>Product_CustomerSegment_Monthly_Actual_Fixed_Cost[[#This Row],[25-Jun]]*Product_Segment_Monthly_Quantity[[#This Row],[6/1/2025]]</f>
        <v>1224</v>
      </c>
      <c r="AZ93">
        <f>SUM(Product_CustomerSegment_Monthly_Fixed_Cost_Amount[[#This Row],[25-Jan]:[25-Jun]])</f>
        <v>9288</v>
      </c>
      <c r="BC93" t="s">
        <v>152</v>
      </c>
      <c r="BD93" t="s">
        <v>36</v>
      </c>
      <c r="BE93">
        <f>Product_CustomerSegment_Monthly_Fixed_Cost_Amount[[#This Row],[25-Jan]]+Product_CustomerSegment_Monthly_Variable_Cost_Amount[[#This Row],[25-Jan]]</f>
        <v>8713.4000000000015</v>
      </c>
      <c r="BF93">
        <f>Product_CustomerSegment_Monthly_Fixed_Cost_Amount[[#This Row],[25-Feb]]+Product_CustomerSegment_Monthly_Variable_Cost_Amount[[#This Row],[25-Feb]]</f>
        <v>10927.76</v>
      </c>
      <c r="BG93">
        <f>Product_CustomerSegment_Monthly_Fixed_Cost_Amount[[#This Row],[25-Mar]]+Product_CustomerSegment_Monthly_Variable_Cost_Amount[[#This Row],[25-Mar]]</f>
        <v>8058.78</v>
      </c>
      <c r="BH93">
        <f>Product_CustomerSegment_Monthly_Fixed_Cost_Amount[[#This Row],[25-Apr]]+Product_CustomerSegment_Monthly_Variable_Cost_Amount[[#This Row],[25-Apr]]</f>
        <v>12239.37</v>
      </c>
      <c r="BI93">
        <f>Product_CustomerSegment_Monthly_Fixed_Cost_Amount[[#This Row],[25-May]]+Product_CustomerSegment_Monthly_Variable_Cost_Amount[[#This Row],[25-May]]</f>
        <v>11713.75</v>
      </c>
      <c r="BJ93">
        <f>Product_CustomerSegment_Monthly_Fixed_Cost_Amount[[#This Row],[25-Jun]]+Product_CustomerSegment_Monthly_Variable_Cost_Amount[[#This Row],[25-Jun]]</f>
        <v>8168.16</v>
      </c>
      <c r="BK93">
        <f>SUM(Product_CustomerSegment_Monthly_COGS[[#This Row],[25-Jan]:[25-Jun]])</f>
        <v>59821.22</v>
      </c>
    </row>
    <row r="94" spans="1:63">
      <c r="A94" t="s">
        <v>152</v>
      </c>
      <c r="B94" t="s">
        <v>48</v>
      </c>
      <c r="C94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6</v>
      </c>
      <c r="D94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0</v>
      </c>
      <c r="E94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7</v>
      </c>
      <c r="F94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2</v>
      </c>
      <c r="G94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1</v>
      </c>
      <c r="H94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9</v>
      </c>
      <c r="I94">
        <f>SUM(Product_Segment_Monthly_Quantity[[#This Row],[1/1/2025]:[6/1/2025]])</f>
        <v>25</v>
      </c>
      <c r="L94" t="s">
        <v>152</v>
      </c>
      <c r="M94" t="s">
        <v>48</v>
      </c>
      <c r="N94">
        <f>SUMIFS(Table21[1/1/2025],Table21[ProductID],Product_CustomerSegment_Monthly_Variable_Cost[[#This Row],[ProductID]])</f>
        <v>386.6</v>
      </c>
      <c r="O94">
        <f>SUMIFS(Table21[2/1/2025],Table21[ProductID],Product_CustomerSegment_Monthly_Variable_Cost[[#This Row],[ProductID]])</f>
        <v>403.12</v>
      </c>
      <c r="P94">
        <f>SUMIFS(Table21[3/1/2025],Table21[ProductID],Product_CustomerSegment_Monthly_Variable_Cost[[#This Row],[ProductID]])</f>
        <v>375.71</v>
      </c>
      <c r="Q94">
        <f>SUMIFS(Table21[4/1/2025],Table21[ProductID],Product_CustomerSegment_Monthly_Variable_Cost[[#This Row],[ProductID]])</f>
        <v>381.31</v>
      </c>
      <c r="R94">
        <f>SUMIFS(Table21[5/1/2025],Table21[ProductID],Product_CustomerSegment_Monthly_Variable_Cost[[#This Row],[ProductID]])</f>
        <v>396.55</v>
      </c>
      <c r="S94">
        <f>SUMIFS(Table21[6/1/2025],Table21[ProductID],Product_CustomerSegment_Monthly_Variable_Cost[[#This Row],[ProductID]])</f>
        <v>408.48</v>
      </c>
      <c r="V94" t="s">
        <v>152</v>
      </c>
      <c r="W94" t="s">
        <v>48</v>
      </c>
      <c r="X94">
        <f>Product_CustomerSegment_Monthly_Variable_Cost[[#This Row],[25-Jan]]*Product_Segment_Monthly_Quantity[[#This Row],[1/1/2025]]</f>
        <v>2319.6000000000004</v>
      </c>
      <c r="Y94">
        <f>Product_CustomerSegment_Monthly_Variable_Cost[[#This Row],[25-Feb]]*Product_Segment_Monthly_Quantity[[#This Row],[2/1/2025]]</f>
        <v>0</v>
      </c>
      <c r="Z94">
        <f>Product_CustomerSegment_Monthly_Variable_Cost[[#This Row],[25-Mar]]*Product_Segment_Monthly_Quantity[[#This Row],[3/1/2025]]</f>
        <v>2629.97</v>
      </c>
      <c r="AA94">
        <f>Product_CustomerSegment_Monthly_Variable_Cost[[#This Row],[25-Apr]]*Product_Segment_Monthly_Quantity[[#This Row],[4/1/2025]]</f>
        <v>762.62</v>
      </c>
      <c r="AB94">
        <f>Product_CustomerSegment_Monthly_Variable_Cost[[#This Row],[25-May]]*Product_Segment_Monthly_Quantity[[#This Row],[5/1/2025]]</f>
        <v>396.55</v>
      </c>
      <c r="AC94">
        <f>Product_CustomerSegment_Monthly_Variable_Cost[[#This Row],[25-Jun]]*Product_Segment_Monthly_Quantity[[#This Row],[6/1/2025]]</f>
        <v>3676.32</v>
      </c>
      <c r="AD94">
        <f>SUM(Product_CustomerSegment_Monthly_Variable_Cost_Amount[[#This Row],[25-Jan]:[25-Jun]])</f>
        <v>9785.06</v>
      </c>
      <c r="AG94" t="s">
        <v>152</v>
      </c>
      <c r="AH94" t="s">
        <v>48</v>
      </c>
      <c r="AI94">
        <f>SUMIFS(Product_Fixed_Allocation[1/1/2025],Product_Fixed_Allocation[ProductID],Product_CustomerSegment_Monthly_Actual_Fixed_Cost[[#This Row],[ProductID]])</f>
        <v>72</v>
      </c>
      <c r="AJ94">
        <f>SUMIFS(Product_Fixed_Allocation[2/1/2025],Product_Fixed_Allocation[ProductID],Product_CustomerSegment_Monthly_Actual_Fixed_Cost[[#This Row],[ProductID]])</f>
        <v>72</v>
      </c>
      <c r="AK94">
        <f>SUMIFS(Product_Fixed_Allocation[3/1/2025],Product_Fixed_Allocation[ProductID],Product_CustomerSegment_Monthly_Actual_Fixed_Cost[[#This Row],[ProductID]])</f>
        <v>72</v>
      </c>
      <c r="AL94">
        <f>SUMIFS(Product_Fixed_Allocation[4/1/2025],Product_Fixed_Allocation[ProductID],Product_CustomerSegment_Monthly_Actual_Fixed_Cost[[#This Row],[ProductID]])</f>
        <v>72</v>
      </c>
      <c r="AM94">
        <f>SUMIFS(Product_Fixed_Allocation[5/1/2025],Product_Fixed_Allocation[ProductID],Product_CustomerSegment_Monthly_Actual_Fixed_Cost[[#This Row],[ProductID]])</f>
        <v>72</v>
      </c>
      <c r="AN94">
        <f>SUMIFS(Product_Fixed_Allocation[6/1/2025],Product_Fixed_Allocation[ProductID],Product_CustomerSegment_Monthly_Actual_Fixed_Cost[[#This Row],[ProductID]])</f>
        <v>72</v>
      </c>
      <c r="AO94">
        <f>SUM(Product_CustomerSegment_Monthly_Actual_Fixed_Cost[[#This Row],[25-Jan]:[25-Jun]])</f>
        <v>432</v>
      </c>
      <c r="AR94" t="s">
        <v>152</v>
      </c>
      <c r="AS94" t="s">
        <v>48</v>
      </c>
      <c r="AT94">
        <f>Product_CustomerSegment_Monthly_Actual_Fixed_Cost[[#This Row],[25-Jan]]*Product_Segment_Monthly_Quantity[[#This Row],[1/1/2025]]</f>
        <v>432</v>
      </c>
      <c r="AU94">
        <f>Product_CustomerSegment_Monthly_Actual_Fixed_Cost[[#This Row],[25-Feb]]*Product_Segment_Monthly_Quantity[[#This Row],[2/1/2025]]</f>
        <v>0</v>
      </c>
      <c r="AV94">
        <f>Product_CustomerSegment_Monthly_Actual_Fixed_Cost[[#This Row],[25-Mar]]*Product_Segment_Monthly_Quantity[[#This Row],[3/1/2025]]</f>
        <v>504</v>
      </c>
      <c r="AW94">
        <f>Product_CustomerSegment_Monthly_Actual_Fixed_Cost[[#This Row],[25-Apr]]*Product_Segment_Monthly_Quantity[[#This Row],[4/1/2025]]</f>
        <v>144</v>
      </c>
      <c r="AX94">
        <f>Product_CustomerSegment_Monthly_Actual_Fixed_Cost[[#This Row],[25-May]]*Product_Segment_Monthly_Quantity[[#This Row],[5/1/2025]]</f>
        <v>72</v>
      </c>
      <c r="AY94">
        <f>Product_CustomerSegment_Monthly_Actual_Fixed_Cost[[#This Row],[25-Jun]]*Product_Segment_Monthly_Quantity[[#This Row],[6/1/2025]]</f>
        <v>648</v>
      </c>
      <c r="AZ94">
        <f>SUM(Product_CustomerSegment_Monthly_Fixed_Cost_Amount[[#This Row],[25-Jan]:[25-Jun]])</f>
        <v>1800</v>
      </c>
      <c r="BC94" t="s">
        <v>152</v>
      </c>
      <c r="BD94" t="s">
        <v>48</v>
      </c>
      <c r="BE94">
        <f>Product_CustomerSegment_Monthly_Fixed_Cost_Amount[[#This Row],[25-Jan]]+Product_CustomerSegment_Monthly_Variable_Cost_Amount[[#This Row],[25-Jan]]</f>
        <v>2751.6000000000004</v>
      </c>
      <c r="BF94">
        <f>Product_CustomerSegment_Monthly_Fixed_Cost_Amount[[#This Row],[25-Feb]]+Product_CustomerSegment_Monthly_Variable_Cost_Amount[[#This Row],[25-Feb]]</f>
        <v>0</v>
      </c>
      <c r="BG94">
        <f>Product_CustomerSegment_Monthly_Fixed_Cost_Amount[[#This Row],[25-Mar]]+Product_CustomerSegment_Monthly_Variable_Cost_Amount[[#This Row],[25-Mar]]</f>
        <v>3133.97</v>
      </c>
      <c r="BH94">
        <f>Product_CustomerSegment_Monthly_Fixed_Cost_Amount[[#This Row],[25-Apr]]+Product_CustomerSegment_Monthly_Variable_Cost_Amount[[#This Row],[25-Apr]]</f>
        <v>906.62</v>
      </c>
      <c r="BI94">
        <f>Product_CustomerSegment_Monthly_Fixed_Cost_Amount[[#This Row],[25-May]]+Product_CustomerSegment_Monthly_Variable_Cost_Amount[[#This Row],[25-May]]</f>
        <v>468.55</v>
      </c>
      <c r="BJ94">
        <f>Product_CustomerSegment_Monthly_Fixed_Cost_Amount[[#This Row],[25-Jun]]+Product_CustomerSegment_Monthly_Variable_Cost_Amount[[#This Row],[25-Jun]]</f>
        <v>4324.32</v>
      </c>
      <c r="BK94">
        <f>SUM(Product_CustomerSegment_Monthly_COGS[[#This Row],[25-Jan]:[25-Jun]])</f>
        <v>11585.06</v>
      </c>
    </row>
    <row r="95" spans="1:63">
      <c r="A95" t="s">
        <v>152</v>
      </c>
      <c r="B95" t="s">
        <v>59</v>
      </c>
      <c r="C95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5</v>
      </c>
      <c r="D95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6</v>
      </c>
      <c r="E95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18</v>
      </c>
      <c r="F95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3</v>
      </c>
      <c r="G95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4</v>
      </c>
      <c r="H95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12</v>
      </c>
      <c r="I95">
        <f>SUM(Product_Segment_Monthly_Quantity[[#This Row],[1/1/2025]:[6/1/2025]])</f>
        <v>48</v>
      </c>
      <c r="L95" t="s">
        <v>152</v>
      </c>
      <c r="M95" t="s">
        <v>59</v>
      </c>
      <c r="N95">
        <f>SUMIFS(Table21[1/1/2025],Table21[ProductID],Product_CustomerSegment_Monthly_Variable_Cost[[#This Row],[ProductID]])</f>
        <v>386.6</v>
      </c>
      <c r="O95">
        <f>SUMIFS(Table21[2/1/2025],Table21[ProductID],Product_CustomerSegment_Monthly_Variable_Cost[[#This Row],[ProductID]])</f>
        <v>403.12</v>
      </c>
      <c r="P95">
        <f>SUMIFS(Table21[3/1/2025],Table21[ProductID],Product_CustomerSegment_Monthly_Variable_Cost[[#This Row],[ProductID]])</f>
        <v>375.71</v>
      </c>
      <c r="Q95">
        <f>SUMIFS(Table21[4/1/2025],Table21[ProductID],Product_CustomerSegment_Monthly_Variable_Cost[[#This Row],[ProductID]])</f>
        <v>381.31</v>
      </c>
      <c r="R95">
        <f>SUMIFS(Table21[5/1/2025],Table21[ProductID],Product_CustomerSegment_Monthly_Variable_Cost[[#This Row],[ProductID]])</f>
        <v>396.55</v>
      </c>
      <c r="S95">
        <f>SUMIFS(Table21[6/1/2025],Table21[ProductID],Product_CustomerSegment_Monthly_Variable_Cost[[#This Row],[ProductID]])</f>
        <v>408.48</v>
      </c>
      <c r="V95" t="s">
        <v>152</v>
      </c>
      <c r="W95" t="s">
        <v>59</v>
      </c>
      <c r="X95">
        <f>Product_CustomerSegment_Monthly_Variable_Cost[[#This Row],[25-Jan]]*Product_Segment_Monthly_Quantity[[#This Row],[1/1/2025]]</f>
        <v>1933</v>
      </c>
      <c r="Y95">
        <f>Product_CustomerSegment_Monthly_Variable_Cost[[#This Row],[25-Feb]]*Product_Segment_Monthly_Quantity[[#This Row],[2/1/2025]]</f>
        <v>2418.7200000000003</v>
      </c>
      <c r="Z95">
        <f>Product_CustomerSegment_Monthly_Variable_Cost[[#This Row],[25-Mar]]*Product_Segment_Monthly_Quantity[[#This Row],[3/1/2025]]</f>
        <v>6762.78</v>
      </c>
      <c r="AA95">
        <f>Product_CustomerSegment_Monthly_Variable_Cost[[#This Row],[25-Apr]]*Product_Segment_Monthly_Quantity[[#This Row],[4/1/2025]]</f>
        <v>1143.93</v>
      </c>
      <c r="AB95">
        <f>Product_CustomerSegment_Monthly_Variable_Cost[[#This Row],[25-May]]*Product_Segment_Monthly_Quantity[[#This Row],[5/1/2025]]</f>
        <v>1586.2</v>
      </c>
      <c r="AC95">
        <f>Product_CustomerSegment_Monthly_Variable_Cost[[#This Row],[25-Jun]]*Product_Segment_Monthly_Quantity[[#This Row],[6/1/2025]]</f>
        <v>4901.76</v>
      </c>
      <c r="AD95">
        <f>SUM(Product_CustomerSegment_Monthly_Variable_Cost_Amount[[#This Row],[25-Jan]:[25-Jun]])</f>
        <v>18746.39</v>
      </c>
      <c r="AG95" t="s">
        <v>152</v>
      </c>
      <c r="AH95" t="s">
        <v>59</v>
      </c>
      <c r="AI95">
        <f>SUMIFS(Product_Fixed_Allocation[1/1/2025],Product_Fixed_Allocation[ProductID],Product_CustomerSegment_Monthly_Actual_Fixed_Cost[[#This Row],[ProductID]])</f>
        <v>72</v>
      </c>
      <c r="AJ95">
        <f>SUMIFS(Product_Fixed_Allocation[2/1/2025],Product_Fixed_Allocation[ProductID],Product_CustomerSegment_Monthly_Actual_Fixed_Cost[[#This Row],[ProductID]])</f>
        <v>72</v>
      </c>
      <c r="AK95">
        <f>SUMIFS(Product_Fixed_Allocation[3/1/2025],Product_Fixed_Allocation[ProductID],Product_CustomerSegment_Monthly_Actual_Fixed_Cost[[#This Row],[ProductID]])</f>
        <v>72</v>
      </c>
      <c r="AL95">
        <f>SUMIFS(Product_Fixed_Allocation[4/1/2025],Product_Fixed_Allocation[ProductID],Product_CustomerSegment_Monthly_Actual_Fixed_Cost[[#This Row],[ProductID]])</f>
        <v>72</v>
      </c>
      <c r="AM95">
        <f>SUMIFS(Product_Fixed_Allocation[5/1/2025],Product_Fixed_Allocation[ProductID],Product_CustomerSegment_Monthly_Actual_Fixed_Cost[[#This Row],[ProductID]])</f>
        <v>72</v>
      </c>
      <c r="AN95">
        <f>SUMIFS(Product_Fixed_Allocation[6/1/2025],Product_Fixed_Allocation[ProductID],Product_CustomerSegment_Monthly_Actual_Fixed_Cost[[#This Row],[ProductID]])</f>
        <v>72</v>
      </c>
      <c r="AO95">
        <f>SUM(Product_CustomerSegment_Monthly_Actual_Fixed_Cost[[#This Row],[25-Jan]:[25-Jun]])</f>
        <v>432</v>
      </c>
      <c r="AR95" t="s">
        <v>152</v>
      </c>
      <c r="AS95" t="s">
        <v>59</v>
      </c>
      <c r="AT95">
        <f>Product_CustomerSegment_Monthly_Actual_Fixed_Cost[[#This Row],[25-Jan]]*Product_Segment_Monthly_Quantity[[#This Row],[1/1/2025]]</f>
        <v>360</v>
      </c>
      <c r="AU95">
        <f>Product_CustomerSegment_Monthly_Actual_Fixed_Cost[[#This Row],[25-Feb]]*Product_Segment_Monthly_Quantity[[#This Row],[2/1/2025]]</f>
        <v>432</v>
      </c>
      <c r="AV95">
        <f>Product_CustomerSegment_Monthly_Actual_Fixed_Cost[[#This Row],[25-Mar]]*Product_Segment_Monthly_Quantity[[#This Row],[3/1/2025]]</f>
        <v>1296</v>
      </c>
      <c r="AW95">
        <f>Product_CustomerSegment_Monthly_Actual_Fixed_Cost[[#This Row],[25-Apr]]*Product_Segment_Monthly_Quantity[[#This Row],[4/1/2025]]</f>
        <v>216</v>
      </c>
      <c r="AX95">
        <f>Product_CustomerSegment_Monthly_Actual_Fixed_Cost[[#This Row],[25-May]]*Product_Segment_Monthly_Quantity[[#This Row],[5/1/2025]]</f>
        <v>288</v>
      </c>
      <c r="AY95">
        <f>Product_CustomerSegment_Monthly_Actual_Fixed_Cost[[#This Row],[25-Jun]]*Product_Segment_Monthly_Quantity[[#This Row],[6/1/2025]]</f>
        <v>864</v>
      </c>
      <c r="AZ95">
        <f>SUM(Product_CustomerSegment_Monthly_Fixed_Cost_Amount[[#This Row],[25-Jan]:[25-Jun]])</f>
        <v>3456</v>
      </c>
      <c r="BC95" t="s">
        <v>152</v>
      </c>
      <c r="BD95" t="s">
        <v>59</v>
      </c>
      <c r="BE95">
        <f>Product_CustomerSegment_Monthly_Fixed_Cost_Amount[[#This Row],[25-Jan]]+Product_CustomerSegment_Monthly_Variable_Cost_Amount[[#This Row],[25-Jan]]</f>
        <v>2293</v>
      </c>
      <c r="BF95">
        <f>Product_CustomerSegment_Monthly_Fixed_Cost_Amount[[#This Row],[25-Feb]]+Product_CustomerSegment_Monthly_Variable_Cost_Amount[[#This Row],[25-Feb]]</f>
        <v>2850.7200000000003</v>
      </c>
      <c r="BG95">
        <f>Product_CustomerSegment_Monthly_Fixed_Cost_Amount[[#This Row],[25-Mar]]+Product_CustomerSegment_Monthly_Variable_Cost_Amount[[#This Row],[25-Mar]]</f>
        <v>8058.78</v>
      </c>
      <c r="BH95">
        <f>Product_CustomerSegment_Monthly_Fixed_Cost_Amount[[#This Row],[25-Apr]]+Product_CustomerSegment_Monthly_Variable_Cost_Amount[[#This Row],[25-Apr]]</f>
        <v>1359.93</v>
      </c>
      <c r="BI95">
        <f>Product_CustomerSegment_Monthly_Fixed_Cost_Amount[[#This Row],[25-May]]+Product_CustomerSegment_Monthly_Variable_Cost_Amount[[#This Row],[25-May]]</f>
        <v>1874.2</v>
      </c>
      <c r="BJ95">
        <f>Product_CustomerSegment_Monthly_Fixed_Cost_Amount[[#This Row],[25-Jun]]+Product_CustomerSegment_Monthly_Variable_Cost_Amount[[#This Row],[25-Jun]]</f>
        <v>5765.76</v>
      </c>
      <c r="BK95">
        <f>SUM(Product_CustomerSegment_Monthly_COGS[[#This Row],[25-Jan]:[25-Jun]])</f>
        <v>22202.39</v>
      </c>
    </row>
    <row r="96" spans="1:63">
      <c r="A96" t="s">
        <v>152</v>
      </c>
      <c r="B96" t="s">
        <v>44</v>
      </c>
      <c r="C96">
        <f>SUMIFS(Table1[Quantity],Table1[ProductID_Clean],Product_Segment_Monthly_Quantity[[#This Row],[ProductID]],Table1[CustomerSegment],Product_Segment_Monthly_Quantity[[#This Row],[Customer Segment]],Table1[TransactionDate_Clean],"&gt;"&amp;EOMONTH($C$1,-1),Table1[TransactionDate_Clean],"&lt;="&amp;EOMONTH($C$1,0))</f>
        <v>13</v>
      </c>
      <c r="D96">
        <f>SUMIFS(Table1[Quantity],Table1[ProductID_Clean],Product_Segment_Monthly_Quantity[[#This Row],[ProductID]],Table1[CustomerSegment],Product_Segment_Monthly_Quantity[[#This Row],[Customer Segment]],Table1[TransactionDate_Clean],"&gt;"&amp;EOMONTH($D$1,-1),Table1[TransactionDate_Clean],"&lt;="&amp;EOMONTH($D$1,0))</f>
        <v>4</v>
      </c>
      <c r="E96">
        <f>SUMIFS(Table1[Quantity],Table1[ProductID_Clean],Product_Segment_Monthly_Quantity[[#This Row],[ProductID]],Table1[CustomerSegment],Product_Segment_Monthly_Quantity[[#This Row],[Customer Segment]],Table1[TransactionDate_Clean],"&gt;"&amp;EOMONTH($E$1,-1),Table1[TransactionDate_Clean],"&lt;="&amp;EOMONTH($E$1,0))</f>
        <v>19</v>
      </c>
      <c r="F96">
        <f>SUMIFS(Table1[Quantity],Table1[ProductID_Clean],Product_Segment_Monthly_Quantity[[#This Row],[ProductID]],Table1[CustomerSegment],Product_Segment_Monthly_Quantity[[#This Row],[Customer Segment]],Table1[TransactionDate_Clean],"&gt;"&amp;EOMONTH($F$1,-1),Table1[TransactionDate_Clean],"&lt;="&amp;EOMONTH($F$1,0))</f>
        <v>8</v>
      </c>
      <c r="G96">
        <f>SUMIFS(Table1[Quantity],Table1[ProductID_Clean],Product_Segment_Monthly_Quantity[[#This Row],[ProductID]],Table1[CustomerSegment],Product_Segment_Monthly_Quantity[[#This Row],[Customer Segment]],Table1[TransactionDate_Clean],"&gt;"&amp;EOMONTH($G$1,-1),Table1[TransactionDate_Clean],"&lt;="&amp;EOMONTH($G$1,0))</f>
        <v>9</v>
      </c>
      <c r="H96">
        <f>SUMIFS(Table1[Quantity],Table1[ProductID_Clean],Product_Segment_Monthly_Quantity[[#This Row],[ProductID]],Table1[CustomerSegment],Product_Segment_Monthly_Quantity[[#This Row],[Customer Segment]],Table1[TransactionDate_Clean],"&gt;"&amp;EOMONTH($H$1,-1),Table1[TransactionDate_Clean],"&lt;="&amp;EOMONTH($H$1,0))</f>
        <v>12</v>
      </c>
      <c r="I96">
        <f>SUM(Product_Segment_Monthly_Quantity[[#This Row],[1/1/2025]:[6/1/2025]])</f>
        <v>65</v>
      </c>
      <c r="L96" t="s">
        <v>152</v>
      </c>
      <c r="M96" t="s">
        <v>44</v>
      </c>
      <c r="N96">
        <f>SUMIFS(Table21[1/1/2025],Table21[ProductID],Product_CustomerSegment_Monthly_Variable_Cost[[#This Row],[ProductID]])</f>
        <v>386.6</v>
      </c>
      <c r="O96">
        <f>SUMIFS(Table21[2/1/2025],Table21[ProductID],Product_CustomerSegment_Monthly_Variable_Cost[[#This Row],[ProductID]])</f>
        <v>403.12</v>
      </c>
      <c r="P96">
        <f>SUMIFS(Table21[3/1/2025],Table21[ProductID],Product_CustomerSegment_Monthly_Variable_Cost[[#This Row],[ProductID]])</f>
        <v>375.71</v>
      </c>
      <c r="Q96">
        <f>SUMIFS(Table21[4/1/2025],Table21[ProductID],Product_CustomerSegment_Monthly_Variable_Cost[[#This Row],[ProductID]])</f>
        <v>381.31</v>
      </c>
      <c r="R96">
        <f>SUMIFS(Table21[5/1/2025],Table21[ProductID],Product_CustomerSegment_Monthly_Variable_Cost[[#This Row],[ProductID]])</f>
        <v>396.55</v>
      </c>
      <c r="S96">
        <f>SUMIFS(Table21[6/1/2025],Table21[ProductID],Product_CustomerSegment_Monthly_Variable_Cost[[#This Row],[ProductID]])</f>
        <v>408.48</v>
      </c>
      <c r="V96" t="s">
        <v>152</v>
      </c>
      <c r="W96" t="s">
        <v>44</v>
      </c>
      <c r="X96">
        <f>Product_CustomerSegment_Monthly_Variable_Cost[[#This Row],[25-Jan]]*Product_Segment_Monthly_Quantity[[#This Row],[1/1/2025]]</f>
        <v>5025.8</v>
      </c>
      <c r="Y96">
        <f>Product_CustomerSegment_Monthly_Variable_Cost[[#This Row],[25-Feb]]*Product_Segment_Monthly_Quantity[[#This Row],[2/1/2025]]</f>
        <v>1612.48</v>
      </c>
      <c r="Z96">
        <f>Product_CustomerSegment_Monthly_Variable_Cost[[#This Row],[25-Mar]]*Product_Segment_Monthly_Quantity[[#This Row],[3/1/2025]]</f>
        <v>7138.49</v>
      </c>
      <c r="AA96">
        <f>Product_CustomerSegment_Monthly_Variable_Cost[[#This Row],[25-Apr]]*Product_Segment_Monthly_Quantity[[#This Row],[4/1/2025]]</f>
        <v>3050.48</v>
      </c>
      <c r="AB96">
        <f>Product_CustomerSegment_Monthly_Variable_Cost[[#This Row],[25-May]]*Product_Segment_Monthly_Quantity[[#This Row],[5/1/2025]]</f>
        <v>3568.9500000000003</v>
      </c>
      <c r="AC96">
        <f>Product_CustomerSegment_Monthly_Variable_Cost[[#This Row],[25-Jun]]*Product_Segment_Monthly_Quantity[[#This Row],[6/1/2025]]</f>
        <v>4901.76</v>
      </c>
      <c r="AD96">
        <f>SUM(Product_CustomerSegment_Monthly_Variable_Cost_Amount[[#This Row],[25-Jan]:[25-Jun]])</f>
        <v>25297.96</v>
      </c>
      <c r="AG96" t="s">
        <v>152</v>
      </c>
      <c r="AH96" t="s">
        <v>44</v>
      </c>
      <c r="AI96">
        <f>SUMIFS(Product_Fixed_Allocation[1/1/2025],Product_Fixed_Allocation[ProductID],Product_CustomerSegment_Monthly_Actual_Fixed_Cost[[#This Row],[ProductID]])</f>
        <v>72</v>
      </c>
      <c r="AJ96">
        <f>SUMIFS(Product_Fixed_Allocation[2/1/2025],Product_Fixed_Allocation[ProductID],Product_CustomerSegment_Monthly_Actual_Fixed_Cost[[#This Row],[ProductID]])</f>
        <v>72</v>
      </c>
      <c r="AK96">
        <f>SUMIFS(Product_Fixed_Allocation[3/1/2025],Product_Fixed_Allocation[ProductID],Product_CustomerSegment_Monthly_Actual_Fixed_Cost[[#This Row],[ProductID]])</f>
        <v>72</v>
      </c>
      <c r="AL96">
        <f>SUMIFS(Product_Fixed_Allocation[4/1/2025],Product_Fixed_Allocation[ProductID],Product_CustomerSegment_Monthly_Actual_Fixed_Cost[[#This Row],[ProductID]])</f>
        <v>72</v>
      </c>
      <c r="AM96">
        <f>SUMIFS(Product_Fixed_Allocation[5/1/2025],Product_Fixed_Allocation[ProductID],Product_CustomerSegment_Monthly_Actual_Fixed_Cost[[#This Row],[ProductID]])</f>
        <v>72</v>
      </c>
      <c r="AN96">
        <f>SUMIFS(Product_Fixed_Allocation[6/1/2025],Product_Fixed_Allocation[ProductID],Product_CustomerSegment_Monthly_Actual_Fixed_Cost[[#This Row],[ProductID]])</f>
        <v>72</v>
      </c>
      <c r="AO96">
        <f>SUM(Product_CustomerSegment_Monthly_Actual_Fixed_Cost[[#This Row],[25-Jan]:[25-Jun]])</f>
        <v>432</v>
      </c>
      <c r="AR96" t="s">
        <v>152</v>
      </c>
      <c r="AS96" t="s">
        <v>44</v>
      </c>
      <c r="AT96">
        <f>Product_CustomerSegment_Monthly_Actual_Fixed_Cost[[#This Row],[25-Jan]]*Product_Segment_Monthly_Quantity[[#This Row],[1/1/2025]]</f>
        <v>936</v>
      </c>
      <c r="AU96">
        <f>Product_CustomerSegment_Monthly_Actual_Fixed_Cost[[#This Row],[25-Feb]]*Product_Segment_Monthly_Quantity[[#This Row],[2/1/2025]]</f>
        <v>288</v>
      </c>
      <c r="AV96">
        <f>Product_CustomerSegment_Monthly_Actual_Fixed_Cost[[#This Row],[25-Mar]]*Product_Segment_Monthly_Quantity[[#This Row],[3/1/2025]]</f>
        <v>1368</v>
      </c>
      <c r="AW96">
        <f>Product_CustomerSegment_Monthly_Actual_Fixed_Cost[[#This Row],[25-Apr]]*Product_Segment_Monthly_Quantity[[#This Row],[4/1/2025]]</f>
        <v>576</v>
      </c>
      <c r="AX96">
        <f>Product_CustomerSegment_Monthly_Actual_Fixed_Cost[[#This Row],[25-May]]*Product_Segment_Monthly_Quantity[[#This Row],[5/1/2025]]</f>
        <v>648</v>
      </c>
      <c r="AY96">
        <f>Product_CustomerSegment_Monthly_Actual_Fixed_Cost[[#This Row],[25-Jun]]*Product_Segment_Monthly_Quantity[[#This Row],[6/1/2025]]</f>
        <v>864</v>
      </c>
      <c r="AZ96">
        <f>SUM(Product_CustomerSegment_Monthly_Fixed_Cost_Amount[[#This Row],[25-Jan]:[25-Jun]])</f>
        <v>4680</v>
      </c>
      <c r="BC96" t="s">
        <v>152</v>
      </c>
      <c r="BD96" t="s">
        <v>44</v>
      </c>
      <c r="BE96">
        <f>Product_CustomerSegment_Monthly_Fixed_Cost_Amount[[#This Row],[25-Jan]]+Product_CustomerSegment_Monthly_Variable_Cost_Amount[[#This Row],[25-Jan]]</f>
        <v>5961.8</v>
      </c>
      <c r="BF96">
        <f>Product_CustomerSegment_Monthly_Fixed_Cost_Amount[[#This Row],[25-Feb]]+Product_CustomerSegment_Monthly_Variable_Cost_Amount[[#This Row],[25-Feb]]</f>
        <v>1900.48</v>
      </c>
      <c r="BG96">
        <f>Product_CustomerSegment_Monthly_Fixed_Cost_Amount[[#This Row],[25-Mar]]+Product_CustomerSegment_Monthly_Variable_Cost_Amount[[#This Row],[25-Mar]]</f>
        <v>8506.49</v>
      </c>
      <c r="BH96">
        <f>Product_CustomerSegment_Monthly_Fixed_Cost_Amount[[#This Row],[25-Apr]]+Product_CustomerSegment_Monthly_Variable_Cost_Amount[[#This Row],[25-Apr]]</f>
        <v>3626.48</v>
      </c>
      <c r="BI96">
        <f>Product_CustomerSegment_Monthly_Fixed_Cost_Amount[[#This Row],[25-May]]+Product_CustomerSegment_Monthly_Variable_Cost_Amount[[#This Row],[25-May]]</f>
        <v>4216.9500000000007</v>
      </c>
      <c r="BJ96">
        <f>Product_CustomerSegment_Monthly_Fixed_Cost_Amount[[#This Row],[25-Jun]]+Product_CustomerSegment_Monthly_Variable_Cost_Amount[[#This Row],[25-Jun]]</f>
        <v>5765.76</v>
      </c>
      <c r="BK96">
        <f>SUM(Product_CustomerSegment_Monthly_COGS[[#This Row],[25-Jan]:[25-Jun]])</f>
        <v>29977.96</v>
      </c>
    </row>
    <row r="97" spans="1:63">
      <c r="A97" t="s">
        <v>2597</v>
      </c>
      <c r="I97">
        <f>SUBTOTAL(109,Product_Segment_Monthly_Quantity[H1 Total])</f>
        <v>3470</v>
      </c>
      <c r="V97" t="s">
        <v>2597</v>
      </c>
      <c r="AD97">
        <f>SUBTOTAL(109,Product_CustomerSegment_Monthly_Variable_Cost_Amount[H1 Variable Cost])</f>
        <v>1424374.1850000001</v>
      </c>
      <c r="AG97" t="s">
        <v>2597</v>
      </c>
      <c r="AO97">
        <f>SUBTOTAL(109,Product_CustomerSegment_Monthly_Actual_Fixed_Cost[H1 Fixed Cost])</f>
        <v>112290</v>
      </c>
      <c r="AR97" t="s">
        <v>2597</v>
      </c>
      <c r="AZ97">
        <f>SUBTOTAL(109,Product_CustomerSegment_Monthly_Fixed_Cost_Amount[H1 Fixed Cost])</f>
        <v>352654</v>
      </c>
      <c r="BC97" t="s">
        <v>2597</v>
      </c>
      <c r="BK97">
        <f>SUBTOTAL(109,Product_CustomerSegment_Monthly_COGS[H1 COGS])</f>
        <v>1777028.1850000001</v>
      </c>
    </row>
    <row r="101" spans="1:63">
      <c r="AG101" s="44" t="s">
        <v>2660</v>
      </c>
    </row>
    <row r="102" spans="1:63" ht="15" customHeight="1">
      <c r="W102" s="6" t="s">
        <v>2606</v>
      </c>
      <c r="X102" s="8" t="s">
        <v>2647</v>
      </c>
      <c r="Y102" s="8" t="s">
        <v>2654</v>
      </c>
      <c r="Z102" s="8" t="s">
        <v>2649</v>
      </c>
      <c r="AA102" s="8" t="s">
        <v>2650</v>
      </c>
      <c r="AB102" s="8" t="s">
        <v>2651</v>
      </c>
      <c r="AC102" s="8" t="s">
        <v>2652</v>
      </c>
      <c r="AD102" s="8" t="s">
        <v>2653</v>
      </c>
    </row>
    <row r="103" spans="1:63" ht="15" customHeight="1">
      <c r="W103" s="9" t="s">
        <v>28</v>
      </c>
      <c r="X103" s="7">
        <f>_xlfn.XLOOKUP(Customer_Segment_Profitability[[#This Row],[Customer Segment]],Table57[Customer Segment],Table57[Net Revenue])</f>
        <v>608183.17999999993</v>
      </c>
      <c r="Y103" s="7">
        <f>SUMIF(Product_CustomerSegment_Monthly_Variable_Cost_Amount[Customer Segment],Customer_Segment_Profitability[[#This Row],[Customer Segment]],Product_CustomerSegment_Monthly_Variable_Cost_Amount[H1 Variable Cost])</f>
        <v>223726.07499999998</v>
      </c>
      <c r="Z103" s="7">
        <f>Customer_Segment_Profitability[[#This Row],[H1 Net Revenue]]-Customer_Segment_Profitability[[#This Row],[H1 Variable Cost]]</f>
        <v>384457.10499999998</v>
      </c>
      <c r="AA103" s="10">
        <f>Customer_Segment_Profitability[[#This Row],[Contribution Profit]]/Customer_Segment_Profitability[[#This Row],[H1 Net Revenue]]</f>
        <v>0.63214031173963081</v>
      </c>
      <c r="AB103" s="7">
        <f>SUMIF(Product_CustomerSegment_Monthly_COGS[Customer Segment],Customer_Segment_Profitability[[#This Row],[Customer Segment]],Product_CustomerSegment_Monthly_COGS[H1 COGS])</f>
        <v>278547.07499999995</v>
      </c>
      <c r="AC103" s="7">
        <f>Customer_Segment_Profitability[[#This Row],[H1 Net Revenue]]-Customer_Segment_Profitability[[#This Row],[H1 COGS]]</f>
        <v>329636.10499999998</v>
      </c>
      <c r="AD103" s="10">
        <f>Customer_Segment_Profitability[[#This Row],[Gross Profit]]/Customer_Segment_Profitability[[#This Row],[H1 Net Revenue]]</f>
        <v>0.5420013506457052</v>
      </c>
    </row>
    <row r="104" spans="1:63" ht="15" customHeight="1">
      <c r="W104" s="9" t="s">
        <v>59</v>
      </c>
      <c r="X104" s="7">
        <f>_xlfn.XLOOKUP(Customer_Segment_Profitability[[#This Row],[Customer Segment]],Table57[Customer Segment],Table57[Net Revenue])</f>
        <v>612089.93999999994</v>
      </c>
      <c r="Y104" s="7">
        <f>SUMIF(Product_CustomerSegment_Monthly_Variable_Cost_Amount[Customer Segment],Customer_Segment_Profitability[[#This Row],[Customer Segment]],Product_CustomerSegment_Monthly_Variable_Cost_Amount[H1 Variable Cost])</f>
        <v>210168.12</v>
      </c>
      <c r="Z104" s="7">
        <f>Customer_Segment_Profitability[[#This Row],[H1 Net Revenue]]-Customer_Segment_Profitability[[#This Row],[H1 Variable Cost]]</f>
        <v>401921.81999999995</v>
      </c>
      <c r="AA104" s="10">
        <f>Customer_Segment_Profitability[[#This Row],[Contribution Profit]]/Customer_Segment_Profitability[[#This Row],[H1 Net Revenue]]</f>
        <v>0.65663849989104539</v>
      </c>
      <c r="AB104" s="7">
        <f>SUMIF(Product_CustomerSegment_Monthly_COGS[Customer Segment],Customer_Segment_Profitability[[#This Row],[Customer Segment]],Product_CustomerSegment_Monthly_COGS[H1 COGS])</f>
        <v>262995.12</v>
      </c>
      <c r="AC104" s="7">
        <f>Customer_Segment_Profitability[[#This Row],[H1 Net Revenue]]-Customer_Segment_Profitability[[#This Row],[H1 COGS]]</f>
        <v>349094.81999999995</v>
      </c>
      <c r="AD104" s="10">
        <f>Customer_Segment_Profitability[[#This Row],[Gross Profit]]/Customer_Segment_Profitability[[#This Row],[H1 Net Revenue]]</f>
        <v>0.57033255602926591</v>
      </c>
    </row>
    <row r="105" spans="1:63" ht="15" customHeight="1">
      <c r="W105" s="9" t="s">
        <v>48</v>
      </c>
      <c r="X105" s="7">
        <f>_xlfn.XLOOKUP(Customer_Segment_Profitability[[#This Row],[Customer Segment]],Table57[Customer Segment],Table57[Net Revenue])</f>
        <v>667336.25</v>
      </c>
      <c r="Y105" s="7">
        <f>SUMIF(Product_CustomerSegment_Monthly_Variable_Cost_Amount[Customer Segment],Customer_Segment_Profitability[[#This Row],[Customer Segment]],Product_CustomerSegment_Monthly_Variable_Cost_Amount[H1 Variable Cost])</f>
        <v>230847.86500000002</v>
      </c>
      <c r="Z105" s="7">
        <f>Customer_Segment_Profitability[[#This Row],[H1 Net Revenue]]-Customer_Segment_Profitability[[#This Row],[H1 Variable Cost]]</f>
        <v>436488.38500000001</v>
      </c>
      <c r="AA105" s="10">
        <f>Customer_Segment_Profitability[[#This Row],[Contribution Profit]]/Customer_Segment_Profitability[[#This Row],[H1 Net Revenue]]</f>
        <v>0.65407564027879495</v>
      </c>
      <c r="AB105" s="7">
        <f>SUMIF(Product_CustomerSegment_Monthly_COGS[Customer Segment],Customer_Segment_Profitability[[#This Row],[Customer Segment]],Product_CustomerSegment_Monthly_COGS[H1 COGS])</f>
        <v>291379.86499999999</v>
      </c>
      <c r="AC105" s="7">
        <f>Customer_Segment_Profitability[[#This Row],[H1 Net Revenue]]-Customer_Segment_Profitability[[#This Row],[H1 COGS]]</f>
        <v>375956.38500000001</v>
      </c>
      <c r="AD105" s="10">
        <f>Customer_Segment_Profitability[[#This Row],[Gross Profit]]/Customer_Segment_Profitability[[#This Row],[H1 Net Revenue]]</f>
        <v>0.56336874401772719</v>
      </c>
    </row>
    <row r="106" spans="1:63" ht="15" customHeight="1">
      <c r="W106" s="9" t="s">
        <v>44</v>
      </c>
      <c r="X106" s="7">
        <f>_xlfn.XLOOKUP(Customer_Segment_Profitability[[#This Row],[Customer Segment]],Table57[Customer Segment],Table57[Net Revenue])</f>
        <v>801388.9</v>
      </c>
      <c r="Y106" s="7">
        <f>SUMIF(Product_CustomerSegment_Monthly_Variable_Cost_Amount[Customer Segment],Customer_Segment_Profitability[[#This Row],[Customer Segment]],Product_CustomerSegment_Monthly_Variable_Cost_Amount[H1 Variable Cost])</f>
        <v>314275.95000000007</v>
      </c>
      <c r="Z106" s="7">
        <f>Customer_Segment_Profitability[[#This Row],[H1 Net Revenue]]-Customer_Segment_Profitability[[#This Row],[H1 Variable Cost]]</f>
        <v>487112.94999999995</v>
      </c>
      <c r="AA106" s="10">
        <f>Customer_Segment_Profitability[[#This Row],[Contribution Profit]]/Customer_Segment_Profitability[[#This Row],[H1 Net Revenue]]</f>
        <v>0.6078359083835575</v>
      </c>
      <c r="AB106" s="7">
        <f>SUMIF(Product_CustomerSegment_Monthly_COGS[Customer Segment],Customer_Segment_Profitability[[#This Row],[Customer Segment]],Product_CustomerSegment_Monthly_COGS[H1 COGS])</f>
        <v>386754.95000000007</v>
      </c>
      <c r="AC106" s="7">
        <f>Customer_Segment_Profitability[[#This Row],[H1 Net Revenue]]-Customer_Segment_Profitability[[#This Row],[H1 COGS]]</f>
        <v>414633.94999999995</v>
      </c>
      <c r="AD106" s="10">
        <f>Customer_Segment_Profitability[[#This Row],[Gross Profit]]/Customer_Segment_Profitability[[#This Row],[H1 Net Revenue]]</f>
        <v>0.51739417653526265</v>
      </c>
    </row>
    <row r="107" spans="1:63" ht="15" customHeight="1">
      <c r="W107" s="9" t="s">
        <v>36</v>
      </c>
      <c r="X107" s="7">
        <f>_xlfn.XLOOKUP(Customer_Segment_Profitability[[#This Row],[Customer Segment]],Table57[Customer Segment],Table57[Net Revenue])</f>
        <v>1224762.17</v>
      </c>
      <c r="Y107" s="7">
        <f>SUMIF(Product_CustomerSegment_Monthly_Variable_Cost_Amount[Customer Segment],Customer_Segment_Profitability[[#This Row],[Customer Segment]],Product_CustomerSegment_Monthly_Variable_Cost_Amount[H1 Variable Cost])</f>
        <v>445356.17499999993</v>
      </c>
      <c r="Z107" s="7">
        <f>Customer_Segment_Profitability[[#This Row],[H1 Net Revenue]]-Customer_Segment_Profitability[[#This Row],[H1 Variable Cost]]</f>
        <v>779405.995</v>
      </c>
      <c r="AA107" s="10">
        <f>Customer_Segment_Profitability[[#This Row],[Contribution Profit]]/Customer_Segment_Profitability[[#This Row],[H1 Net Revenue]]</f>
        <v>0.63637334177295835</v>
      </c>
      <c r="AB107" s="7">
        <f>SUMIF(Product_CustomerSegment_Monthly_COGS[Customer Segment],Customer_Segment_Profitability[[#This Row],[Customer Segment]],Product_CustomerSegment_Monthly_COGS[H1 COGS])</f>
        <v>557351.17500000005</v>
      </c>
      <c r="AC107" s="7">
        <f>Customer_Segment_Profitability[[#This Row],[H1 Net Revenue]]-Customer_Segment_Profitability[[#This Row],[H1 COGS]]</f>
        <v>667410.99499999988</v>
      </c>
      <c r="AD107" s="10">
        <f>Customer_Segment_Profitability[[#This Row],[Gross Profit]]/Customer_Segment_Profitability[[#This Row],[H1 Net Revenue]]</f>
        <v>0.54493109874548129</v>
      </c>
    </row>
    <row r="108" spans="1:63">
      <c r="W108" s="9" t="s">
        <v>2597</v>
      </c>
      <c r="X108" s="7">
        <f>SUBTOTAL(109,Customer_Segment_Profitability[H1 Net Revenue])</f>
        <v>3913760.44</v>
      </c>
      <c r="Y108" s="7">
        <f>SUBTOTAL(109,Customer_Segment_Profitability[H1 Variable Cost])</f>
        <v>1424374.1850000001</v>
      </c>
      <c r="Z108" s="7">
        <f>SUBTOTAL(109,Customer_Segment_Profitability[Contribution Profit])</f>
        <v>2489386.2549999999</v>
      </c>
      <c r="AA108" s="7"/>
      <c r="AB108" s="43">
        <f>SUBTOTAL(109,Customer_Segment_Profitability[H1 COGS])</f>
        <v>1777028.1850000001</v>
      </c>
      <c r="AC108" s="7">
        <f>SUBTOTAL(109,Customer_Segment_Profitability[Gross Profit])</f>
        <v>2136732.2549999999</v>
      </c>
      <c r="AD108" s="7"/>
    </row>
    <row r="109" spans="1:63">
      <c r="W109" s="12"/>
      <c r="X109" s="7"/>
      <c r="Y109" s="7"/>
      <c r="Z109" s="7"/>
      <c r="AA109" s="7"/>
      <c r="AB109" s="7"/>
      <c r="AC109" s="7"/>
      <c r="AD109" s="7"/>
    </row>
  </sheetData>
  <phoneticPr fontId="2" type="noConversion"/>
  <hyperlinks>
    <hyperlink ref="AG101" r:id="rId1" xr:uid="{5FDD0591-F004-4040-BD8B-89EED72950A6}"/>
  </hyperlinks>
  <pageMargins left="0.7" right="0.7" top="0.75" bottom="0.75" header="0.3" footer="0.3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4518-6432-42EF-93E9-4C26E8F0EE1D}">
  <dimension ref="C2:R24"/>
  <sheetViews>
    <sheetView tabSelected="1" topLeftCell="D1" workbookViewId="0">
      <selection activeCell="I19" sqref="I19"/>
    </sheetView>
  </sheetViews>
  <sheetFormatPr defaultRowHeight="15"/>
  <cols>
    <col min="3" max="3" width="17.42578125" bestFit="1" customWidth="1"/>
    <col min="4" max="4" width="19.140625" customWidth="1"/>
    <col min="5" max="5" width="28.5703125" customWidth="1"/>
    <col min="6" max="6" width="25.28515625" customWidth="1"/>
    <col min="7" max="7" width="23.5703125" customWidth="1"/>
    <col min="8" max="9" width="24.28515625" customWidth="1"/>
    <col min="10" max="10" width="15.7109375" customWidth="1"/>
    <col min="12" max="12" width="13" customWidth="1"/>
    <col min="13" max="13" width="14" customWidth="1"/>
    <col min="14" max="14" width="16" customWidth="1"/>
    <col min="15" max="15" width="9" bestFit="1" customWidth="1"/>
    <col min="16" max="16" width="12.5703125" customWidth="1"/>
  </cols>
  <sheetData>
    <row r="2" spans="3:18">
      <c r="K2" s="6"/>
      <c r="L2" s="8"/>
      <c r="M2" s="8"/>
      <c r="N2" s="8"/>
      <c r="O2" s="8"/>
      <c r="P2" s="8"/>
      <c r="Q2" s="8"/>
      <c r="R2" s="8"/>
    </row>
    <row r="3" spans="3:18" ht="15" customHeight="1">
      <c r="K3" s="9"/>
      <c r="L3" s="7"/>
      <c r="M3" s="7"/>
      <c r="N3" s="7"/>
      <c r="O3" s="10"/>
      <c r="P3" s="7"/>
      <c r="Q3" s="7"/>
      <c r="R3" s="10"/>
    </row>
    <row r="4" spans="3:18">
      <c r="K4" s="9"/>
      <c r="L4" s="7"/>
      <c r="M4" s="7"/>
      <c r="N4" s="7"/>
      <c r="O4" s="10"/>
      <c r="P4" s="7"/>
      <c r="Q4" s="7"/>
      <c r="R4" s="10"/>
    </row>
    <row r="5" spans="3:18" ht="15" customHeight="1">
      <c r="K5" s="9"/>
      <c r="L5" s="7"/>
      <c r="M5" s="7"/>
      <c r="N5" s="7"/>
      <c r="O5" s="10"/>
      <c r="P5" s="7"/>
      <c r="Q5" s="7"/>
      <c r="R5" s="10"/>
    </row>
    <row r="6" spans="3:18" ht="15" customHeight="1">
      <c r="C6" s="6" t="s">
        <v>2669</v>
      </c>
      <c r="D6" s="6" t="s">
        <v>2670</v>
      </c>
      <c r="E6" s="6" t="s">
        <v>2671</v>
      </c>
      <c r="F6" s="6" t="s">
        <v>2672</v>
      </c>
      <c r="G6" s="6" t="s">
        <v>2673</v>
      </c>
      <c r="K6" s="9"/>
      <c r="L6" s="7"/>
      <c r="M6" s="7"/>
      <c r="N6" s="7"/>
      <c r="O6" s="10"/>
      <c r="P6" s="7"/>
      <c r="Q6" s="7"/>
      <c r="R6" s="10"/>
    </row>
    <row r="7" spans="3:18" ht="15" customHeight="1">
      <c r="C7" s="9" t="s">
        <v>2674</v>
      </c>
      <c r="D7" s="7">
        <v>3928065.29</v>
      </c>
      <c r="E7" s="7">
        <v>11524128</v>
      </c>
      <c r="F7" s="7">
        <f>Actual_vs_Budget[[#This Row],[H1 Actual]]-Actual_vs_Budget[[#This Row],[H1 Budget]]</f>
        <v>-7596062.71</v>
      </c>
      <c r="G7" s="49">
        <f>Actual_vs_Budget[[#This Row],[Variance ($)]]/Actual_vs_Budget[[#This Row],[H1 Budget]]</f>
        <v>-0.65914425022006007</v>
      </c>
      <c r="K7" s="9"/>
      <c r="L7" s="7"/>
      <c r="M7" s="7"/>
      <c r="N7" s="7"/>
      <c r="O7" s="10"/>
      <c r="P7" s="7"/>
      <c r="Q7" s="7"/>
      <c r="R7" s="10"/>
    </row>
    <row r="8" spans="3:18" ht="15" customHeight="1">
      <c r="C8" s="9" t="s">
        <v>2675</v>
      </c>
      <c r="D8" s="7">
        <v>1424374.1850000001</v>
      </c>
      <c r="E8" s="7">
        <v>3455918</v>
      </c>
      <c r="F8" s="7">
        <f>Actual_vs_Budget[[#This Row],[H1 Actual]]-Actual_vs_Budget[[#This Row],[H1 Budget]]</f>
        <v>-2031543.8149999999</v>
      </c>
      <c r="G8" s="49">
        <f>Actual_vs_Budget[[#This Row],[Variance ($)]]/Actual_vs_Budget[[#This Row],[H1 Budget]]</f>
        <v>-0.58784491269758132</v>
      </c>
      <c r="K8" s="9"/>
      <c r="L8" s="7"/>
      <c r="M8" s="7"/>
      <c r="N8" s="7"/>
      <c r="O8" s="10"/>
      <c r="P8" s="7"/>
      <c r="Q8" s="7"/>
      <c r="R8" s="10"/>
    </row>
    <row r="9" spans="3:18" ht="15" customHeight="1">
      <c r="C9" s="9" t="s">
        <v>2676</v>
      </c>
      <c r="D9" s="7">
        <v>356714.78</v>
      </c>
      <c r="E9" s="7">
        <v>1652058</v>
      </c>
      <c r="F9" s="7">
        <f>Actual_vs_Budget[[#This Row],[H1 Actual]]-Actual_vs_Budget[[#This Row],[H1 Budget]]</f>
        <v>-1295343.22</v>
      </c>
      <c r="G9" s="49">
        <f>Actual_vs_Budget[[#This Row],[Variance ($)]]/Actual_vs_Budget[[#This Row],[H1 Budget]]</f>
        <v>-0.78407853719421472</v>
      </c>
      <c r="K9" s="9"/>
      <c r="L9" s="7"/>
      <c r="M9" s="7"/>
      <c r="N9" s="7"/>
      <c r="O9" s="10"/>
      <c r="P9" s="7"/>
      <c r="Q9" s="7"/>
      <c r="R9" s="10"/>
    </row>
    <row r="10" spans="3:18" ht="15" customHeight="1">
      <c r="C10" s="9" t="s">
        <v>2649</v>
      </c>
      <c r="D10" s="7">
        <v>2503691.105</v>
      </c>
      <c r="E10" s="7">
        <v>8068210</v>
      </c>
      <c r="F10" s="7">
        <f>Actual_vs_Budget[[#This Row],[H1 Actual]]-Actual_vs_Budget[[#This Row],[H1 Budget]]</f>
        <v>-5564518.8949999996</v>
      </c>
      <c r="G10" s="49">
        <f>Actual_vs_Budget[[#This Row],[Variance ($)]]/Actual_vs_Budget[[#This Row],[H1 Budget]]</f>
        <v>-0.68968443991913941</v>
      </c>
      <c r="K10" s="9"/>
      <c r="L10" s="7"/>
      <c r="M10" s="7"/>
      <c r="N10" s="7"/>
      <c r="O10" s="10"/>
      <c r="P10" s="7"/>
      <c r="Q10" s="7"/>
      <c r="R10" s="10"/>
    </row>
    <row r="11" spans="3:18" ht="15" customHeight="1">
      <c r="C11" s="9" t="s">
        <v>2677</v>
      </c>
      <c r="D11" s="7">
        <v>2146976.3250000002</v>
      </c>
      <c r="E11" s="7">
        <v>6416152</v>
      </c>
      <c r="F11" s="7">
        <f>Actual_vs_Budget[[#This Row],[H1 Actual]]-Actual_vs_Budget[[#This Row],[H1 Budget]]</f>
        <v>-4269175.6749999998</v>
      </c>
      <c r="G11" s="49">
        <f>Actual_vs_Budget[[#This Row],[Variance ($)]]/Actual_vs_Budget[[#This Row],[H1 Budget]]</f>
        <v>-0.66537944783727065</v>
      </c>
      <c r="H11" s="7"/>
      <c r="K11" s="9"/>
      <c r="L11" s="7"/>
      <c r="M11" s="7"/>
      <c r="N11" s="7"/>
      <c r="O11" s="10"/>
      <c r="P11" s="7"/>
      <c r="Q11" s="7"/>
      <c r="R11" s="10"/>
    </row>
    <row r="12" spans="3:18">
      <c r="K12" s="9"/>
      <c r="L12" s="7"/>
      <c r="M12" s="7"/>
      <c r="N12" s="7"/>
      <c r="O12" s="10"/>
      <c r="P12" s="7"/>
      <c r="Q12" s="7"/>
      <c r="R12" s="10"/>
    </row>
    <row r="13" spans="3:18">
      <c r="K13" s="9"/>
      <c r="L13" s="7"/>
      <c r="M13" s="7"/>
      <c r="N13" s="7"/>
      <c r="O13" s="10"/>
      <c r="P13" s="7"/>
      <c r="Q13" s="7"/>
      <c r="R13" s="10"/>
    </row>
    <row r="14" spans="3:18">
      <c r="K14" s="9"/>
      <c r="L14" s="7"/>
      <c r="M14" s="7"/>
      <c r="N14" s="7"/>
      <c r="O14" s="10"/>
      <c r="P14" s="7"/>
      <c r="Q14" s="7"/>
      <c r="R14" s="10"/>
    </row>
    <row r="15" spans="3:18">
      <c r="K15" s="9"/>
      <c r="L15" s="7"/>
      <c r="M15" s="7"/>
      <c r="N15" s="7"/>
      <c r="O15" s="10"/>
      <c r="P15" s="7"/>
      <c r="Q15" s="7"/>
      <c r="R15" s="10"/>
    </row>
    <row r="16" spans="3:18">
      <c r="K16" s="9"/>
      <c r="L16" s="7"/>
      <c r="M16" s="7"/>
      <c r="N16" s="7"/>
      <c r="O16" s="10"/>
      <c r="P16" s="7"/>
      <c r="Q16" s="7"/>
      <c r="R16" s="10"/>
    </row>
    <row r="17" spans="3:18">
      <c r="K17" s="9"/>
      <c r="L17" s="7"/>
      <c r="M17" s="7"/>
      <c r="N17" s="7"/>
      <c r="O17" s="10"/>
      <c r="P17" s="7"/>
      <c r="Q17" s="7"/>
      <c r="R17" s="10"/>
    </row>
    <row r="18" spans="3:18">
      <c r="C18" s="6"/>
      <c r="D18" s="8"/>
      <c r="K18" s="9"/>
      <c r="L18" s="7"/>
      <c r="M18" s="7"/>
      <c r="N18" s="7"/>
      <c r="O18" s="10"/>
      <c r="P18" s="7"/>
      <c r="Q18" s="7"/>
      <c r="R18" s="10"/>
    </row>
    <row r="19" spans="3:18">
      <c r="C19" s="6"/>
      <c r="D19" s="8"/>
      <c r="E19" s="27"/>
      <c r="F19" s="27"/>
      <c r="L19" s="7"/>
      <c r="M19" s="7"/>
      <c r="N19" s="7"/>
      <c r="O19" s="10"/>
      <c r="P19" s="7"/>
      <c r="Q19" s="7"/>
      <c r="R19" s="10"/>
    </row>
    <row r="20" spans="3:18">
      <c r="C20" s="9"/>
      <c r="D20" s="48"/>
      <c r="E20" s="27"/>
      <c r="F20" s="27"/>
      <c r="L20" s="7"/>
      <c r="M20" s="7"/>
      <c r="N20" s="7"/>
      <c r="O20" s="10"/>
      <c r="P20" s="7"/>
      <c r="Q20" s="7"/>
      <c r="R20" s="10"/>
    </row>
    <row r="21" spans="3:18">
      <c r="C21" s="9"/>
      <c r="D21" s="48"/>
      <c r="E21" s="27"/>
      <c r="F21" s="27"/>
      <c r="L21" s="7"/>
      <c r="M21" s="7"/>
      <c r="N21" s="7"/>
      <c r="O21" s="10"/>
      <c r="P21" s="7"/>
      <c r="Q21" s="7"/>
      <c r="R21" s="10"/>
    </row>
    <row r="22" spans="3:18">
      <c r="C22" s="9"/>
      <c r="D22" s="48"/>
      <c r="L22" s="7"/>
      <c r="M22" s="7"/>
      <c r="N22" s="7"/>
      <c r="O22" s="7"/>
      <c r="P22" s="7"/>
      <c r="Q22" s="7"/>
      <c r="R22" s="7"/>
    </row>
    <row r="23" spans="3:18">
      <c r="C23" s="9"/>
      <c r="D23" s="13"/>
    </row>
    <row r="24" spans="3:18">
      <c r="C24" s="9"/>
      <c r="D24" s="1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C4D5-3F68-4F62-81EB-CA358D912368}">
  <dimension ref="A3:M85"/>
  <sheetViews>
    <sheetView zoomScale="85" zoomScaleNormal="85" workbookViewId="0">
      <selection activeCell="G8" sqref="G8"/>
    </sheetView>
  </sheetViews>
  <sheetFormatPr defaultRowHeight="15"/>
  <cols>
    <col min="2" max="2" width="29" customWidth="1"/>
    <col min="3" max="3" width="23.42578125" customWidth="1"/>
    <col min="4" max="5" width="22.42578125" bestFit="1" customWidth="1"/>
    <col min="6" max="6" width="26.85546875" bestFit="1" customWidth="1"/>
    <col min="7" max="7" width="17.140625" customWidth="1"/>
    <col min="9" max="9" width="26.140625" customWidth="1"/>
    <col min="10" max="10" width="20.140625" customWidth="1"/>
    <col min="11" max="11" width="21.140625" bestFit="1" customWidth="1"/>
    <col min="12" max="12" width="15.85546875" bestFit="1" customWidth="1"/>
    <col min="13" max="13" width="17.7109375" bestFit="1" customWidth="1"/>
    <col min="14" max="14" width="21.42578125" bestFit="1" customWidth="1"/>
    <col min="15" max="15" width="18.85546875" bestFit="1" customWidth="1"/>
    <col min="16" max="16" width="25.85546875" bestFit="1" customWidth="1"/>
    <col min="17" max="17" width="23" bestFit="1" customWidth="1"/>
    <col min="18" max="18" width="22.5703125" bestFit="1" customWidth="1"/>
  </cols>
  <sheetData>
    <row r="3" spans="1:13" ht="15" customHeight="1">
      <c r="B3" s="6" t="s">
        <v>2599</v>
      </c>
      <c r="C3" s="8" t="s">
        <v>2678</v>
      </c>
      <c r="D3" s="8" t="s">
        <v>2679</v>
      </c>
      <c r="E3" s="8" t="s">
        <v>2672</v>
      </c>
      <c r="F3" s="8" t="s">
        <v>2673</v>
      </c>
      <c r="G3" s="8"/>
      <c r="I3" s="6" t="s">
        <v>2599</v>
      </c>
      <c r="J3" s="6" t="s">
        <v>2647</v>
      </c>
      <c r="K3" s="6" t="s">
        <v>2651</v>
      </c>
      <c r="L3" s="6" t="s">
        <v>2652</v>
      </c>
      <c r="M3" s="6" t="s">
        <v>2653</v>
      </c>
    </row>
    <row r="4" spans="1:13" ht="15" customHeight="1">
      <c r="B4" s="9" t="s">
        <v>24</v>
      </c>
      <c r="C4" s="7">
        <v>1321875.4650000001</v>
      </c>
      <c r="D4" s="7">
        <v>2645549</v>
      </c>
      <c r="E4" s="7">
        <f>Table56[[#This Row],[Actual Operating Profit]]-Table56[[#This Row],[Budget Operating Profit]]</f>
        <v>-1323673.5349999999</v>
      </c>
      <c r="F4" s="10">
        <f>Table56[[#This Row],[Variance ($)]]/D4</f>
        <v>-0.50033982927551135</v>
      </c>
      <c r="G4" s="7"/>
      <c r="I4" s="9" t="s">
        <v>82</v>
      </c>
      <c r="J4" s="7" t="e">
        <f>Business_Profitability!#REF!</f>
        <v>#REF!</v>
      </c>
      <c r="K4" s="7">
        <f>SUMIF(Product_Monthly_COGS[BU],Table3061[[#This Row],[Business Unit]],Product_Monthly_COGS[H1 COGS])</f>
        <v>280262.83</v>
      </c>
      <c r="L4" s="7" t="e">
        <f>Table3061[[#This Row],[H1 Net Revenue]]-Table3061[[#This Row],[H1 COGS]]</f>
        <v>#REF!</v>
      </c>
      <c r="M4" s="10" t="e">
        <f>Table3061[[#This Row],[Gross Profit]]/Table3061[[#This Row],[H1 Net Revenue]]</f>
        <v>#REF!</v>
      </c>
    </row>
    <row r="5" spans="1:13" ht="15" customHeight="1">
      <c r="B5" s="9" t="s">
        <v>53</v>
      </c>
      <c r="C5" s="7">
        <v>174889.89</v>
      </c>
      <c r="D5" s="7">
        <v>2909402</v>
      </c>
      <c r="E5" s="7">
        <f>Table56[[#This Row],[Actual Operating Profit]]-Table56[[#This Row],[Budget Operating Profit]]</f>
        <v>-2734512.11</v>
      </c>
      <c r="F5" s="10">
        <f>Table56[[#This Row],[Variance ($)]]/D5</f>
        <v>-0.93988802853644837</v>
      </c>
      <c r="G5" s="7"/>
      <c r="I5" s="9" t="s">
        <v>53</v>
      </c>
      <c r="J5" s="7" t="e">
        <f>Business_Profitability!#REF!</f>
        <v>#REF!</v>
      </c>
      <c r="K5" s="7">
        <f>SUMIF(Product_Monthly_COGS[BU],Table3061[[#This Row],[Business Unit]],Product_Monthly_COGS[H1 COGS])</f>
        <v>174889.88999999998</v>
      </c>
      <c r="L5" s="7" t="e">
        <f>Table3061[[#This Row],[H1 Net Revenue]]-Table3061[[#This Row],[H1 COGS]]</f>
        <v>#REF!</v>
      </c>
      <c r="M5" s="10" t="e">
        <f>Table3061[[#This Row],[Gross Profit]]/Table3061[[#This Row],[H1 Net Revenue]]</f>
        <v>#REF!</v>
      </c>
    </row>
    <row r="6" spans="1:13" ht="15" customHeight="1">
      <c r="B6" s="9" t="s">
        <v>82</v>
      </c>
      <c r="C6" s="7">
        <v>280262.83</v>
      </c>
      <c r="D6" s="7">
        <v>1221436</v>
      </c>
      <c r="E6" s="7">
        <f>Table56[[#This Row],[Actual Operating Profit]]-Table56[[#This Row],[Budget Operating Profit]]</f>
        <v>-941173.16999999993</v>
      </c>
      <c r="F6" s="10">
        <f>Table56[[#This Row],[Variance ($)]]/D6</f>
        <v>-0.77054644696897745</v>
      </c>
      <c r="G6" s="7"/>
      <c r="I6" s="9" t="s">
        <v>24</v>
      </c>
      <c r="J6" s="7" t="e">
        <f>Business_Profitability!#REF!</f>
        <v>#REF!</v>
      </c>
      <c r="K6" s="7">
        <f>SUMIF(Product_Monthly_COGS[BU],Table3061[[#This Row],[Business Unit]],Product_Monthly_COGS[H1 COGS])</f>
        <v>1321875.4650000001</v>
      </c>
      <c r="L6" s="7" t="e">
        <f>Table3061[[#This Row],[H1 Net Revenue]]-Table3061[[#This Row],[H1 COGS]]</f>
        <v>#REF!</v>
      </c>
      <c r="M6" s="10" t="e">
        <f>Table3061[[#This Row],[Gross Profit]]/Table3061[[#This Row],[H1 Net Revenue]]</f>
        <v>#REF!</v>
      </c>
    </row>
    <row r="7" spans="1:13" ht="15" customHeight="1">
      <c r="B7" s="12"/>
      <c r="C7" s="7"/>
      <c r="D7" s="7"/>
      <c r="E7" s="7"/>
      <c r="F7" s="7"/>
      <c r="G7" s="7"/>
      <c r="I7" s="9" t="s">
        <v>2597</v>
      </c>
      <c r="J7" s="7" t="e">
        <f>SUBTOTAL(109,Table3061[H1 Net Revenue])</f>
        <v>#REF!</v>
      </c>
      <c r="K7" s="7">
        <f>SUBTOTAL(109,Table3061[H1 COGS])</f>
        <v>1777028.1850000001</v>
      </c>
      <c r="L7" s="7" t="e">
        <f>SUBTOTAL(109,Table3061[Gross Profit])</f>
        <v>#REF!</v>
      </c>
      <c r="M7" s="7"/>
    </row>
    <row r="8" spans="1:13" ht="15" customHeight="1">
      <c r="B8" s="9"/>
      <c r="C8" s="9"/>
      <c r="D8" s="7"/>
      <c r="E8" s="7"/>
      <c r="F8" s="7"/>
      <c r="G8" s="7"/>
    </row>
    <row r="9" spans="1:13" ht="15" customHeight="1">
      <c r="B9" s="9"/>
      <c r="C9" s="9"/>
      <c r="D9" s="7"/>
      <c r="E9" s="7"/>
      <c r="F9" s="7"/>
      <c r="G9" s="7"/>
    </row>
    <row r="10" spans="1:13" ht="15" customHeight="1">
      <c r="B10" s="9"/>
      <c r="C10" s="9"/>
      <c r="D10" s="7"/>
      <c r="E10" s="7"/>
      <c r="F10" s="7"/>
      <c r="G10" s="7"/>
    </row>
    <row r="11" spans="1:13" ht="15" customHeight="1">
      <c r="B11" s="9"/>
      <c r="C11" s="9"/>
      <c r="D11" s="7"/>
      <c r="E11" s="7"/>
      <c r="F11" s="7"/>
      <c r="G11" s="7"/>
    </row>
    <row r="12" spans="1:13" ht="15" customHeight="1">
      <c r="A12" t="s">
        <v>2465</v>
      </c>
      <c r="B12" t="s">
        <v>2103</v>
      </c>
      <c r="C12" t="s">
        <v>8</v>
      </c>
      <c r="D12" t="s">
        <v>2680</v>
      </c>
      <c r="E12" t="s">
        <v>6</v>
      </c>
      <c r="F12" t="s">
        <v>2466</v>
      </c>
      <c r="G12" t="s">
        <v>2467</v>
      </c>
      <c r="H12" t="s">
        <v>2468</v>
      </c>
      <c r="I12" t="s">
        <v>2469</v>
      </c>
      <c r="J12" t="s">
        <v>2470</v>
      </c>
      <c r="K12" t="s">
        <v>2471</v>
      </c>
    </row>
    <row r="13" spans="1:13" ht="15" hidden="1" customHeight="1">
      <c r="A13" t="s">
        <v>2472</v>
      </c>
      <c r="B13" t="s">
        <v>2112</v>
      </c>
      <c r="C13" t="s">
        <v>24</v>
      </c>
      <c r="D13" t="str">
        <f>SUBSTITUTE(SUBSTITUTE(TRIM(Table560[[#This Row],[BusinessUnit]]),"Software and Analytics","Software &amp; Analytics"),"Sensors and Instruments","Sensors &amp; Instruments")</f>
        <v>Sensors &amp; Instruments</v>
      </c>
      <c r="E13" t="s">
        <v>23</v>
      </c>
      <c r="F13">
        <v>359017</v>
      </c>
      <c r="G13">
        <v>140163</v>
      </c>
      <c r="H13">
        <v>41528</v>
      </c>
      <c r="I13">
        <v>218854</v>
      </c>
      <c r="J13">
        <v>177326</v>
      </c>
      <c r="K13" t="s">
        <v>2473</v>
      </c>
    </row>
    <row r="14" spans="1:13" ht="15" hidden="1" customHeight="1">
      <c r="A14" t="s">
        <v>2474</v>
      </c>
      <c r="B14" t="s">
        <v>2112</v>
      </c>
      <c r="C14" t="s">
        <v>24</v>
      </c>
      <c r="D14" t="str">
        <f>SUBSTITUTE(SUBSTITUTE(TRIM(Table560[[#This Row],[BusinessUnit]]),"Software and Analytics","Software &amp; Analytics"),"Sensors and Instruments","Sensors &amp; Instruments")</f>
        <v>Sensors &amp; Instruments</v>
      </c>
      <c r="E14" t="s">
        <v>47</v>
      </c>
      <c r="F14">
        <v>248509</v>
      </c>
      <c r="G14">
        <v>99942</v>
      </c>
      <c r="H14">
        <v>28770</v>
      </c>
      <c r="I14">
        <v>148567</v>
      </c>
      <c r="J14">
        <v>119797</v>
      </c>
      <c r="K14" t="s">
        <v>2473</v>
      </c>
    </row>
    <row r="15" spans="1:13" ht="15" hidden="1" customHeight="1">
      <c r="A15" t="s">
        <v>2475</v>
      </c>
      <c r="B15" t="s">
        <v>2112</v>
      </c>
      <c r="C15" t="s">
        <v>24</v>
      </c>
      <c r="D15" t="str">
        <f>SUBSTITUTE(SUBSTITUTE(TRIM(Table560[[#This Row],[BusinessUnit]]),"Software and Analytics","Software &amp; Analytics"),"Sensors and Instruments","Sensors &amp; Instruments")</f>
        <v>Sensors &amp; Instruments</v>
      </c>
      <c r="E15" t="s">
        <v>58</v>
      </c>
      <c r="F15">
        <v>165364</v>
      </c>
      <c r="G15">
        <v>65135</v>
      </c>
      <c r="H15">
        <v>19988</v>
      </c>
      <c r="I15">
        <v>100229</v>
      </c>
      <c r="J15">
        <v>80241</v>
      </c>
      <c r="K15" t="s">
        <v>2473</v>
      </c>
    </row>
    <row r="16" spans="1:13" hidden="1">
      <c r="A16" t="s">
        <v>2476</v>
      </c>
      <c r="B16" t="s">
        <v>2112</v>
      </c>
      <c r="C16" t="s">
        <v>24</v>
      </c>
      <c r="D16" t="str">
        <f>SUBSTITUTE(SUBSTITUTE(TRIM(Table560[[#This Row],[BusinessUnit]]),"Software and Analytics","Software &amp; Analytics"),"Sensors and Instruments","Sensors &amp; Instruments")</f>
        <v>Sensors &amp; Instruments</v>
      </c>
      <c r="E16" t="s">
        <v>32</v>
      </c>
      <c r="F16">
        <v>72840</v>
      </c>
      <c r="G16">
        <v>29238</v>
      </c>
      <c r="H16">
        <v>8670</v>
      </c>
      <c r="I16">
        <v>43602</v>
      </c>
      <c r="J16">
        <v>34932</v>
      </c>
      <c r="K16" t="s">
        <v>2473</v>
      </c>
    </row>
    <row r="17" spans="1:11" hidden="1">
      <c r="A17" t="s">
        <v>2477</v>
      </c>
      <c r="B17" t="s">
        <v>2112</v>
      </c>
      <c r="C17" t="s">
        <v>53</v>
      </c>
      <c r="D17" t="str">
        <f>SUBSTITUTE(SUBSTITUTE(TRIM(Table560[[#This Row],[BusinessUnit]]),"Software and Analytics","Software &amp; Analytics"),"Sensors and Instruments","Sensors &amp; Instruments")</f>
        <v>Software &amp; Analytics</v>
      </c>
      <c r="E17" t="s">
        <v>23</v>
      </c>
      <c r="F17">
        <v>265815</v>
      </c>
      <c r="G17">
        <v>14363</v>
      </c>
      <c r="H17">
        <v>46872</v>
      </c>
      <c r="I17">
        <v>251452</v>
      </c>
      <c r="J17">
        <v>204580</v>
      </c>
      <c r="K17" t="s">
        <v>2473</v>
      </c>
    </row>
    <row r="18" spans="1:11" hidden="1">
      <c r="A18" t="s">
        <v>2478</v>
      </c>
      <c r="B18" t="s">
        <v>2112</v>
      </c>
      <c r="C18" t="s">
        <v>119</v>
      </c>
      <c r="D18" t="str">
        <f>SUBSTITUTE(SUBSTITUTE(TRIM(Table560[[#This Row],[BusinessUnit]]),"Software and Analytics","Software &amp; Analytics"),"Sensors and Instruments","Sensors &amp; Instruments")</f>
        <v>Software &amp; Analytics</v>
      </c>
      <c r="E18" t="s">
        <v>47</v>
      </c>
      <c r="F18">
        <v>165690</v>
      </c>
      <c r="G18">
        <v>9017</v>
      </c>
      <c r="H18">
        <v>28485</v>
      </c>
      <c r="I18">
        <v>156673</v>
      </c>
      <c r="J18">
        <v>128188</v>
      </c>
      <c r="K18" t="s">
        <v>2473</v>
      </c>
    </row>
    <row r="19" spans="1:11" hidden="1">
      <c r="A19" t="s">
        <v>2479</v>
      </c>
      <c r="B19" t="s">
        <v>2112</v>
      </c>
      <c r="C19" t="s">
        <v>53</v>
      </c>
      <c r="D19" t="str">
        <f>SUBSTITUTE(SUBSTITUTE(TRIM(Table560[[#This Row],[BusinessUnit]]),"Software and Analytics","Software &amp; Analytics"),"Sensors and Instruments","Sensors &amp; Instruments")</f>
        <v>Software &amp; Analytics</v>
      </c>
      <c r="E19" t="s">
        <v>58</v>
      </c>
      <c r="F19">
        <v>100757</v>
      </c>
      <c r="G19">
        <v>5563</v>
      </c>
      <c r="H19">
        <v>18067</v>
      </c>
      <c r="I19">
        <v>95194</v>
      </c>
      <c r="J19">
        <v>77127</v>
      </c>
      <c r="K19" t="s">
        <v>2473</v>
      </c>
    </row>
    <row r="20" spans="1:11" hidden="1">
      <c r="A20" t="s">
        <v>2480</v>
      </c>
      <c r="B20" t="s">
        <v>2112</v>
      </c>
      <c r="C20" t="s">
        <v>53</v>
      </c>
      <c r="D20" t="str">
        <f>SUBSTITUTE(SUBSTITUTE(TRIM(Table560[[#This Row],[BusinessUnit]]),"Software and Analytics","Software &amp; Analytics"),"Sensors and Instruments","Sensors &amp; Instruments")</f>
        <v>Software &amp; Analytics</v>
      </c>
      <c r="E20" t="s">
        <v>32</v>
      </c>
      <c r="F20">
        <v>39651</v>
      </c>
      <c r="G20">
        <v>2223</v>
      </c>
      <c r="H20">
        <v>7049</v>
      </c>
      <c r="I20">
        <v>37428</v>
      </c>
      <c r="J20">
        <v>30379</v>
      </c>
      <c r="K20" t="s">
        <v>2473</v>
      </c>
    </row>
    <row r="21" spans="1:11">
      <c r="A21" t="s">
        <v>2481</v>
      </c>
      <c r="B21" t="s">
        <v>2112</v>
      </c>
      <c r="C21" t="s">
        <v>82</v>
      </c>
      <c r="D21" t="str">
        <f>SUBSTITUTE(SUBSTITUTE(TRIM(Table560[[#This Row],[BusinessUnit]]),"Software and Analytics","Software &amp; Analytics"),"Sensors and Instruments","Sensors &amp; Instruments")</f>
        <v>Field Services</v>
      </c>
      <c r="E21" t="s">
        <v>23</v>
      </c>
      <c r="F21">
        <v>158467</v>
      </c>
      <c r="G21">
        <v>76147</v>
      </c>
      <c r="H21">
        <v>25168</v>
      </c>
      <c r="I21">
        <v>82320</v>
      </c>
      <c r="J21">
        <v>57152</v>
      </c>
      <c r="K21" t="s">
        <v>2473</v>
      </c>
    </row>
    <row r="22" spans="1:11">
      <c r="A22" t="s">
        <v>2482</v>
      </c>
      <c r="B22" t="s">
        <v>2112</v>
      </c>
      <c r="C22" t="s">
        <v>82</v>
      </c>
      <c r="D22" t="str">
        <f>SUBSTITUTE(SUBSTITUTE(TRIM(Table560[[#This Row],[BusinessUnit]]),"Software and Analytics","Software &amp; Analytics"),"Sensors and Instruments","Sensors &amp; Instruments")</f>
        <v>Field Services</v>
      </c>
      <c r="E22" t="s">
        <v>47</v>
      </c>
      <c r="F22">
        <v>100593</v>
      </c>
      <c r="G22">
        <v>48664</v>
      </c>
      <c r="H22">
        <v>15344</v>
      </c>
      <c r="I22">
        <v>51929</v>
      </c>
      <c r="J22">
        <v>36585</v>
      </c>
      <c r="K22" t="s">
        <v>2473</v>
      </c>
    </row>
    <row r="23" spans="1:11">
      <c r="A23" t="s">
        <v>2483</v>
      </c>
      <c r="B23" t="s">
        <v>2112</v>
      </c>
      <c r="C23" t="s">
        <v>82</v>
      </c>
      <c r="D23" t="str">
        <f>SUBSTITUTE(SUBSTITUTE(TRIM(Table560[[#This Row],[BusinessUnit]]),"Software and Analytics","Software &amp; Analytics"),"Sensors and Instruments","Sensors &amp; Instruments")</f>
        <v>Field Services</v>
      </c>
      <c r="E23" t="s">
        <v>58</v>
      </c>
      <c r="F23">
        <v>66512</v>
      </c>
      <c r="G23">
        <v>31614</v>
      </c>
      <c r="H23">
        <v>10349</v>
      </c>
      <c r="I23">
        <v>34898</v>
      </c>
      <c r="J23">
        <v>24549</v>
      </c>
      <c r="K23" t="s">
        <v>2473</v>
      </c>
    </row>
    <row r="24" spans="1:11">
      <c r="A24" t="s">
        <v>2484</v>
      </c>
      <c r="B24" t="s">
        <v>2112</v>
      </c>
      <c r="C24" t="s">
        <v>82</v>
      </c>
      <c r="D24" t="str">
        <f>SUBSTITUTE(SUBSTITUTE(TRIM(Table560[[#This Row],[BusinessUnit]]),"Software and Analytics","Software &amp; Analytics"),"Sensors and Instruments","Sensors &amp; Instruments")</f>
        <v>Field Services</v>
      </c>
      <c r="E24" t="s">
        <v>32</v>
      </c>
      <c r="F24">
        <v>32590</v>
      </c>
      <c r="G24">
        <v>15505</v>
      </c>
      <c r="H24">
        <v>5109</v>
      </c>
      <c r="I24">
        <v>17085</v>
      </c>
      <c r="J24">
        <v>11976</v>
      </c>
      <c r="K24" t="s">
        <v>2473</v>
      </c>
    </row>
    <row r="25" spans="1:11" hidden="1">
      <c r="A25" t="s">
        <v>2485</v>
      </c>
      <c r="B25" t="s">
        <v>2117</v>
      </c>
      <c r="C25" t="s">
        <v>24</v>
      </c>
      <c r="D25" t="str">
        <f>SUBSTITUTE(SUBSTITUTE(TRIM(Table560[[#This Row],[BusinessUnit]]),"Software and Analytics","Software &amp; Analytics"),"Sensors and Instruments","Sensors &amp; Instruments")</f>
        <v>Sensors &amp; Instruments</v>
      </c>
      <c r="E25" t="s">
        <v>23</v>
      </c>
      <c r="F25">
        <v>354931</v>
      </c>
      <c r="G25">
        <v>137461</v>
      </c>
      <c r="H25">
        <v>42202</v>
      </c>
      <c r="I25">
        <v>217470</v>
      </c>
      <c r="J25">
        <v>175268</v>
      </c>
      <c r="K25" t="s">
        <v>2473</v>
      </c>
    </row>
    <row r="26" spans="1:11" hidden="1">
      <c r="A26" t="s">
        <v>2486</v>
      </c>
      <c r="B26" t="s">
        <v>2117</v>
      </c>
      <c r="C26" t="s">
        <v>24</v>
      </c>
      <c r="D26" t="str">
        <f>SUBSTITUTE(SUBSTITUTE(TRIM(Table560[[#This Row],[BusinessUnit]]),"Software and Analytics","Software &amp; Analytics"),"Sensors and Instruments","Sensors &amp; Instruments")</f>
        <v>Sensors &amp; Instruments</v>
      </c>
      <c r="E26" t="s">
        <v>47</v>
      </c>
      <c r="F26">
        <v>244607</v>
      </c>
      <c r="G26">
        <v>96952</v>
      </c>
      <c r="H26">
        <v>28000</v>
      </c>
      <c r="I26">
        <v>147655</v>
      </c>
      <c r="J26">
        <v>119655</v>
      </c>
      <c r="K26" t="s">
        <v>2473</v>
      </c>
    </row>
    <row r="27" spans="1:11" hidden="1">
      <c r="A27" t="s">
        <v>2487</v>
      </c>
      <c r="B27" t="s">
        <v>2117</v>
      </c>
      <c r="C27" t="s">
        <v>24</v>
      </c>
      <c r="D27" t="str">
        <f>SUBSTITUTE(SUBSTITUTE(TRIM(Table560[[#This Row],[BusinessUnit]]),"Software and Analytics","Software &amp; Analytics"),"Sensors and Instruments","Sensors &amp; Instruments")</f>
        <v>Sensors &amp; Instruments</v>
      </c>
      <c r="E27" t="s">
        <v>58</v>
      </c>
      <c r="F27">
        <v>160698</v>
      </c>
      <c r="G27">
        <v>64428</v>
      </c>
      <c r="H27">
        <v>18772</v>
      </c>
      <c r="I27">
        <v>96270</v>
      </c>
      <c r="J27">
        <v>77498</v>
      </c>
      <c r="K27" t="s">
        <v>2473</v>
      </c>
    </row>
    <row r="28" spans="1:11" hidden="1">
      <c r="A28" t="s">
        <v>2488</v>
      </c>
      <c r="B28" t="s">
        <v>2117</v>
      </c>
      <c r="C28" t="s">
        <v>24</v>
      </c>
      <c r="D28" t="str">
        <f>SUBSTITUTE(SUBSTITUTE(TRIM(Table560[[#This Row],[BusinessUnit]]),"Software and Analytics","Software &amp; Analytics"),"Sensors and Instruments","Sensors &amp; Instruments")</f>
        <v>Sensors &amp; Instruments</v>
      </c>
      <c r="E28" t="s">
        <v>32</v>
      </c>
      <c r="F28">
        <v>71523</v>
      </c>
      <c r="G28">
        <v>27825</v>
      </c>
      <c r="H28">
        <v>8415</v>
      </c>
      <c r="I28">
        <v>43698</v>
      </c>
      <c r="J28">
        <v>35283</v>
      </c>
      <c r="K28" t="s">
        <v>2473</v>
      </c>
    </row>
    <row r="29" spans="1:11" hidden="1">
      <c r="A29" t="s">
        <v>2489</v>
      </c>
      <c r="B29" t="s">
        <v>2117</v>
      </c>
      <c r="C29" t="s">
        <v>53</v>
      </c>
      <c r="D29" t="str">
        <f>SUBSTITUTE(SUBSTITUTE(TRIM(Table560[[#This Row],[BusinessUnit]]),"Software and Analytics","Software &amp; Analytics"),"Sensors and Instruments","Sensors &amp; Instruments")</f>
        <v>Software &amp; Analytics</v>
      </c>
      <c r="E29" t="s">
        <v>23</v>
      </c>
      <c r="F29">
        <v>269703</v>
      </c>
      <c r="G29">
        <v>15061</v>
      </c>
      <c r="H29">
        <v>45882</v>
      </c>
      <c r="I29">
        <v>254642</v>
      </c>
      <c r="J29">
        <v>208760</v>
      </c>
      <c r="K29" t="s">
        <v>2473</v>
      </c>
    </row>
    <row r="30" spans="1:11" hidden="1">
      <c r="A30" t="s">
        <v>2490</v>
      </c>
      <c r="B30" t="s">
        <v>2117</v>
      </c>
      <c r="C30" t="s">
        <v>53</v>
      </c>
      <c r="D30" t="str">
        <f>SUBSTITUTE(SUBSTITUTE(TRIM(Table560[[#This Row],[BusinessUnit]]),"Software and Analytics","Software &amp; Analytics"),"Sensors and Instruments","Sensors &amp; Instruments")</f>
        <v>Software &amp; Analytics</v>
      </c>
      <c r="E30" t="s">
        <v>47</v>
      </c>
      <c r="F30">
        <v>174808</v>
      </c>
      <c r="G30">
        <v>9644</v>
      </c>
      <c r="H30">
        <v>30646</v>
      </c>
      <c r="I30">
        <v>165164</v>
      </c>
      <c r="J30">
        <v>134518</v>
      </c>
      <c r="K30" t="s">
        <v>2473</v>
      </c>
    </row>
    <row r="31" spans="1:11" hidden="1">
      <c r="A31" t="s">
        <v>2491</v>
      </c>
      <c r="B31" t="s">
        <v>2117</v>
      </c>
      <c r="C31" t="s">
        <v>53</v>
      </c>
      <c r="D31" t="str">
        <f>SUBSTITUTE(SUBSTITUTE(TRIM(Table560[[#This Row],[BusinessUnit]]),"Software and Analytics","Software &amp; Analytics"),"Sensors and Instruments","Sensors &amp; Instruments")</f>
        <v>Software &amp; Analytics</v>
      </c>
      <c r="E31" t="s">
        <v>58</v>
      </c>
      <c r="F31">
        <v>103545</v>
      </c>
      <c r="G31">
        <v>5625</v>
      </c>
      <c r="H31">
        <v>17804</v>
      </c>
      <c r="I31">
        <v>97920</v>
      </c>
      <c r="J31">
        <v>80116</v>
      </c>
      <c r="K31" t="s">
        <v>2473</v>
      </c>
    </row>
    <row r="32" spans="1:11" hidden="1">
      <c r="A32" t="s">
        <v>2492</v>
      </c>
      <c r="B32" t="s">
        <v>2117</v>
      </c>
      <c r="C32" t="s">
        <v>53</v>
      </c>
      <c r="D32" t="str">
        <f>SUBSTITUTE(SUBSTITUTE(TRIM(Table560[[#This Row],[BusinessUnit]]),"Software and Analytics","Software &amp; Analytics"),"Sensors and Instruments","Sensors &amp; Instruments")</f>
        <v>Software &amp; Analytics</v>
      </c>
      <c r="E32" t="s">
        <v>32</v>
      </c>
      <c r="F32">
        <v>39508</v>
      </c>
      <c r="G32">
        <v>2210</v>
      </c>
      <c r="H32">
        <v>7054</v>
      </c>
      <c r="I32">
        <v>37298</v>
      </c>
      <c r="J32">
        <v>30244</v>
      </c>
      <c r="K32" t="s">
        <v>2473</v>
      </c>
    </row>
    <row r="33" spans="1:11">
      <c r="A33" t="s">
        <v>2493</v>
      </c>
      <c r="B33" t="s">
        <v>2117</v>
      </c>
      <c r="C33" t="s">
        <v>82</v>
      </c>
      <c r="D33" t="str">
        <f>SUBSTITUTE(SUBSTITUTE(TRIM(Table560[[#This Row],[BusinessUnit]]),"Software and Analytics","Software &amp; Analytics"),"Sensors and Instruments","Sensors &amp; Instruments")</f>
        <v>Field Services</v>
      </c>
      <c r="E33" t="s">
        <v>23</v>
      </c>
      <c r="F33">
        <v>150306</v>
      </c>
      <c r="G33">
        <v>71830</v>
      </c>
      <c r="H33">
        <v>23229</v>
      </c>
      <c r="I33">
        <v>78476</v>
      </c>
      <c r="J33">
        <v>55247</v>
      </c>
      <c r="K33" t="s">
        <v>2473</v>
      </c>
    </row>
    <row r="34" spans="1:11">
      <c r="A34" t="s">
        <v>2494</v>
      </c>
      <c r="B34" t="s">
        <v>2117</v>
      </c>
      <c r="C34" t="s">
        <v>82</v>
      </c>
      <c r="D34" t="str">
        <f>SUBSTITUTE(SUBSTITUTE(TRIM(Table560[[#This Row],[BusinessUnit]]),"Software and Analytics","Software &amp; Analytics"),"Sensors and Instruments","Sensors &amp; Instruments")</f>
        <v>Field Services</v>
      </c>
      <c r="E34" t="s">
        <v>47</v>
      </c>
      <c r="F34">
        <v>104943</v>
      </c>
      <c r="G34">
        <v>49166</v>
      </c>
      <c r="H34">
        <v>16676</v>
      </c>
      <c r="I34">
        <v>55777</v>
      </c>
      <c r="J34">
        <v>39101</v>
      </c>
      <c r="K34" t="s">
        <v>2473</v>
      </c>
    </row>
    <row r="35" spans="1:11">
      <c r="A35" t="s">
        <v>2495</v>
      </c>
      <c r="B35" t="s">
        <v>2117</v>
      </c>
      <c r="C35" t="s">
        <v>82</v>
      </c>
      <c r="D35" t="str">
        <f>SUBSTITUTE(SUBSTITUTE(TRIM(Table560[[#This Row],[BusinessUnit]]),"Software and Analytics","Software &amp; Analytics"),"Sensors and Instruments","Sensors &amp; Instruments")</f>
        <v>Field Services</v>
      </c>
      <c r="E35" t="s">
        <v>58</v>
      </c>
      <c r="F35">
        <v>65586</v>
      </c>
      <c r="G35">
        <v>30933</v>
      </c>
      <c r="H35">
        <v>9970</v>
      </c>
      <c r="I35">
        <v>34653</v>
      </c>
      <c r="J35">
        <v>24683</v>
      </c>
      <c r="K35" t="s">
        <v>2473</v>
      </c>
    </row>
    <row r="36" spans="1:11">
      <c r="A36" t="s">
        <v>2496</v>
      </c>
      <c r="B36" t="s">
        <v>2117</v>
      </c>
      <c r="C36" t="s">
        <v>82</v>
      </c>
      <c r="D36" t="str">
        <f>SUBSTITUTE(SUBSTITUTE(TRIM(Table560[[#This Row],[BusinessUnit]]),"Software and Analytics","Software &amp; Analytics"),"Sensors and Instruments","Sensors &amp; Instruments")</f>
        <v>Field Services</v>
      </c>
      <c r="E36" t="s">
        <v>32</v>
      </c>
      <c r="F36">
        <v>31247</v>
      </c>
      <c r="G36">
        <v>14731</v>
      </c>
      <c r="H36">
        <v>4741</v>
      </c>
      <c r="I36">
        <v>16516</v>
      </c>
      <c r="J36">
        <v>11775</v>
      </c>
      <c r="K36" t="s">
        <v>2473</v>
      </c>
    </row>
    <row r="37" spans="1:11" hidden="1">
      <c r="A37" t="s">
        <v>2497</v>
      </c>
      <c r="B37" t="s">
        <v>2170</v>
      </c>
      <c r="C37" t="s">
        <v>24</v>
      </c>
      <c r="D37" t="str">
        <f>SUBSTITUTE(SUBSTITUTE(TRIM(Table560[[#This Row],[BusinessUnit]]),"Software and Analytics","Software &amp; Analytics"),"Sensors and Instruments","Sensors &amp; Instruments")</f>
        <v>Sensors &amp; Instruments</v>
      </c>
      <c r="E37" t="s">
        <v>23</v>
      </c>
      <c r="F37">
        <v>359261</v>
      </c>
      <c r="G37">
        <v>143365</v>
      </c>
      <c r="H37">
        <v>43227</v>
      </c>
      <c r="I37">
        <v>215896</v>
      </c>
      <c r="J37">
        <v>172669</v>
      </c>
      <c r="K37" t="s">
        <v>2473</v>
      </c>
    </row>
    <row r="38" spans="1:11" hidden="1">
      <c r="A38" t="s">
        <v>2498</v>
      </c>
      <c r="B38" t="s">
        <v>2170</v>
      </c>
      <c r="C38" t="s">
        <v>24</v>
      </c>
      <c r="D38" t="str">
        <f>SUBSTITUTE(SUBSTITUTE(TRIM(Table560[[#This Row],[BusinessUnit]]),"Software and Analytics","Software &amp; Analytics"),"Sensors and Instruments","Sensors &amp; Instruments")</f>
        <v>Sensors &amp; Instruments</v>
      </c>
      <c r="E38" t="s">
        <v>47</v>
      </c>
      <c r="F38">
        <v>236566</v>
      </c>
      <c r="G38">
        <v>92888</v>
      </c>
      <c r="H38">
        <v>27087</v>
      </c>
      <c r="I38">
        <v>143678</v>
      </c>
      <c r="J38">
        <v>116591</v>
      </c>
      <c r="K38" t="s">
        <v>2473</v>
      </c>
    </row>
    <row r="39" spans="1:11" hidden="1">
      <c r="A39" t="s">
        <v>2499</v>
      </c>
      <c r="B39" t="s">
        <v>2170</v>
      </c>
      <c r="C39" t="s">
        <v>24</v>
      </c>
      <c r="D39" t="str">
        <f>SUBSTITUTE(SUBSTITUTE(TRIM(Table560[[#This Row],[BusinessUnit]]),"Software and Analytics","Software &amp; Analytics"),"Sensors and Instruments","Sensors &amp; Instruments")</f>
        <v>Sensors &amp; Instruments</v>
      </c>
      <c r="E39" t="s">
        <v>58</v>
      </c>
      <c r="F39">
        <v>161075</v>
      </c>
      <c r="G39">
        <v>64666</v>
      </c>
      <c r="H39">
        <v>18902</v>
      </c>
      <c r="I39">
        <v>96409</v>
      </c>
      <c r="J39">
        <v>77507</v>
      </c>
      <c r="K39" t="s">
        <v>2473</v>
      </c>
    </row>
    <row r="40" spans="1:11" hidden="1">
      <c r="A40" t="s">
        <v>2500</v>
      </c>
      <c r="B40" t="s">
        <v>2170</v>
      </c>
      <c r="C40" t="s">
        <v>24</v>
      </c>
      <c r="D40" t="str">
        <f>SUBSTITUTE(SUBSTITUTE(TRIM(Table560[[#This Row],[BusinessUnit]]),"Software and Analytics","Software &amp; Analytics"),"Sensors and Instruments","Sensors &amp; Instruments")</f>
        <v>Sensors &amp; Instruments</v>
      </c>
      <c r="E40" t="s">
        <v>32</v>
      </c>
      <c r="F40">
        <v>73369</v>
      </c>
      <c r="G40">
        <v>29500</v>
      </c>
      <c r="H40">
        <v>8521</v>
      </c>
      <c r="I40">
        <v>43869</v>
      </c>
      <c r="J40">
        <v>35348</v>
      </c>
      <c r="K40" t="s">
        <v>2473</v>
      </c>
    </row>
    <row r="41" spans="1:11" hidden="1">
      <c r="A41" t="s">
        <v>2501</v>
      </c>
      <c r="B41" t="s">
        <v>2170</v>
      </c>
      <c r="C41" t="s">
        <v>53</v>
      </c>
      <c r="D41" t="str">
        <f>SUBSTITUTE(SUBSTITUTE(TRIM(Table560[[#This Row],[BusinessUnit]]),"Software and Analytics","Software &amp; Analytics"),"Sensors and Instruments","Sensors &amp; Instruments")</f>
        <v>Software &amp; Analytics</v>
      </c>
      <c r="E41" t="s">
        <v>23</v>
      </c>
      <c r="F41">
        <v>263423</v>
      </c>
      <c r="G41">
        <v>14627</v>
      </c>
      <c r="H41">
        <v>46318</v>
      </c>
      <c r="I41">
        <v>248796</v>
      </c>
      <c r="J41">
        <v>202478</v>
      </c>
      <c r="K41" t="s">
        <v>2473</v>
      </c>
    </row>
    <row r="42" spans="1:11" hidden="1">
      <c r="A42" t="s">
        <v>2502</v>
      </c>
      <c r="B42" t="s">
        <v>2170</v>
      </c>
      <c r="C42" t="s">
        <v>53</v>
      </c>
      <c r="D42" t="str">
        <f>SUBSTITUTE(SUBSTITUTE(TRIM(Table560[[#This Row],[BusinessUnit]]),"Software and Analytics","Software &amp; Analytics"),"Sensors and Instruments","Sensors &amp; Instruments")</f>
        <v>Software &amp; Analytics</v>
      </c>
      <c r="E42" t="s">
        <v>47</v>
      </c>
      <c r="F42">
        <v>168639</v>
      </c>
      <c r="G42">
        <v>9226</v>
      </c>
      <c r="H42">
        <v>28770</v>
      </c>
      <c r="I42">
        <v>159413</v>
      </c>
      <c r="J42">
        <v>130643</v>
      </c>
      <c r="K42" t="s">
        <v>2473</v>
      </c>
    </row>
    <row r="43" spans="1:11" hidden="1">
      <c r="A43" t="s">
        <v>2503</v>
      </c>
      <c r="B43" t="s">
        <v>2170</v>
      </c>
      <c r="C43" t="s">
        <v>53</v>
      </c>
      <c r="D43" t="str">
        <f>SUBSTITUTE(SUBSTITUTE(TRIM(Table560[[#This Row],[BusinessUnit]]),"Software and Analytics","Software &amp; Analytics"),"Sensors and Instruments","Sensors &amp; Instruments")</f>
        <v>Software &amp; Analytics</v>
      </c>
      <c r="E43" t="s">
        <v>58</v>
      </c>
      <c r="F43">
        <v>103453</v>
      </c>
      <c r="G43">
        <v>5631</v>
      </c>
      <c r="H43">
        <v>17667</v>
      </c>
      <c r="I43">
        <v>97822</v>
      </c>
      <c r="J43">
        <v>80155</v>
      </c>
      <c r="K43" t="s">
        <v>2473</v>
      </c>
    </row>
    <row r="44" spans="1:11" hidden="1">
      <c r="A44" t="s">
        <v>2504</v>
      </c>
      <c r="B44" t="s">
        <v>2170</v>
      </c>
      <c r="C44" t="s">
        <v>53</v>
      </c>
      <c r="D44" t="str">
        <f>SUBSTITUTE(SUBSTITUTE(TRIM(Table560[[#This Row],[BusinessUnit]]),"Software and Analytics","Software &amp; Analytics"),"Sensors and Instruments","Sensors &amp; Instruments")</f>
        <v>Software &amp; Analytics</v>
      </c>
      <c r="E44" t="s">
        <v>32</v>
      </c>
      <c r="F44">
        <v>39288</v>
      </c>
      <c r="G44">
        <v>2160</v>
      </c>
      <c r="H44">
        <v>6984</v>
      </c>
      <c r="I44">
        <v>37128</v>
      </c>
      <c r="J44">
        <v>30144</v>
      </c>
      <c r="K44" t="s">
        <v>2473</v>
      </c>
    </row>
    <row r="45" spans="1:11">
      <c r="A45" t="s">
        <v>2505</v>
      </c>
      <c r="B45" t="s">
        <v>2170</v>
      </c>
      <c r="C45" t="s">
        <v>82</v>
      </c>
      <c r="D45" t="str">
        <f>SUBSTITUTE(SUBSTITUTE(TRIM(Table560[[#This Row],[BusinessUnit]]),"Software and Analytics","Software &amp; Analytics"),"Sensors and Instruments","Sensors &amp; Instruments")</f>
        <v>Field Services</v>
      </c>
      <c r="E45" t="s">
        <v>23</v>
      </c>
      <c r="F45">
        <v>158287</v>
      </c>
      <c r="G45">
        <v>74832</v>
      </c>
      <c r="H45">
        <v>23879</v>
      </c>
      <c r="I45">
        <v>83455</v>
      </c>
      <c r="J45">
        <v>59576</v>
      </c>
      <c r="K45" t="s">
        <v>2473</v>
      </c>
    </row>
    <row r="46" spans="1:11">
      <c r="A46" t="s">
        <v>2506</v>
      </c>
      <c r="B46" t="s">
        <v>2170</v>
      </c>
      <c r="C46" t="s">
        <v>82</v>
      </c>
      <c r="D46" t="str">
        <f>SUBSTITUTE(SUBSTITUTE(TRIM(Table560[[#This Row],[BusinessUnit]]),"Software and Analytics","Software &amp; Analytics"),"Sensors and Instruments","Sensors &amp; Instruments")</f>
        <v>Field Services</v>
      </c>
      <c r="E46" t="s">
        <v>47</v>
      </c>
      <c r="F46">
        <v>101514</v>
      </c>
      <c r="G46">
        <v>47353</v>
      </c>
      <c r="H46">
        <v>15403</v>
      </c>
      <c r="I46">
        <v>54161</v>
      </c>
      <c r="J46">
        <v>38758</v>
      </c>
      <c r="K46" t="s">
        <v>2473</v>
      </c>
    </row>
    <row r="47" spans="1:11">
      <c r="A47" t="s">
        <v>2507</v>
      </c>
      <c r="B47" t="s">
        <v>2170</v>
      </c>
      <c r="C47" t="s">
        <v>82</v>
      </c>
      <c r="D47" t="str">
        <f>SUBSTITUTE(SUBSTITUTE(TRIM(Table560[[#This Row],[BusinessUnit]]),"Software and Analytics","Software &amp; Analytics"),"Sensors and Instruments","Sensors &amp; Instruments")</f>
        <v>Field Services</v>
      </c>
      <c r="E47" t="s">
        <v>58</v>
      </c>
      <c r="F47">
        <v>67627</v>
      </c>
      <c r="G47">
        <v>32690</v>
      </c>
      <c r="H47">
        <v>10593</v>
      </c>
      <c r="I47">
        <v>34937</v>
      </c>
      <c r="J47">
        <v>24344</v>
      </c>
      <c r="K47" t="s">
        <v>2473</v>
      </c>
    </row>
    <row r="48" spans="1:11">
      <c r="A48" t="s">
        <v>2508</v>
      </c>
      <c r="B48" t="s">
        <v>2170</v>
      </c>
      <c r="C48" t="s">
        <v>82</v>
      </c>
      <c r="D48" t="str">
        <f>SUBSTITUTE(SUBSTITUTE(TRIM(Table560[[#This Row],[BusinessUnit]]),"Software and Analytics","Software &amp; Analytics"),"Sensors and Instruments","Sensors &amp; Instruments")</f>
        <v>Field Services</v>
      </c>
      <c r="E48" t="s">
        <v>32</v>
      </c>
      <c r="F48">
        <v>32648</v>
      </c>
      <c r="G48">
        <v>15651</v>
      </c>
      <c r="H48">
        <v>4946</v>
      </c>
      <c r="I48">
        <v>16997</v>
      </c>
      <c r="J48">
        <v>12051</v>
      </c>
      <c r="K48" t="s">
        <v>2473</v>
      </c>
    </row>
    <row r="49" spans="1:11" hidden="1">
      <c r="A49" t="s">
        <v>2509</v>
      </c>
      <c r="B49" t="s">
        <v>2120</v>
      </c>
      <c r="C49" t="s">
        <v>2510</v>
      </c>
      <c r="D49" t="str">
        <f>SUBSTITUTE(SUBSTITUTE(TRIM(Table560[[#This Row],[BusinessUnit]]),"Software and Analytics","Software &amp; Analytics"),"Sensors and Instruments","Sensors &amp; Instruments")</f>
        <v>Sensors &amp; Instruments</v>
      </c>
      <c r="E49" t="s">
        <v>23</v>
      </c>
      <c r="F49">
        <v>404501</v>
      </c>
      <c r="G49">
        <v>161046</v>
      </c>
      <c r="H49">
        <v>46406</v>
      </c>
      <c r="I49">
        <v>243455</v>
      </c>
      <c r="J49">
        <v>197049</v>
      </c>
      <c r="K49" t="s">
        <v>2473</v>
      </c>
    </row>
    <row r="50" spans="1:11" hidden="1">
      <c r="A50" t="s">
        <v>2511</v>
      </c>
      <c r="B50" t="s">
        <v>2120</v>
      </c>
      <c r="C50" t="s">
        <v>24</v>
      </c>
      <c r="D50" t="str">
        <f>SUBSTITUTE(SUBSTITUTE(TRIM(Table560[[#This Row],[BusinessUnit]]),"Software and Analytics","Software &amp; Analytics"),"Sensors and Instruments","Sensors &amp; Instruments")</f>
        <v>Sensors &amp; Instruments</v>
      </c>
      <c r="E50" t="s">
        <v>47</v>
      </c>
      <c r="F50">
        <v>291553</v>
      </c>
      <c r="G50">
        <v>115583</v>
      </c>
      <c r="H50">
        <v>33605</v>
      </c>
      <c r="I50">
        <v>175970</v>
      </c>
      <c r="J50">
        <v>142365</v>
      </c>
      <c r="K50" t="s">
        <v>2473</v>
      </c>
    </row>
    <row r="51" spans="1:11" hidden="1">
      <c r="A51" t="s">
        <v>2512</v>
      </c>
      <c r="B51" t="s">
        <v>2120</v>
      </c>
      <c r="C51" t="s">
        <v>24</v>
      </c>
      <c r="D51" t="str">
        <f>SUBSTITUTE(SUBSTITUTE(TRIM(Table560[[#This Row],[BusinessUnit]]),"Software and Analytics","Software &amp; Analytics"),"Sensors and Instruments","Sensors &amp; Instruments")</f>
        <v>Sensors &amp; Instruments</v>
      </c>
      <c r="E51" t="s">
        <v>58</v>
      </c>
      <c r="F51">
        <v>190806</v>
      </c>
      <c r="G51">
        <v>75689</v>
      </c>
      <c r="H51">
        <v>22348</v>
      </c>
      <c r="I51">
        <v>115117</v>
      </c>
      <c r="J51">
        <v>92769</v>
      </c>
      <c r="K51" t="s">
        <v>2473</v>
      </c>
    </row>
    <row r="52" spans="1:11" hidden="1">
      <c r="A52" t="s">
        <v>2513</v>
      </c>
      <c r="B52" t="s">
        <v>2120</v>
      </c>
      <c r="C52" t="s">
        <v>24</v>
      </c>
      <c r="D52" t="str">
        <f>SUBSTITUTE(SUBSTITUTE(TRIM(Table560[[#This Row],[BusinessUnit]]),"Software and Analytics","Software &amp; Analytics"),"Sensors and Instruments","Sensors &amp; Instruments")</f>
        <v>Sensors &amp; Instruments</v>
      </c>
      <c r="E52" t="s">
        <v>32</v>
      </c>
      <c r="F52">
        <v>85846</v>
      </c>
      <c r="G52">
        <v>33644</v>
      </c>
      <c r="H52">
        <v>10056</v>
      </c>
      <c r="I52">
        <v>52202</v>
      </c>
      <c r="J52">
        <v>42146</v>
      </c>
      <c r="K52" t="s">
        <v>2473</v>
      </c>
    </row>
    <row r="53" spans="1:11" hidden="1">
      <c r="A53" t="s">
        <v>2514</v>
      </c>
      <c r="B53" t="s">
        <v>2120</v>
      </c>
      <c r="C53" t="s">
        <v>53</v>
      </c>
      <c r="D53" t="str">
        <f>SUBSTITUTE(SUBSTITUTE(TRIM(Table560[[#This Row],[BusinessUnit]]),"Software and Analytics","Software &amp; Analytics"),"Sensors and Instruments","Sensors &amp; Instruments")</f>
        <v>Software &amp; Analytics</v>
      </c>
      <c r="E53" t="s">
        <v>23</v>
      </c>
      <c r="F53">
        <v>322359</v>
      </c>
      <c r="G53">
        <v>17908</v>
      </c>
      <c r="H53">
        <v>55646</v>
      </c>
      <c r="I53">
        <v>304451</v>
      </c>
      <c r="J53">
        <v>248805</v>
      </c>
      <c r="K53" t="s">
        <v>2473</v>
      </c>
    </row>
    <row r="54" spans="1:11" hidden="1">
      <c r="A54" t="s">
        <v>2515</v>
      </c>
      <c r="B54" t="s">
        <v>2120</v>
      </c>
      <c r="C54" t="s">
        <v>53</v>
      </c>
      <c r="D54" t="str">
        <f>SUBSTITUTE(SUBSTITUTE(TRIM(Table560[[#This Row],[BusinessUnit]]),"Software and Analytics","Software &amp; Analytics"),"Sensors and Instruments","Sensors &amp; Instruments")</f>
        <v>Software &amp; Analytics</v>
      </c>
      <c r="E54" t="s">
        <v>47</v>
      </c>
      <c r="F54">
        <v>194007</v>
      </c>
      <c r="G54">
        <v>10532</v>
      </c>
      <c r="H54">
        <v>33469</v>
      </c>
      <c r="I54">
        <v>183475</v>
      </c>
      <c r="J54">
        <v>150006</v>
      </c>
      <c r="K54" t="s">
        <v>2473</v>
      </c>
    </row>
    <row r="55" spans="1:11" hidden="1">
      <c r="A55" t="s">
        <v>2516</v>
      </c>
      <c r="B55" t="s">
        <v>2120</v>
      </c>
      <c r="C55" t="s">
        <v>53</v>
      </c>
      <c r="D55" t="str">
        <f>SUBSTITUTE(SUBSTITUTE(TRIM(Table560[[#This Row],[BusinessUnit]]),"Software and Analytics","Software &amp; Analytics"),"Sensors and Instruments","Sensors &amp; Instruments")</f>
        <v>Software &amp; Analytics</v>
      </c>
      <c r="E55" t="s">
        <v>58</v>
      </c>
      <c r="F55">
        <v>121687</v>
      </c>
      <c r="G55">
        <v>6798</v>
      </c>
      <c r="H55">
        <v>21501</v>
      </c>
      <c r="I55">
        <v>114889</v>
      </c>
      <c r="J55">
        <v>93388</v>
      </c>
      <c r="K55" t="s">
        <v>2473</v>
      </c>
    </row>
    <row r="56" spans="1:11" hidden="1">
      <c r="A56" t="s">
        <v>2517</v>
      </c>
      <c r="B56" t="s">
        <v>2120</v>
      </c>
      <c r="C56" t="s">
        <v>53</v>
      </c>
      <c r="D56" t="str">
        <f>SUBSTITUTE(SUBSTITUTE(TRIM(Table560[[#This Row],[BusinessUnit]]),"Software and Analytics","Software &amp; Analytics"),"Sensors and Instruments","Sensors &amp; Instruments")</f>
        <v>Software &amp; Analytics</v>
      </c>
      <c r="E56" t="s">
        <v>32</v>
      </c>
      <c r="F56">
        <v>45930</v>
      </c>
      <c r="G56">
        <v>2538</v>
      </c>
      <c r="H56">
        <v>8172</v>
      </c>
      <c r="I56">
        <v>43392</v>
      </c>
      <c r="J56">
        <v>35220</v>
      </c>
      <c r="K56" t="s">
        <v>2473</v>
      </c>
    </row>
    <row r="57" spans="1:11">
      <c r="A57" t="s">
        <v>2518</v>
      </c>
      <c r="B57" t="s">
        <v>2120</v>
      </c>
      <c r="C57" t="s">
        <v>82</v>
      </c>
      <c r="D57" t="str">
        <f>SUBSTITUTE(SUBSTITUTE(TRIM(Table560[[#This Row],[BusinessUnit]]),"Software and Analytics","Software &amp; Analytics"),"Sensors and Instruments","Sensors &amp; Instruments")</f>
        <v>Field Services</v>
      </c>
      <c r="E57" t="s">
        <v>23</v>
      </c>
      <c r="F57">
        <v>179820</v>
      </c>
      <c r="G57">
        <v>85574</v>
      </c>
      <c r="H57">
        <v>28157</v>
      </c>
      <c r="I57">
        <v>94246</v>
      </c>
      <c r="J57">
        <v>66089</v>
      </c>
      <c r="K57" t="s">
        <v>2473</v>
      </c>
    </row>
    <row r="58" spans="1:11">
      <c r="A58" t="s">
        <v>2519</v>
      </c>
      <c r="B58" t="s">
        <v>2120</v>
      </c>
      <c r="C58" t="s">
        <v>82</v>
      </c>
      <c r="D58" t="str">
        <f>SUBSTITUTE(SUBSTITUTE(TRIM(Table560[[#This Row],[BusinessUnit]]),"Software and Analytics","Software &amp; Analytics"),"Sensors and Instruments","Sensors &amp; Instruments")</f>
        <v>Field Services</v>
      </c>
      <c r="E58" t="s">
        <v>47</v>
      </c>
      <c r="F58">
        <v>120731</v>
      </c>
      <c r="G58">
        <v>57973</v>
      </c>
      <c r="H58">
        <v>19199</v>
      </c>
      <c r="I58">
        <v>62758</v>
      </c>
      <c r="J58">
        <v>43559</v>
      </c>
      <c r="K58" t="s">
        <v>2473</v>
      </c>
    </row>
    <row r="59" spans="1:11">
      <c r="A59" t="s">
        <v>2520</v>
      </c>
      <c r="B59" t="s">
        <v>2120</v>
      </c>
      <c r="C59" t="s">
        <v>82</v>
      </c>
      <c r="D59" t="str">
        <f>SUBSTITUTE(SUBSTITUTE(TRIM(Table560[[#This Row],[BusinessUnit]]),"Software and Analytics","Software &amp; Analytics"),"Sensors and Instruments","Sensors &amp; Instruments")</f>
        <v>Field Services</v>
      </c>
      <c r="E59" t="s">
        <v>58</v>
      </c>
      <c r="F59">
        <v>78524</v>
      </c>
      <c r="G59">
        <v>36664</v>
      </c>
      <c r="H59">
        <v>12252</v>
      </c>
      <c r="I59">
        <v>41860</v>
      </c>
      <c r="J59">
        <v>29608</v>
      </c>
      <c r="K59" t="s">
        <v>2473</v>
      </c>
    </row>
    <row r="60" spans="1:11">
      <c r="A60" t="s">
        <v>2521</v>
      </c>
      <c r="B60" t="s">
        <v>2120</v>
      </c>
      <c r="C60" t="s">
        <v>82</v>
      </c>
      <c r="D60" t="str">
        <f>SUBSTITUTE(SUBSTITUTE(TRIM(Table560[[#This Row],[BusinessUnit]]),"Software and Analytics","Software &amp; Analytics"),"Sensors and Instruments","Sensors &amp; Instruments")</f>
        <v>Field Services</v>
      </c>
      <c r="E60" t="s">
        <v>32</v>
      </c>
      <c r="F60">
        <v>38245</v>
      </c>
      <c r="G60">
        <v>18009</v>
      </c>
      <c r="H60">
        <v>5865</v>
      </c>
      <c r="I60">
        <v>20236</v>
      </c>
      <c r="J60">
        <v>14371</v>
      </c>
      <c r="K60" t="s">
        <v>2473</v>
      </c>
    </row>
    <row r="61" spans="1:11" hidden="1">
      <c r="A61" t="s">
        <v>2522</v>
      </c>
      <c r="B61" t="s">
        <v>2206</v>
      </c>
      <c r="C61" t="s">
        <v>24</v>
      </c>
      <c r="D61" t="str">
        <f>SUBSTITUTE(SUBSTITUTE(TRIM(Table560[[#This Row],[BusinessUnit]]),"Software and Analytics","Software &amp; Analytics"),"Sensors and Instruments","Sensors &amp; Instruments")</f>
        <v>Sensors &amp; Instruments</v>
      </c>
      <c r="E61" t="s">
        <v>23</v>
      </c>
      <c r="F61">
        <v>418180</v>
      </c>
      <c r="G61">
        <v>166550</v>
      </c>
      <c r="H61">
        <v>50445</v>
      </c>
      <c r="I61">
        <v>251630</v>
      </c>
      <c r="J61">
        <v>201185</v>
      </c>
      <c r="K61" t="s">
        <v>2473</v>
      </c>
    </row>
    <row r="62" spans="1:11" hidden="1">
      <c r="A62" t="s">
        <v>2523</v>
      </c>
      <c r="B62" t="s">
        <v>2206</v>
      </c>
      <c r="C62" t="s">
        <v>24</v>
      </c>
      <c r="D62" t="str">
        <f>SUBSTITUTE(SUBSTITUTE(TRIM(Table560[[#This Row],[BusinessUnit]]),"Software and Analytics","Software &amp; Analytics"),"Sensors and Instruments","Sensors &amp; Instruments")</f>
        <v>Sensors &amp; Instruments</v>
      </c>
      <c r="E62" t="s">
        <v>47</v>
      </c>
      <c r="F62">
        <v>290708</v>
      </c>
      <c r="G62">
        <v>113148</v>
      </c>
      <c r="H62">
        <v>33991</v>
      </c>
      <c r="I62">
        <v>177560</v>
      </c>
      <c r="J62">
        <v>143569</v>
      </c>
      <c r="K62" t="s">
        <v>2473</v>
      </c>
    </row>
    <row r="63" spans="1:11" hidden="1">
      <c r="A63" t="s">
        <v>2524</v>
      </c>
      <c r="B63" t="s">
        <v>2206</v>
      </c>
      <c r="C63" t="s">
        <v>24</v>
      </c>
      <c r="D63" t="str">
        <f>SUBSTITUTE(SUBSTITUTE(TRIM(Table560[[#This Row],[BusinessUnit]]),"Software and Analytics","Software &amp; Analytics"),"Sensors and Instruments","Sensors &amp; Instruments")</f>
        <v>Sensors &amp; Instruments</v>
      </c>
      <c r="E63" t="s">
        <v>58</v>
      </c>
      <c r="F63">
        <v>185017</v>
      </c>
      <c r="G63">
        <v>73833</v>
      </c>
      <c r="H63">
        <v>21526</v>
      </c>
      <c r="I63">
        <v>111184</v>
      </c>
      <c r="J63">
        <v>89658</v>
      </c>
      <c r="K63" t="s">
        <v>2473</v>
      </c>
    </row>
    <row r="64" spans="1:11" hidden="1">
      <c r="A64" t="s">
        <v>2525</v>
      </c>
      <c r="B64" t="s">
        <v>2206</v>
      </c>
      <c r="C64" t="s">
        <v>24</v>
      </c>
      <c r="D64" t="str">
        <f>SUBSTITUTE(SUBSTITUTE(TRIM(Table560[[#This Row],[BusinessUnit]]),"Software and Analytics","Software &amp; Analytics"),"Sensors and Instruments","Sensors &amp; Instruments")</f>
        <v>Sensors &amp; Instruments</v>
      </c>
      <c r="E64" t="s">
        <v>32</v>
      </c>
      <c r="F64">
        <v>82337</v>
      </c>
      <c r="G64">
        <v>31998</v>
      </c>
      <c r="H64">
        <v>9491</v>
      </c>
      <c r="I64">
        <v>50339</v>
      </c>
      <c r="J64">
        <v>40848</v>
      </c>
      <c r="K64" t="s">
        <v>2473</v>
      </c>
    </row>
    <row r="65" spans="1:11" hidden="1">
      <c r="A65" t="s">
        <v>2526</v>
      </c>
      <c r="B65" t="s">
        <v>2206</v>
      </c>
      <c r="C65" t="s">
        <v>53</v>
      </c>
      <c r="D65" t="str">
        <f>SUBSTITUTE(SUBSTITUTE(TRIM(Table560[[#This Row],[BusinessUnit]]),"Software and Analytics","Software &amp; Analytics"),"Sensors and Instruments","Sensors &amp; Instruments")</f>
        <v>Software &amp; Analytics</v>
      </c>
      <c r="E65" t="s">
        <v>23</v>
      </c>
      <c r="F65">
        <v>313766</v>
      </c>
      <c r="G65">
        <v>17452</v>
      </c>
      <c r="H65">
        <v>54045</v>
      </c>
      <c r="I65">
        <v>296314</v>
      </c>
      <c r="J65">
        <v>242269</v>
      </c>
      <c r="K65" t="s">
        <v>2473</v>
      </c>
    </row>
    <row r="66" spans="1:11" hidden="1">
      <c r="A66" t="s">
        <v>2527</v>
      </c>
      <c r="B66" t="s">
        <v>2206</v>
      </c>
      <c r="C66" t="s">
        <v>53</v>
      </c>
      <c r="D66" t="str">
        <f>SUBSTITUTE(SUBSTITUTE(TRIM(Table560[[#This Row],[BusinessUnit]]),"Software and Analytics","Software &amp; Analytics"),"Sensors and Instruments","Sensors &amp; Instruments")</f>
        <v>Software &amp; Analytics</v>
      </c>
      <c r="E66" t="s">
        <v>47</v>
      </c>
      <c r="F66">
        <v>197179</v>
      </c>
      <c r="G66">
        <v>11010</v>
      </c>
      <c r="H66">
        <v>34387</v>
      </c>
      <c r="I66">
        <v>186169</v>
      </c>
      <c r="J66">
        <v>151782</v>
      </c>
      <c r="K66" t="s">
        <v>2473</v>
      </c>
    </row>
    <row r="67" spans="1:11" hidden="1">
      <c r="A67" t="s">
        <v>2528</v>
      </c>
      <c r="B67" t="s">
        <v>2206</v>
      </c>
      <c r="C67" t="s">
        <v>53</v>
      </c>
      <c r="D67" t="str">
        <f>SUBSTITUTE(SUBSTITUTE(TRIM(Table560[[#This Row],[BusinessUnit]]),"Software and Analytics","Software &amp; Analytics"),"Sensors and Instruments","Sensors &amp; Instruments")</f>
        <v>Software &amp; Analytics</v>
      </c>
      <c r="E67" t="s">
        <v>58</v>
      </c>
      <c r="F67">
        <v>118863</v>
      </c>
      <c r="G67">
        <v>6407</v>
      </c>
      <c r="H67">
        <v>20279</v>
      </c>
      <c r="I67">
        <v>112456</v>
      </c>
      <c r="J67">
        <v>92177</v>
      </c>
      <c r="K67" t="s">
        <v>2473</v>
      </c>
    </row>
    <row r="68" spans="1:11" hidden="1">
      <c r="A68" t="s">
        <v>2529</v>
      </c>
      <c r="B68" t="s">
        <v>2206</v>
      </c>
      <c r="C68" t="s">
        <v>53</v>
      </c>
      <c r="D68" t="str">
        <f>SUBSTITUTE(SUBSTITUTE(TRIM(Table560[[#This Row],[BusinessUnit]]),"Software and Analytics","Software &amp; Analytics"),"Sensors and Instruments","Sensors &amp; Instruments")</f>
        <v>Software &amp; Analytics</v>
      </c>
      <c r="E68" t="s">
        <v>32</v>
      </c>
      <c r="F68">
        <v>46015</v>
      </c>
      <c r="G68">
        <v>2514</v>
      </c>
      <c r="H68">
        <v>7883</v>
      </c>
      <c r="I68">
        <v>43501</v>
      </c>
      <c r="J68">
        <v>35618</v>
      </c>
      <c r="K68" t="s">
        <v>2473</v>
      </c>
    </row>
    <row r="69" spans="1:11">
      <c r="A69" t="s">
        <v>2530</v>
      </c>
      <c r="B69" t="s">
        <v>2206</v>
      </c>
      <c r="C69" t="s">
        <v>82</v>
      </c>
      <c r="D69" t="str">
        <f>SUBSTITUTE(SUBSTITUTE(TRIM(Table560[[#This Row],[BusinessUnit]]),"Software and Analytics","Software &amp; Analytics"),"Sensors and Instruments","Sensors &amp; Instruments")</f>
        <v>Field Services</v>
      </c>
      <c r="E69" t="s">
        <v>23</v>
      </c>
      <c r="F69">
        <v>180665</v>
      </c>
      <c r="G69">
        <v>84254</v>
      </c>
      <c r="H69">
        <v>28355</v>
      </c>
      <c r="I69">
        <v>96411</v>
      </c>
      <c r="J69">
        <v>68056</v>
      </c>
      <c r="K69" t="s">
        <v>2473</v>
      </c>
    </row>
    <row r="70" spans="1:11">
      <c r="A70" t="s">
        <v>2531</v>
      </c>
      <c r="B70" t="s">
        <v>2206</v>
      </c>
      <c r="C70" t="s">
        <v>82</v>
      </c>
      <c r="D70" t="str">
        <f>SUBSTITUTE(SUBSTITUTE(TRIM(Table560[[#This Row],[BusinessUnit]]),"Software and Analytics","Software &amp; Analytics"),"Sensors and Instruments","Sensors &amp; Instruments")</f>
        <v>Field Services</v>
      </c>
      <c r="E70" t="s">
        <v>47</v>
      </c>
      <c r="F70">
        <v>117913</v>
      </c>
      <c r="G70">
        <v>55011</v>
      </c>
      <c r="H70">
        <v>18188</v>
      </c>
      <c r="I70">
        <v>62902</v>
      </c>
      <c r="J70">
        <v>44714</v>
      </c>
      <c r="K70" t="s">
        <v>2473</v>
      </c>
    </row>
    <row r="71" spans="1:11">
      <c r="A71" t="s">
        <v>2532</v>
      </c>
      <c r="B71" t="s">
        <v>2206</v>
      </c>
      <c r="C71" t="s">
        <v>82</v>
      </c>
      <c r="D71" t="str">
        <f>SUBSTITUTE(SUBSTITUTE(TRIM(Table560[[#This Row],[BusinessUnit]]),"Software and Analytics","Software &amp; Analytics"),"Sensors and Instruments","Sensors &amp; Instruments")</f>
        <v>Field Services</v>
      </c>
      <c r="E71" t="s">
        <v>58</v>
      </c>
      <c r="F71">
        <v>78166</v>
      </c>
      <c r="G71">
        <v>37521</v>
      </c>
      <c r="H71">
        <v>11804</v>
      </c>
      <c r="I71">
        <v>40645</v>
      </c>
      <c r="J71">
        <v>28841</v>
      </c>
      <c r="K71" t="s">
        <v>2473</v>
      </c>
    </row>
    <row r="72" spans="1:11">
      <c r="A72" t="s">
        <v>2533</v>
      </c>
      <c r="B72" t="s">
        <v>2206</v>
      </c>
      <c r="C72" t="s">
        <v>82</v>
      </c>
      <c r="D72" t="str">
        <f>SUBSTITUTE(SUBSTITUTE(TRIM(Table560[[#This Row],[BusinessUnit]]),"Software and Analytics","Software &amp; Analytics"),"Sensors and Instruments","Sensors &amp; Instruments")</f>
        <v>Field Services</v>
      </c>
      <c r="E72" t="s">
        <v>32</v>
      </c>
      <c r="F72">
        <v>37425</v>
      </c>
      <c r="G72">
        <v>17612</v>
      </c>
      <c r="H72">
        <v>5886</v>
      </c>
      <c r="I72">
        <v>19813</v>
      </c>
      <c r="J72">
        <v>13927</v>
      </c>
      <c r="K72" t="s">
        <v>2473</v>
      </c>
    </row>
    <row r="73" spans="1:11" hidden="1">
      <c r="A73" t="s">
        <v>2534</v>
      </c>
      <c r="B73" t="s">
        <v>2122</v>
      </c>
      <c r="C73" t="s">
        <v>24</v>
      </c>
      <c r="D73" t="str">
        <f>SUBSTITUTE(SUBSTITUTE(TRIM(Table560[[#This Row],[BusinessUnit]]),"Software and Analytics","Software &amp; Analytics"),"Sensors and Instruments","Sensors &amp; Instruments")</f>
        <v>Sensors &amp; Instruments</v>
      </c>
      <c r="E73" t="s">
        <v>23</v>
      </c>
      <c r="F73">
        <v>412542</v>
      </c>
      <c r="G73">
        <v>163787</v>
      </c>
      <c r="H73">
        <v>48649</v>
      </c>
      <c r="I73">
        <v>248755</v>
      </c>
      <c r="J73">
        <v>200106</v>
      </c>
      <c r="K73" t="s">
        <v>2473</v>
      </c>
    </row>
    <row r="74" spans="1:11" hidden="1">
      <c r="A74" t="s">
        <v>2535</v>
      </c>
      <c r="B74" t="s">
        <v>2122</v>
      </c>
      <c r="C74" t="s">
        <v>24</v>
      </c>
      <c r="D74" t="str">
        <f>SUBSTITUTE(SUBSTITUTE(TRIM(Table560[[#This Row],[BusinessUnit]]),"Software and Analytics","Software &amp; Analytics"),"Sensors and Instruments","Sensors &amp; Instruments")</f>
        <v>Sensors &amp; Instruments</v>
      </c>
      <c r="E74" t="s">
        <v>47</v>
      </c>
      <c r="F74">
        <v>287396</v>
      </c>
      <c r="G74">
        <v>112911</v>
      </c>
      <c r="H74">
        <v>33382</v>
      </c>
      <c r="I74">
        <v>174485</v>
      </c>
      <c r="J74">
        <v>141103</v>
      </c>
      <c r="K74" t="s">
        <v>2473</v>
      </c>
    </row>
    <row r="75" spans="1:11" hidden="1">
      <c r="A75" t="s">
        <v>2536</v>
      </c>
      <c r="B75" t="s">
        <v>2122</v>
      </c>
      <c r="C75" t="s">
        <v>24</v>
      </c>
      <c r="D75" t="str">
        <f>SUBSTITUTE(SUBSTITUTE(TRIM(Table560[[#This Row],[BusinessUnit]]),"Software and Analytics","Software &amp; Analytics"),"Sensors and Instruments","Sensors &amp; Instruments")</f>
        <v>Sensors &amp; Instruments</v>
      </c>
      <c r="E75" t="s">
        <v>58</v>
      </c>
      <c r="F75">
        <v>184007</v>
      </c>
      <c r="G75">
        <v>71733</v>
      </c>
      <c r="H75">
        <v>21286</v>
      </c>
      <c r="I75">
        <v>112274</v>
      </c>
      <c r="J75">
        <v>90988</v>
      </c>
      <c r="K75" t="s">
        <v>2473</v>
      </c>
    </row>
    <row r="76" spans="1:11" hidden="1">
      <c r="A76" t="s">
        <v>2537</v>
      </c>
      <c r="B76" t="s">
        <v>2122</v>
      </c>
      <c r="C76" t="s">
        <v>24</v>
      </c>
      <c r="D76" t="str">
        <f>SUBSTITUTE(SUBSTITUTE(TRIM(Table560[[#This Row],[BusinessUnit]]),"Software and Analytics","Software &amp; Analytics"),"Sensors and Instruments","Sensors &amp; Instruments")</f>
        <v>Sensors &amp; Instruments</v>
      </c>
      <c r="E76" t="s">
        <v>32</v>
      </c>
      <c r="F76">
        <v>86438</v>
      </c>
      <c r="G76">
        <v>34740</v>
      </c>
      <c r="H76">
        <v>10050</v>
      </c>
      <c r="I76">
        <v>51698</v>
      </c>
      <c r="J76">
        <v>41648</v>
      </c>
      <c r="K76" t="s">
        <v>2473</v>
      </c>
    </row>
    <row r="77" spans="1:11" hidden="1">
      <c r="A77" t="s">
        <v>2538</v>
      </c>
      <c r="B77" t="s">
        <v>2122</v>
      </c>
      <c r="C77" t="s">
        <v>53</v>
      </c>
      <c r="D77" t="str">
        <f>SUBSTITUTE(SUBSTITUTE(TRIM(Table560[[#This Row],[BusinessUnit]]),"Software and Analytics","Software &amp; Analytics"),"Sensors and Instruments","Sensors &amp; Instruments")</f>
        <v>Software &amp; Analytics</v>
      </c>
      <c r="E77" t="s">
        <v>23</v>
      </c>
      <c r="F77">
        <v>311061</v>
      </c>
      <c r="G77">
        <v>16959</v>
      </c>
      <c r="H77">
        <v>55404</v>
      </c>
      <c r="I77">
        <v>294102</v>
      </c>
      <c r="J77">
        <v>238698</v>
      </c>
      <c r="K77" t="s">
        <v>2473</v>
      </c>
    </row>
    <row r="78" spans="1:11" hidden="1">
      <c r="A78" t="s">
        <v>2539</v>
      </c>
      <c r="B78" t="s">
        <v>2122</v>
      </c>
      <c r="C78" t="s">
        <v>53</v>
      </c>
      <c r="D78" t="str">
        <f>SUBSTITUTE(SUBSTITUTE(TRIM(Table560[[#This Row],[BusinessUnit]]),"Software and Analytics","Software &amp; Analytics"),"Sensors and Instruments","Sensors &amp; Instruments")</f>
        <v>Software &amp; Analytics</v>
      </c>
      <c r="E78" t="s">
        <v>47</v>
      </c>
      <c r="F78">
        <v>204245</v>
      </c>
      <c r="G78">
        <v>11234</v>
      </c>
      <c r="H78">
        <v>35829</v>
      </c>
      <c r="I78">
        <v>193011</v>
      </c>
      <c r="J78">
        <v>157182</v>
      </c>
      <c r="K78" t="s">
        <v>2473</v>
      </c>
    </row>
    <row r="79" spans="1:11" hidden="1">
      <c r="A79" t="s">
        <v>2540</v>
      </c>
      <c r="B79" t="s">
        <v>2122</v>
      </c>
      <c r="C79" t="s">
        <v>119</v>
      </c>
      <c r="D79" t="str">
        <f>SUBSTITUTE(SUBSTITUTE(TRIM(Table560[[#This Row],[BusinessUnit]]),"Software and Analytics","Software &amp; Analytics"),"Sensors and Instruments","Sensors &amp; Instruments")</f>
        <v>Software &amp; Analytics</v>
      </c>
      <c r="E79" t="s">
        <v>58</v>
      </c>
      <c r="F79">
        <v>118506</v>
      </c>
      <c r="G79">
        <v>6435</v>
      </c>
      <c r="H79">
        <v>20178</v>
      </c>
      <c r="I79">
        <v>112071</v>
      </c>
      <c r="J79">
        <v>91893</v>
      </c>
      <c r="K79" t="s">
        <v>2473</v>
      </c>
    </row>
    <row r="80" spans="1:11" hidden="1">
      <c r="A80" t="s">
        <v>2541</v>
      </c>
      <c r="B80" t="s">
        <v>2122</v>
      </c>
      <c r="C80" t="s">
        <v>53</v>
      </c>
      <c r="D80" t="str">
        <f>SUBSTITUTE(SUBSTITUTE(TRIM(Table560[[#This Row],[BusinessUnit]]),"Software and Analytics","Software &amp; Analytics"),"Sensors and Instruments","Sensors &amp; Instruments")</f>
        <v>Software &amp; Analytics</v>
      </c>
      <c r="E80" t="s">
        <v>32</v>
      </c>
      <c r="F80">
        <v>45690</v>
      </c>
      <c r="G80">
        <v>2543</v>
      </c>
      <c r="H80">
        <v>8115</v>
      </c>
      <c r="I80">
        <v>43147</v>
      </c>
      <c r="J80">
        <v>35032</v>
      </c>
      <c r="K80" t="s">
        <v>2473</v>
      </c>
    </row>
    <row r="81" spans="1:11">
      <c r="A81" t="s">
        <v>2542</v>
      </c>
      <c r="B81" t="s">
        <v>2122</v>
      </c>
      <c r="C81" t="s">
        <v>82</v>
      </c>
      <c r="D81" t="str">
        <f>SUBSTITUTE(SUBSTITUTE(TRIM(Table560[[#This Row],[BusinessUnit]]),"Software and Analytics","Software &amp; Analytics"),"Sensors and Instruments","Sensors &amp; Instruments")</f>
        <v>Field Services</v>
      </c>
      <c r="E81" t="s">
        <v>23</v>
      </c>
      <c r="F81">
        <v>185798</v>
      </c>
      <c r="G81">
        <v>89361</v>
      </c>
      <c r="H81">
        <v>28432</v>
      </c>
      <c r="I81">
        <v>96437</v>
      </c>
      <c r="J81">
        <v>68005</v>
      </c>
      <c r="K81" t="s">
        <v>2473</v>
      </c>
    </row>
    <row r="82" spans="1:11">
      <c r="A82" t="s">
        <v>2543</v>
      </c>
      <c r="B82" t="s">
        <v>2122</v>
      </c>
      <c r="C82" t="s">
        <v>82</v>
      </c>
      <c r="D82" t="str">
        <f>SUBSTITUTE(SUBSTITUTE(TRIM(Table560[[#This Row],[BusinessUnit]]),"Software and Analytics","Software &amp; Analytics"),"Sensors and Instruments","Sensors &amp; Instruments")</f>
        <v>Field Services</v>
      </c>
      <c r="E82" t="s">
        <v>47</v>
      </c>
      <c r="F82">
        <v>118179</v>
      </c>
      <c r="G82">
        <v>55979</v>
      </c>
      <c r="H82">
        <v>18151</v>
      </c>
      <c r="I82">
        <v>62200</v>
      </c>
      <c r="J82">
        <v>44049</v>
      </c>
      <c r="K82" t="s">
        <v>2473</v>
      </c>
    </row>
    <row r="83" spans="1:11">
      <c r="A83" t="s">
        <v>2544</v>
      </c>
      <c r="B83" t="s">
        <v>2122</v>
      </c>
      <c r="C83" t="s">
        <v>82</v>
      </c>
      <c r="D83" t="str">
        <f>SUBSTITUTE(SUBSTITUTE(TRIM(Table560[[#This Row],[BusinessUnit]]),"Software and Analytics","Software &amp; Analytics"),"Sensors and Instruments","Sensors &amp; Instruments")</f>
        <v>Field Services</v>
      </c>
      <c r="E83" t="s">
        <v>58</v>
      </c>
      <c r="F83">
        <v>78826</v>
      </c>
      <c r="G83">
        <v>36795</v>
      </c>
      <c r="H83">
        <v>12543</v>
      </c>
      <c r="I83">
        <v>42031</v>
      </c>
      <c r="J83">
        <v>29488</v>
      </c>
      <c r="K83" t="s">
        <v>2473</v>
      </c>
    </row>
    <row r="84" spans="1:11">
      <c r="A84" t="s">
        <v>2545</v>
      </c>
      <c r="B84" t="s">
        <v>2122</v>
      </c>
      <c r="C84" t="s">
        <v>82</v>
      </c>
      <c r="D84" t="str">
        <f>SUBSTITUTE(SUBSTITUTE(TRIM(Table560[[#This Row],[BusinessUnit]]),"Software and Analytics","Software &amp; Analytics"),"Sensors and Instruments","Sensors &amp; Instruments")</f>
        <v>Field Services</v>
      </c>
      <c r="E84" t="s">
        <v>32</v>
      </c>
      <c r="F84">
        <v>38837</v>
      </c>
      <c r="G84">
        <v>18144</v>
      </c>
      <c r="H84">
        <v>5996</v>
      </c>
      <c r="I84">
        <v>20693</v>
      </c>
      <c r="J84">
        <v>14697</v>
      </c>
      <c r="K84" t="s">
        <v>2473</v>
      </c>
    </row>
    <row r="85" spans="1:11">
      <c r="A85" t="s">
        <v>2597</v>
      </c>
      <c r="F85">
        <f>SUBTOTAL(109,Table560[RevenueBudget])</f>
        <v>2323449</v>
      </c>
      <c r="G85">
        <f>SUBTOTAL(109,Table560[VariableCostBudget])</f>
        <v>1102013</v>
      </c>
      <c r="H85">
        <f>SUBTOTAL(109,Table560[FixedCostBudget])</f>
        <v>360235</v>
      </c>
      <c r="I85">
        <f>SUBTOTAL(109,Table560[ContributionProfitTarget])</f>
        <v>1221436</v>
      </c>
      <c r="J85">
        <f>SUBTOTAL(109,Table560[OperatingProfitTarget])</f>
        <v>861201</v>
      </c>
      <c r="K85">
        <f>SUBTOTAL(103,Table560[Version])</f>
        <v>24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Transaction</vt:lpstr>
      <vt:lpstr>Custumer</vt:lpstr>
      <vt:lpstr>Product</vt:lpstr>
      <vt:lpstr>Cost</vt:lpstr>
      <vt:lpstr>Budget</vt:lpstr>
      <vt:lpstr>Sheet2</vt:lpstr>
      <vt:lpstr>Org_Reference</vt:lpstr>
      <vt:lpstr>FX</vt:lpstr>
      <vt:lpstr>Region_Profitability</vt:lpstr>
      <vt:lpstr>Business_Profitability</vt:lpstr>
      <vt:lpstr>Category_Profitability</vt:lpstr>
      <vt:lpstr>Product_Profitability</vt:lpstr>
      <vt:lpstr>Custumer_Profitability</vt:lpstr>
      <vt:lpstr>Q18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 baro</dc:creator>
  <cp:lastModifiedBy>hp</cp:lastModifiedBy>
  <dcterms:created xsi:type="dcterms:W3CDTF">2026-08-23T18:31:09Z</dcterms:created>
  <dcterms:modified xsi:type="dcterms:W3CDTF">2026-09-02T18:42:43Z</dcterms:modified>
</cp:coreProperties>
</file>